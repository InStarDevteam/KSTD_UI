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c5c3a9c1c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요약" sheetId="1" r:id="Re7808ee00bdf425e"/>
    <x:sheet xmlns:r="http://schemas.openxmlformats.org/officeDocument/2006/relationships" name="02_통합적용대장" sheetId="2" r:id="Rfb9e46e8a15a4857"/>
    <x:sheet xmlns:r="http://schemas.openxmlformats.org/officeDocument/2006/relationships" name="03_접근성시험" sheetId="3" r:id="R8409705cb36640b2"/>
    <x:sheet xmlns:r="http://schemas.openxmlformats.org/officeDocument/2006/relationships" name="04_KRDS원문항목" sheetId="4" r:id="Rfaa2be397dda4ce4"/>
    <x:sheet xmlns:r="http://schemas.openxmlformats.org/officeDocument/2006/relationships" name="05_KRDS범위색인" sheetId="5" r:id="R79fe986e727e43eb"/>
    <x:sheet xmlns:r="http://schemas.openxmlformats.org/officeDocument/2006/relationships" name="06_출처변경관리" sheetId="6" r:id="R45f2794ec5bc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6"/>
      <x:color rgb="FF142C48"/>
      <x:name val="Arial"/>
    </x:font>
    <x:font>
      <x:sz val="10"/>
      <x:color rgb="FF53667E"/>
      <x:name val="Arial"/>
    </x:font>
    <x:font>
      <x:sz val="11"/>
      <x:color rgb="FF142C48"/>
      <x:name val="Arial"/>
    </x:font>
    <x:font>
      <x:b/>
      <x:sz val="11"/>
      <x:color rgb="FFFFFFFF"/>
      <x:name val="Arial"/>
    </x:font>
    <x:font>
      <x:b/>
      <x:sz val="12"/>
      <x:color rgb="FF142C48"/>
      <x:name val="Arial"/>
    </x:font>
    <x:font>
      <x:sz val="11"/>
      <x:color rgb="FF5366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8"/>
      </x:patternFill>
    </x:fill>
    <x:fill>
      <x:patternFill patternType="solid">
        <x:fgColor rgb="FFFFF9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854D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5f134a45c4792" /><Relationship Type="http://schemas.openxmlformats.org/officeDocument/2006/relationships/theme" Target="/xl/theme/theme1.xml" Id="R13f72176c65a49dd" /><Relationship Type="http://schemas.openxmlformats.org/officeDocument/2006/relationships/sharedStrings" Target="/xl/sharedStrings.xml" Id="R85e39e2baafd410e" /><Relationship Type="http://schemas.openxmlformats.org/officeDocument/2006/relationships/worksheet" Target="/xl/worksheets/sheet1.xml" Id="Re7808ee00bdf425e" /><Relationship Type="http://schemas.openxmlformats.org/officeDocument/2006/relationships/worksheet" Target="/xl/worksheets/sheet2.xml" Id="Rfb9e46e8a15a4857" /><Relationship Type="http://schemas.openxmlformats.org/officeDocument/2006/relationships/worksheet" Target="/xl/worksheets/sheet3.xml" Id="R8409705cb36640b2" /><Relationship Type="http://schemas.openxmlformats.org/officeDocument/2006/relationships/worksheet" Target="/xl/worksheets/sheet4.xml" Id="Rfaa2be397dda4ce4" /><Relationship Type="http://schemas.openxmlformats.org/officeDocument/2006/relationships/worksheet" Target="/xl/worksheets/sheet5.xml" Id="R79fe986e727e43eb" /><Relationship Type="http://schemas.openxmlformats.org/officeDocument/2006/relationships/worksheet" Target="/xl/worksheets/sheet6.xml" Id="R45f2794ec5bc46f5" /></Relationships>
</file>

<file path=xl/tables/table1.xml><?xml version="1.0" encoding="utf-8"?>
<x:table xmlns:x="http://schemas.openxmlformats.org/spreadsheetml/2006/main" id="2" name="FamilySummary" displayName="FamilySummary" ref="A6:J15" headerRowCount="1" totalsRowCount="0" totalsRowShown="0">
  <x:autoFilter ref="A6:J15"/>
  <x:tableColumns count="10">
    <x:tableColumn id="1" name="표준군"/>
    <x:tableColumn id="2" name="관리행"/>
    <x:tableColumn id="3" name="적용 확정"/>
    <x:tableColumn id="4" name="조건부"/>
    <x:tableColumn id="5" name="해당없음"/>
    <x:tableColumn id="6" name="확인필요"/>
    <x:tableColumn id="7" name="구현"/>
    <x:tableColumn id="8" name="검증완료"/>
    <x:tableColumn id="9" name="구현률"/>
    <x:tableColumn id="10" name="검증완료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andardsRegister" displayName="StandardsRegister" ref="A6:AM303" headerRowCount="1" totalsRowCount="0" totalsRowShown="0">
  <x:autoFilter ref="A6:AM303"/>
  <x:tableColumns count="39">
    <x:tableColumn id="1" name="규칙 ID"/>
    <x:tableColumn id="2" name="표준군"/>
    <x:tableColumn id="3" name="세부 범주"/>
    <x:tableColumn id="4" name="항목명"/>
    <x:tableColumn id="5" name="요구사항"/>
    <x:tableColumn id="6" name="출처 ID"/>
    <x:tableColumn id="7" name="출처 판본"/>
    <x:tableColumn id="8" name="원문 절"/>
    <x:tableColumn id="9" name="원문 페이지"/>
    <x:tableColumn id="10" name="기준 계층"/>
    <x:tableColumn id="11" name="원문 요구수준"/>
    <x:tableColumn id="12" name="회사 요구수준"/>
    <x:tableColumn id="13" name="적용성"/>
    <x:tableColumn id="14" name="적용성 사유"/>
    <x:tableColumn id="15" name="재평가 조건"/>
    <x:tableColumn id="16" name="대상 화면"/>
    <x:tableColumn id="17" name="설계·적용 방법"/>
    <x:tableColumn id="18" name="검증 방법"/>
    <x:tableColumn id="19" name="필요 검증"/>
    <x:tableColumn id="20" name="담당 역할"/>
    <x:tableColumn id="21" name="우선순위"/>
    <x:tableColumn id="22" name="구현 상태"/>
    <x:tableColumn id="23" name="실제 구현 요약"/>
    <x:tableColumn id="24" name="구현 파일#심볼"/>
    <x:tableColumn id="25" name="시험 ID"/>
    <x:tableColumn id="26" name="자동 결과"/>
    <x:tableColumn id="27" name="수동 결과"/>
    <x:tableColumn id="28" name="증빙 ID"/>
    <x:tableColumn id="29" name="유효 증빙 수"/>
    <x:tableColumn id="30" name="연결 시험 수"/>
    <x:tableColumn id="31" name="원장 최종결과"/>
    <x:tableColumn id="32" name="편차 ID"/>
    <x:tableColumn id="33" name="검토자"/>
    <x:tableColumn id="34" name="검토 시각"/>
    <x:tableColumn id="35" name="원문검토 상태"/>
    <x:tableColumn id="36" name="검증완료 판정"/>
    <x:tableColumn id="37" name="원문 섹션 ID"/>
    <x:tableColumn id="38" name="관련 기준"/>
    <x:tableColumn id="39" name="추가 설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cationTests" displayName="VerificationTests" ref="A6:M346" headerRowCount="1" totalsRowCount="0" totalsRowShown="0">
  <x:autoFilter ref="A6:M346"/>
  <x:tableColumns count="13">
    <x:tableColumn id="1" name="시험 ID"/>
    <x:tableColumn id="2" name="유형"/>
    <x:tableColumn id="3" name="사용 조건"/>
    <x:tableColumn id="4" name="시험명"/>
    <x:tableColumn id="5" name="연결 규칙"/>
    <x:tableColumn id="6" name="절차"/>
    <x:tableColumn id="7" name="예상 결과"/>
    <x:tableColumn id="8" name="환경·보조기술"/>
    <x:tableColumn id="9" name="판정"/>
    <x:tableColumn id="10" name="실제 관찰"/>
    <x:tableColumn id="11" name="증빙 ID"/>
    <x:tableColumn id="12" name="검사자"/>
    <x:tableColumn id="13" name="실행 시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rdsNumbered" displayName="KrdsNumbered" ref="A6:O731" headerRowCount="1" totalsRowCount="0" totalsRowShown="0">
  <x:autoFilter ref="A6:O731"/>
  <x:tableColumns count="15">
    <x:tableColumn id="1" name="원문 후보 ID"/>
    <x:tableColumn id="2" name="원문 섹션"/>
    <x:tableColumn id="3" name="장"/>
    <x:tableColumn id="4" name="범주"/>
    <x:tableColumn id="5" name="절 제목"/>
    <x:tableColumn id="6" name="유형"/>
    <x:tableColumn id="7" name="번호"/>
    <x:tableColumn id="8" name="인쇄 페이지"/>
    <x:tableColumn id="9" name="PDF 실제 페이지"/>
    <x:tableColumn id="10" name="세부 페이지"/>
    <x:tableColumn id="11" name="원문 문장"/>
    <x:tableColumn id="12" name="원문 등급"/>
    <x:tableColumn id="13" name="원문검토 상태"/>
    <x:tableColumn id="14" name="통합 규칙 매핑"/>
    <x:tableColumn id="15" name="목록 성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rdsScope" displayName="KrdsScope" ref="A6:K161" headerRowCount="1" totalsRowCount="0" totalsRowShown="0">
  <x:autoFilter ref="A6:K161"/>
  <x:tableColumns count="11">
    <x:tableColumn id="1" name="유형"/>
    <x:tableColumn id="2" name="원문 ID"/>
    <x:tableColumn id="3" name="장"/>
    <x:tableColumn id="4" name="범주·절"/>
    <x:tableColumn id="5" name="시작 인쇄쪽"/>
    <x:tableColumn id="6" name="종료쪽"/>
    <x:tableColumn id="7" name="PDF 실제쪽"/>
    <x:tableColumn id="8" name="번호 후보수"/>
    <x:tableColumn id="9" name="회사 통제"/>
    <x:tableColumn id="10" name="검토범위·동작"/>
    <x:tableColumn id="11" name="원문검토 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Changes" displayName="SourceChanges" ref="A6:K64" headerRowCount="1" totalsRowCount="0" totalsRowShown="0">
  <x:autoFilter ref="A6:K64"/>
  <x:tableColumns count="11">
    <x:tableColumn id="1" name="구분"/>
    <x:tableColumn id="2" name="ID"/>
    <x:tableColumn id="3" name="표준·확인 제목"/>
    <x:tableColumn id="4" name="발행기관"/>
    <x:tableColumn id="5" name="판본"/>
    <x:tableColumn id="6" name="유형·등급"/>
    <x:tableColumn id="7" name="원문 URL·파일"/>
    <x:tableColumn id="8" name="원문 위치"/>
    <x:tableColumn id="9" name="확인일·수집일"/>
    <x:tableColumn id="10" name="접근·확인 상태"/>
    <x:tableColumn id="11" name="적용범위·영향·후속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b0e5f57f7147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7db46d21354d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fb71699d1446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09f64d0c06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688ceaf0fe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c2a550baca442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5" hidden="0" customWidth="1"/>
    <x:col min="4" max="4" width="13" hidden="0" customWidth="1"/>
    <x:col min="5" max="5" width="15" hidden="0" customWidth="1"/>
    <x:col min="6" max="6" width="15" hidden="0" customWidth="1"/>
    <x:col min="7" max="7" width="13" hidden="0" customWidth="1"/>
    <x:col min="8" max="8" width="15" hidden="0" customWidth="1"/>
    <x:col min="9" max="9" width="19" hidden="0" customWidth="1"/>
    <x:col min="10" max="10" width="21" hidden="0" customWidth="1"/>
  </x:cols>
  <x:sheetData>
    <x:row r="2">
      <x:c r="A2" s="1" t="str">
        <x:v>회사 SW 표준 적용 결과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기준 2026-10-20 / commit 88f8c934cf73 / 회사 승인 전 초안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6" ht="42" customHeight="1">
      <x:c r="A6" s="9" t="str">
        <x:v>표준군</x:v>
      </x:c>
      <x:c r="B6" s="9" t="str">
        <x:v>관리행</x:v>
      </x:c>
      <x:c r="C6" s="9" t="str">
        <x:v>적용 확정</x:v>
      </x:c>
      <x:c r="D6" s="9" t="str">
        <x:v>조건부</x:v>
      </x:c>
      <x:c r="E6" s="9" t="str">
        <x:v>해당없음</x:v>
      </x:c>
      <x:c r="F6" s="9" t="str">
        <x:v>확인필요</x:v>
      </x:c>
      <x:c r="G6" s="9" t="str">
        <x:v>구현</x:v>
      </x:c>
      <x:c r="H6" s="9" t="str">
        <x:v>검증완료</x:v>
      </x:c>
      <x:c r="I6" s="9" t="str">
        <x:v>구현률</x:v>
      </x:c>
      <x:c r="J6" s="9" t="str">
        <x:v>검증완료율</x:v>
      </x:c>
    </x:row>
    <x:row r="7" ht="15" hidden="0" customHeight="1">
      <x:c r="A7" s="5" t="str">
        <x:v>표준 운영</x:v>
      </x:c>
      <x:c r="B7" s="11" t="n">
        <x:f>COUNTIFS('02_통합적용대장'!$B$7:$B$303,$A7)</x:f>
        <x:v>8</x:v>
      </x:c>
      <x:c r="C7" s="11" t="n">
        <x:f>COUNTIFS('02_통합적용대장'!$B$7:$B$303,$A7,'02_통합적용대장'!$M$7:$M$303,"적용")</x:f>
        <x:v>8</x:v>
      </x:c>
      <x:c r="D7" s="11" t="n">
        <x:f>COUNTIFS('02_통합적용대장'!$B$7:$B$303,$A7,'02_통합적용대장'!$M$7:$M$303,"조건부")</x:f>
        <x:v>0</x:v>
      </x:c>
      <x:c r="E7" s="11" t="n">
        <x:f>COUNTIFS('02_통합적용대장'!$B$7:$B$303,$A7,'02_통합적용대장'!$M$7:$M$303,"해당없음")</x:f>
        <x:v>0</x:v>
      </x:c>
      <x:c r="F7" s="11" t="n">
        <x:f>COUNTIFS('02_통합적용대장'!$B$7:$B$303,$A7,'02_통합적용대장'!$M$7:$M$303,"확인필요")</x:f>
        <x:v>0</x:v>
      </x:c>
      <x:c r="G7" s="11" t="n">
        <x:f>COUNTIFS('02_통합적용대장'!$B$7:$B$303,$A7,'02_통합적용대장'!$M$7:$M$303,"적용",'02_통합적용대장'!$V$7:$V$303,"구현")</x:f>
        <x:v>4</x:v>
      </x:c>
      <x:c r="H7" s="11" t="n">
        <x:f>COUNTIFS('02_통합적용대장'!$B$7:$B$303,$A7,'02_통합적용대장'!$AJ$7:$AJ$303,"통과")</x:f>
        <x:v>0</x:v>
      </x:c>
      <x:c r="I7" s="12" t="n">
        <x:f>IF(C7=0,"산정대상 없음",G7/C7)</x:f>
        <x:v>0.5</x:v>
      </x:c>
      <x:c r="J7" s="12" t="n">
        <x:f>IF(C7=0,"산정대상 없음",H7/C7)</x:f>
        <x:v>0</x:v>
      </x:c>
    </x:row>
    <x:row r="8" ht="15" hidden="0" customHeight="1">
      <x:c r="A8" s="5" t="str">
        <x:v>코딩</x:v>
      </x:c>
      <x:c r="B8" s="11" t="n">
        <x:f>COUNTIFS('02_통합적용대장'!$B$7:$B$303,$A8)</x:f>
        <x:v>18</x:v>
      </x:c>
      <x:c r="C8" s="11" t="n">
        <x:f>COUNTIFS('02_통합적용대장'!$B$7:$B$303,$A8,'02_통합적용대장'!$M$7:$M$303,"적용")</x:f>
        <x:v>18</x:v>
      </x:c>
      <x:c r="D8" s="11" t="n">
        <x:f>COUNTIFS('02_통합적용대장'!$B$7:$B$303,$A8,'02_통합적용대장'!$M$7:$M$303,"조건부")</x:f>
        <x:v>0</x:v>
      </x:c>
      <x:c r="E8" s="11" t="n">
        <x:f>COUNTIFS('02_통합적용대장'!$B$7:$B$303,$A8,'02_통합적용대장'!$M$7:$M$303,"해당없음")</x:f>
        <x:v>0</x:v>
      </x:c>
      <x:c r="F8" s="11" t="n">
        <x:f>COUNTIFS('02_통합적용대장'!$B$7:$B$303,$A8,'02_통합적용대장'!$M$7:$M$303,"확인필요")</x:f>
        <x:v>0</x:v>
      </x:c>
      <x:c r="G8" s="11" t="n">
        <x:f>COUNTIFS('02_통합적용대장'!$B$7:$B$303,$A8,'02_통합적용대장'!$M$7:$M$303,"적용",'02_통합적용대장'!$V$7:$V$303,"구현")</x:f>
        <x:v>14</x:v>
      </x:c>
      <x:c r="H8" s="11" t="n">
        <x:f>COUNTIFS('02_통합적용대장'!$B$7:$B$303,$A8,'02_통합적용대장'!$AJ$7:$AJ$303,"통과")</x:f>
        <x:v>0</x:v>
      </x:c>
      <x:c r="I8" s="12" t="n">
        <x:f>IF(C8=0,"산정대상 없음",G8/C8)</x:f>
        <x:v>0.7777777777777778</x:v>
      </x:c>
      <x:c r="J8" s="12" t="n">
        <x:f>IF(C8=0,"산정대상 없음",H8/C8)</x:f>
        <x:v>0</x:v>
      </x:c>
    </x:row>
    <x:row r="9" ht="15" hidden="0" customHeight="1">
      <x:c r="A9" s="5" t="str">
        <x:v>보안</x:v>
      </x:c>
      <x:c r="B9" s="11" t="n">
        <x:f>COUNTIFS('02_통합적용대장'!$B$7:$B$303,$A9)</x:f>
        <x:v>18</x:v>
      </x:c>
      <x:c r="C9" s="11" t="n">
        <x:f>COUNTIFS('02_통합적용대장'!$B$7:$B$303,$A9,'02_통합적용대장'!$M$7:$M$303,"적용")</x:f>
        <x:v>17</x:v>
      </x:c>
      <x:c r="D9" s="11" t="n">
        <x:f>COUNTIFS('02_통합적용대장'!$B$7:$B$303,$A9,'02_통합적용대장'!$M$7:$M$303,"조건부")</x:f>
        <x:v>1</x:v>
      </x:c>
      <x:c r="E9" s="11" t="n">
        <x:f>COUNTIFS('02_통합적용대장'!$B$7:$B$303,$A9,'02_통합적용대장'!$M$7:$M$303,"해당없음")</x:f>
        <x:v>0</x:v>
      </x:c>
      <x:c r="F9" s="11" t="n">
        <x:f>COUNTIFS('02_통합적용대장'!$B$7:$B$303,$A9,'02_통합적용대장'!$M$7:$M$303,"확인필요")</x:f>
        <x:v>0</x:v>
      </x:c>
      <x:c r="G9" s="11" t="n">
        <x:f>COUNTIFS('02_통합적용대장'!$B$7:$B$303,$A9,'02_통합적용대장'!$M$7:$M$303,"적용",'02_통합적용대장'!$V$7:$V$303,"구현")</x:f>
        <x:v>8</x:v>
      </x:c>
      <x:c r="H9" s="11" t="n">
        <x:f>COUNTIFS('02_통합적용대장'!$B$7:$B$303,$A9,'02_통합적용대장'!$AJ$7:$AJ$303,"통과")</x:f>
        <x:v>0</x:v>
      </x:c>
      <x:c r="I9" s="12" t="n">
        <x:f>IF(C9=0,"산정대상 없음",G9/C9)</x:f>
        <x:v>0.47058823529411764</x:v>
      </x:c>
      <x:c r="J9" s="12" t="n">
        <x:f>IF(C9=0,"산정대상 없음",H9/C9)</x:f>
        <x:v>0</x:v>
      </x:c>
    </x:row>
    <x:row r="10" ht="15" hidden="0" customHeight="1">
      <x:c r="A10" s="5" t="str">
        <x:v>MDR 확인</x:v>
      </x:c>
      <x:c r="B10" s="11" t="n">
        <x:f>COUNTIFS('02_통합적용대장'!$B$7:$B$303,$A10)</x:f>
        <x:v>1</x:v>
      </x:c>
      <x:c r="C10" s="11" t="n">
        <x:f>COUNTIFS('02_통합적용대장'!$B$7:$B$303,$A10,'02_통합적용대장'!$M$7:$M$303,"적용")</x:f>
        <x:v>0</x:v>
      </x:c>
      <x:c r="D10" s="11" t="n">
        <x:f>COUNTIFS('02_통합적용대장'!$B$7:$B$303,$A10,'02_통합적용대장'!$M$7:$M$303,"조건부")</x:f>
        <x:v>0</x:v>
      </x:c>
      <x:c r="E10" s="11" t="n">
        <x:f>COUNTIFS('02_통합적용대장'!$B$7:$B$303,$A10,'02_통합적용대장'!$M$7:$M$303,"해당없음")</x:f>
        <x:v>0</x:v>
      </x:c>
      <x:c r="F10" s="11" t="n">
        <x:f>COUNTIFS('02_통합적용대장'!$B$7:$B$303,$A10,'02_통합적용대장'!$M$7:$M$303,"확인필요")</x:f>
        <x:v>1</x:v>
      </x:c>
      <x:c r="G10" s="11" t="n">
        <x:f>COUNTIFS('02_통합적용대장'!$B$7:$B$303,$A10,'02_통합적용대장'!$M$7:$M$303,"적용",'02_통합적용대장'!$V$7:$V$303,"구현")</x:f>
        <x:v>0</x:v>
      </x:c>
      <x:c r="H10" s="11" t="n">
        <x:f>COUNTIFS('02_통합적용대장'!$B$7:$B$303,$A10,'02_통합적용대장'!$AJ$7:$AJ$303,"통과")</x:f>
        <x:v>0</x:v>
      </x:c>
      <x:c r="I10" s="12" t="str">
        <x:f>IF(C10=0,"산정대상 없음",G10/C10)</x:f>
        <x:v>산정대상 없음</x:v>
      </x:c>
      <x:c r="J10" s="12" t="str">
        <x:f>IF(C10=0,"산정대상 없음",H10/C10)</x:f>
        <x:v>산정대상 없음</x:v>
      </x:c>
    </x:row>
    <x:row r="11" ht="15" hidden="0" customHeight="1">
      <x:c r="A11" s="5" t="str">
        <x:v>KRDS UI/UX</x:v>
      </x:c>
      <x:c r="B11" s="11" t="n">
        <x:f>COUNTIFS('02_통합적용대장'!$B$7:$B$303,$A11)</x:f>
        <x:v>128</x:v>
      </x:c>
      <x:c r="C11" s="11" t="n">
        <x:f>COUNTIFS('02_통합적용대장'!$B$7:$B$303,$A11,'02_통합적용대장'!$M$7:$M$303,"적용")</x:f>
        <x:v>106</x:v>
      </x:c>
      <x:c r="D11" s="11" t="n">
        <x:f>COUNTIFS('02_통합적용대장'!$B$7:$B$303,$A11,'02_통합적용대장'!$M$7:$M$303,"조건부")</x:f>
        <x:v>18</x:v>
      </x:c>
      <x:c r="E11" s="11" t="n">
        <x:f>COUNTIFS('02_통합적용대장'!$B$7:$B$303,$A11,'02_통합적용대장'!$M$7:$M$303,"해당없음")</x:f>
        <x:v>4</x:v>
      </x:c>
      <x:c r="F11" s="11" t="n">
        <x:f>COUNTIFS('02_통합적용대장'!$B$7:$B$303,$A11,'02_통합적용대장'!$M$7:$M$303,"확인필요")</x:f>
        <x:v>0</x:v>
      </x:c>
      <x:c r="G11" s="11" t="n">
        <x:f>COUNTIFS('02_통합적용대장'!$B$7:$B$303,$A11,'02_통합적용대장'!$M$7:$M$303,"적용",'02_통합적용대장'!$V$7:$V$303,"구현")</x:f>
        <x:v>97</x:v>
      </x:c>
      <x:c r="H11" s="11" t="n">
        <x:f>COUNTIFS('02_통합적용대장'!$B$7:$B$303,$A11,'02_통합적용대장'!$AJ$7:$AJ$303,"통과")</x:f>
        <x:v>0</x:v>
      </x:c>
      <x:c r="I11" s="12" t="n">
        <x:f>IF(C11=0,"산정대상 없음",G11/C11)</x:f>
        <x:v>0.9150943396226415</x:v>
      </x:c>
      <x:c r="J11" s="12" t="n">
        <x:f>IF(C11=0,"산정대상 없음",H11/C11)</x:f>
        <x:v>0</x:v>
      </x:c>
    </x:row>
    <x:row r="12" ht="15" hidden="0" customHeight="1">
      <x:c r="A12" s="5" t="str">
        <x:v>KWCAG 2.2</x:v>
      </x:c>
      <x:c r="B12" s="11" t="n">
        <x:f>COUNTIFS('02_통합적용대장'!$B$7:$B$303,$A12)</x:f>
        <x:v>33</x:v>
      </x:c>
      <x:c r="C12" s="11" t="n">
        <x:f>COUNTIFS('02_통합적용대장'!$B$7:$B$303,$A12,'02_통합적용대장'!$M$7:$M$303,"적용")</x:f>
        <x:v>29</x:v>
      </x:c>
      <x:c r="D12" s="11" t="n">
        <x:f>COUNTIFS('02_통합적용대장'!$B$7:$B$303,$A12,'02_통합적용대장'!$M$7:$M$303,"조건부")</x:f>
        <x:v>4</x:v>
      </x:c>
      <x:c r="E12" s="11" t="n">
        <x:f>COUNTIFS('02_통합적용대장'!$B$7:$B$303,$A12,'02_통합적용대장'!$M$7:$M$303,"해당없음")</x:f>
        <x:v>0</x:v>
      </x:c>
      <x:c r="F12" s="11" t="n">
        <x:f>COUNTIFS('02_통합적용대장'!$B$7:$B$303,$A12,'02_통합적용대장'!$M$7:$M$303,"확인필요")</x:f>
        <x:v>0</x:v>
      </x:c>
      <x:c r="G12" s="11" t="n">
        <x:f>COUNTIFS('02_통합적용대장'!$B$7:$B$303,$A12,'02_통합적용대장'!$M$7:$M$303,"적용",'02_통합적용대장'!$V$7:$V$303,"구현")</x:f>
        <x:v>25</x:v>
      </x:c>
      <x:c r="H12" s="11" t="n">
        <x:f>COUNTIFS('02_통합적용대장'!$B$7:$B$303,$A12,'02_통합적용대장'!$AJ$7:$AJ$303,"통과")</x:f>
        <x:v>0</x:v>
      </x:c>
      <x:c r="I12" s="12" t="n">
        <x:f>IF(C12=0,"산정대상 없음",G12/C12)</x:f>
        <x:v>0.8620689655172413</x:v>
      </x:c>
      <x:c r="J12" s="12" t="n">
        <x:f>IF(C12=0,"산정대상 없음",H12/C12)</x:f>
        <x:v>0</x:v>
      </x:c>
    </x:row>
    <x:row r="13" ht="15" hidden="0" customHeight="1">
      <x:c r="A13" s="5" t="str">
        <x:v>WCAG 2.2 A·AA</x:v>
      </x:c>
      <x:c r="B13" s="11" t="n">
        <x:f>COUNTIFS('02_통합적용대장'!$B$7:$B$303,$A13)</x:f>
        <x:v>55</x:v>
      </x:c>
      <x:c r="C13" s="11" t="n">
        <x:f>COUNTIFS('02_통합적용대장'!$B$7:$B$303,$A13,'02_통합적용대장'!$M$7:$M$303,"적용")</x:f>
        <x:v>48</x:v>
      </x:c>
      <x:c r="D13" s="11" t="n">
        <x:f>COUNTIFS('02_통합적용대장'!$B$7:$B$303,$A13,'02_통합적용대장'!$M$7:$M$303,"조건부")</x:f>
        <x:v>7</x:v>
      </x:c>
      <x:c r="E13" s="11" t="n">
        <x:f>COUNTIFS('02_통합적용대장'!$B$7:$B$303,$A13,'02_통합적용대장'!$M$7:$M$303,"해당없음")</x:f>
        <x:v>0</x:v>
      </x:c>
      <x:c r="F13" s="11" t="n">
        <x:f>COUNTIFS('02_통합적용대장'!$B$7:$B$303,$A13,'02_통합적용대장'!$M$7:$M$303,"확인필요")</x:f>
        <x:v>0</x:v>
      </x:c>
      <x:c r="G13" s="11" t="n">
        <x:f>COUNTIFS('02_통합적용대장'!$B$7:$B$303,$A13,'02_통합적용대장'!$M$7:$M$303,"적용",'02_통합적용대장'!$V$7:$V$303,"구현")</x:f>
        <x:v>40</x:v>
      </x:c>
      <x:c r="H13" s="11" t="n">
        <x:f>COUNTIFS('02_통합적용대장'!$B$7:$B$303,$A13,'02_통합적용대장'!$AJ$7:$AJ$303,"통과")</x:f>
        <x:v>0</x:v>
      </x:c>
      <x:c r="I13" s="12" t="n">
        <x:f>IF(C13=0,"산정대상 없음",G13/C13)</x:f>
        <x:v>0.8333333333333334</x:v>
      </x:c>
      <x:c r="J13" s="12" t="n">
        <x:f>IF(C13=0,"산정대상 없음",H13/C13)</x:f>
        <x:v>0</x:v>
      </x:c>
    </x:row>
    <x:row r="14" ht="15" hidden="0" customHeight="1">
      <x:c r="A14" s="5" t="str">
        <x:v>포용적 UX</x:v>
      </x:c>
      <x:c r="B14" s="11" t="n">
        <x:f>COUNTIFS('02_통합적용대장'!$B$7:$B$303,$A14)</x:f>
        <x:v>12</x:v>
      </x:c>
      <x:c r="C14" s="11" t="n">
        <x:f>COUNTIFS('02_통합적용대장'!$B$7:$B$303,$A14,'02_통합적용대장'!$M$7:$M$303,"적용")</x:f>
        <x:v>12</x:v>
      </x:c>
      <x:c r="D14" s="11" t="n">
        <x:f>COUNTIFS('02_통합적용대장'!$B$7:$B$303,$A14,'02_통합적용대장'!$M$7:$M$303,"조건부")</x:f>
        <x:v>0</x:v>
      </x:c>
      <x:c r="E14" s="11" t="n">
        <x:f>COUNTIFS('02_통합적용대장'!$B$7:$B$303,$A14,'02_통합적용대장'!$M$7:$M$303,"해당없음")</x:f>
        <x:v>0</x:v>
      </x:c>
      <x:c r="F14" s="11" t="n">
        <x:f>COUNTIFS('02_통합적용대장'!$B$7:$B$303,$A14,'02_통합적용대장'!$M$7:$M$303,"확인필요")</x:f>
        <x:v>0</x:v>
      </x:c>
      <x:c r="G14" s="11" t="n">
        <x:f>COUNTIFS('02_통합적용대장'!$B$7:$B$303,$A14,'02_통합적용대장'!$M$7:$M$303,"적용",'02_통합적용대장'!$V$7:$V$303,"구현")</x:f>
        <x:v>6</x:v>
      </x:c>
      <x:c r="H14" s="11" t="n">
        <x:f>COUNTIFS('02_통합적용대장'!$B$7:$B$303,$A14,'02_통합적용대장'!$AJ$7:$AJ$303,"통과")</x:f>
        <x:v>0</x:v>
      </x:c>
      <x:c r="I14" s="12" t="n">
        <x:f>IF(C14=0,"산정대상 없음",G14/C14)</x:f>
        <x:v>0.5</x:v>
      </x:c>
      <x:c r="J14" s="12" t="n">
        <x:f>IF(C14=0,"산정대상 없음",H14/C14)</x:f>
        <x:v>0</x:v>
      </x:c>
    </x:row>
    <x:row r="15" ht="15" hidden="0" customHeight="1">
      <x:c r="A15" s="5" t="str">
        <x:v>검증·운영·보고</x:v>
      </x:c>
      <x:c r="B15" s="11" t="n">
        <x:f>COUNTIFS('02_통합적용대장'!$B$7:$B$303,$A15)</x:f>
        <x:v>24</x:v>
      </x:c>
      <x:c r="C15" s="11" t="n">
        <x:f>COUNTIFS('02_통합적용대장'!$B$7:$B$303,$A15,'02_통합적용대장'!$M$7:$M$303,"적용")</x:f>
        <x:v>24</x:v>
      </x:c>
      <x:c r="D15" s="11" t="n">
        <x:f>COUNTIFS('02_통합적용대장'!$B$7:$B$303,$A15,'02_통합적용대장'!$M$7:$M$303,"조건부")</x:f>
        <x:v>0</x:v>
      </x:c>
      <x:c r="E15" s="11" t="n">
        <x:f>COUNTIFS('02_통합적용대장'!$B$7:$B$303,$A15,'02_통합적용대장'!$M$7:$M$303,"해당없음")</x:f>
        <x:v>0</x:v>
      </x:c>
      <x:c r="F15" s="11" t="n">
        <x:f>COUNTIFS('02_통합적용대장'!$B$7:$B$303,$A15,'02_통합적용대장'!$M$7:$M$303,"확인필요")</x:f>
        <x:v>0</x:v>
      </x:c>
      <x:c r="G15" s="11" t="n">
        <x:f>COUNTIFS('02_통합적용대장'!$B$7:$B$303,$A15,'02_통합적용대장'!$M$7:$M$303,"적용",'02_통합적용대장'!$V$7:$V$303,"구현")</x:f>
        <x:v>13</x:v>
      </x:c>
      <x:c r="H15" s="11" t="n">
        <x:f>COUNTIFS('02_통합적용대장'!$B$7:$B$303,$A15,'02_통합적용대장'!$AJ$7:$AJ$303,"통과")</x:f>
        <x:v>0</x:v>
      </x:c>
      <x:c r="I15" s="12" t="n">
        <x:f>IF(C15=0,"산정대상 없음",G15/C15)</x:f>
        <x:v>0.5416666666666666</x:v>
      </x:c>
      <x:c r="J15" s="12" t="n">
        <x:f>IF(C15=0,"산정대상 없음",H15/C15)</x:f>
        <x:v>0</x:v>
      </x:c>
    </x:row>
    <x:row r="18">
      <x:c r="A18" s="13" t="str">
        <x:v>집계 방법</x:v>
      </x:c>
    </x:row>
    <x:row r="20" ht="24" customHeight="1">
      <x:c r="A20" s="16" t="str">
        <x:v>관리행 297개는 중복을 포함하는 통합 관리단위입니다. 표준군을 합산한 단일 준수율은 산정하지 않습니다.</x:v>
      </x:c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 ht="24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 ht="24" customHeight="1">
      <x:c r="A22" s="16" t="str">
        <x:v>구현률 = 적용 확정 중 구현 / 적용 확정. 검증완료율 = 필요한 자동·수동 및 증빙을 모두 갖춘 통과 / 적용 확정.</x:v>
      </x:c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 ht="24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 ht="24" customHeight="1">
      <x:c r="A24" s="16" t="str">
        <x:v>검증완료는 구현 파일·시험 ID·유효 증빙·원장 통과·검토자·검토시각 및 필요한 시험의 통과를 요구합니다. 미실행·부분확인·회사 편차는 통과에 포함하지 않습니다.</x:v>
      </x:c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24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 ht="24" customHeight="1">
      <x:c r="A26" s="16" t="str">
        <x:v>02 시트 노란색 상태 필드는 편집할 수 있습니다. 요약은 해당 필드를 참조하는 수식입니다. 원장 JSON을 수정 후 reports 명령으로 재생성하면 Excel 편집은 덮어씁니다.</x:v>
      </x:c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 ht="24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 ht="24" customHeight="1">
      <x:c r="A28" s="16" t="str">
        <x:v>유효 증빙 수는 생성 시 파일 존재와 SHA-256 일치를 검사한 값입니다. Excel에서 증빙 ID만 편집한 경우에는 JSON 원장과 증빙을 갱신하고 보고서를 재생성하세요.</x:v>
      </x:c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 ht="24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 ht="24" customHeight="1">
      <x:c r="A30" s="16" t="str">
        <x:v>원문: KRDS 번호 후보 725개, 구조 103개, 비번호 상호작용 52쪽. 원문 전수 준수 증명이 아닙니다.</x:v>
      </x:c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 ht="24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 ht="24" customHeight="1">
      <x:c r="A32" s="16" t="str">
        <x:v>MDR 명칭 확인 / 원본코드표·사업적용범위 확인필요</x:v>
      </x:c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 ht="24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 ht="24" customHeight="1">
      <x:c r="A34" s="16" t="str">
        <x:v>원문 등급·그림/예외/비번호 규칙 전수 수동 검토 미완료</x:v>
      </x:c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 ht="24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 ht="24" customHeight="1">
      <x:c r="A36" s="16" t="str">
        <x:v>NVDA/TalkBack/VoiceOver 실제 음성·당사자 사용성 평가 미실행</x:v>
      </x:c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 ht="24" customHeight="1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 ht="24" customHeight="1">
      <x:c r="A38" s="16" t="str">
        <x:v>운영 TLS·백신·상용 정적분석·외부 CI 실제실행 미확인</x:v>
      </x:c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 ht="24" customHeight="1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 ht="24" customHeight="1">
      <x:c r="A40" s="16" t="str">
        <x:v>자동 assertion 통과는 해당 표준 전체 통과나 인증이 아님</x:v>
      </x:c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 ht="24" customHeight="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 ht="24" customHeight="1">
      <x:c r="A42" s="16" t="str">
        <x:v>검토자/검토일 자동생성하지 않으며 종합 검증완료는 보류</x:v>
      </x:c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 ht="24" customHeight="1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</x:sheetData>
  <x:mergeCells>
    <x:mergeCell ref="A20:J21"/>
    <x:mergeCell ref="A22:J23"/>
    <x:mergeCell ref="A24:J25"/>
    <x:mergeCell ref="A26:J27"/>
    <x:mergeCell ref="A28:J29"/>
    <x:mergeCell ref="A30:J31"/>
    <x:mergeCell ref="A32:J33"/>
    <x:mergeCell ref="A34:J35"/>
    <x:mergeCell ref="A36:J37"/>
    <x:mergeCell ref="A38:J39"/>
    <x:mergeCell ref="A40:J41"/>
    <x:mergeCell ref="A42:J43"/>
  </x:mergeCells>
  <x:pageMargins left="0.7" right="0.7" top="0.75" bottom="0.75" header="0.3" footer="0.3"/>
  <x:tableParts count="1">
    <x:tablePart xmlns:r="http://schemas.openxmlformats.org/officeDocument/2006/relationships" r:id="R41b0e5f57f7147a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4" hidden="0" customWidth="1"/>
    <x:col min="4" max="4" width="31" hidden="0" customWidth="1"/>
    <x:col min="5" max="5" width="64" hidden="0" customWidth="1"/>
    <x:col min="6" max="6" width="15" hidden="0" customWidth="1"/>
    <x:col min="7" max="7" width="28" hidden="0" customWidth="1"/>
    <x:col min="8" max="8" width="34" hidden="0" customWidth="1"/>
    <x:col min="9" max="9" width="15" hidden="0" customWidth="1"/>
    <x:col min="10" max="10" width="28" hidden="0" customWidth="1"/>
    <x:col min="11" max="11" width="29" hidden="0" customWidth="1"/>
    <x:col min="12" max="12" width="18" hidden="0" customWidth="1"/>
    <x:col min="13" max="13" width="16" hidden="0" customWidth="1"/>
    <x:col min="14" max="14" width="50" hidden="0" customWidth="1"/>
    <x:col min="15" max="15" width="47" hidden="0" customWidth="1"/>
    <x:col min="16" max="16" width="24" hidden="0" customWidth="1"/>
    <x:col min="17" max="17" width="58" hidden="0" customWidth="1"/>
    <x:col min="18" max="18" width="58" hidden="0" customWidth="1"/>
    <x:col min="19" max="19" width="18" hidden="0" customWidth="1"/>
    <x:col min="20" max="20" width="20" hidden="0" customWidth="1"/>
    <x:col min="21" max="21" width="13" hidden="0" customWidth="1"/>
    <x:col min="22" max="22" width="16" hidden="0" customWidth="1"/>
    <x:col min="23" max="23" width="64" hidden="0" customWidth="1"/>
    <x:col min="24" max="24" width="70" hidden="0" customWidth="1"/>
    <x:col min="25" max="25" width="38" hidden="0" customWidth="1"/>
    <x:col min="26" max="26" width="16" hidden="0" customWidth="1"/>
    <x:col min="27" max="27" width="16" hidden="0" customWidth="1"/>
    <x:col min="28" max="28" width="45" hidden="0" customWidth="1"/>
    <x:col min="29" max="29" width="15" hidden="0" customWidth="1"/>
    <x:col min="30" max="30" width="15" hidden="0" customWidth="1"/>
    <x:col min="31" max="31" width="18" hidden="0" customWidth="1"/>
    <x:col min="32" max="32" width="18" hidden="0" customWidth="1"/>
    <x:col min="33" max="33" width="18" hidden="0" customWidth="1"/>
    <x:col min="34" max="34" width="25" hidden="0" customWidth="1"/>
    <x:col min="35" max="35" width="28" hidden="0" customWidth="1"/>
    <x:col min="36" max="36" width="18" hidden="0" customWidth="1"/>
    <x:col min="37" max="37" width="25" hidden="0" customWidth="1"/>
    <x:col min="38" max="38" width="40" hidden="0" customWidth="1"/>
    <x:col min="39" max="39" width="60" hidden="0" customWidth="1"/>
  </x:cols>
  <x:sheetData>
    <x:row r="2">
      <x:c r="A2" s="1" t="str">
        <x:v>통합 표준 적용대장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</x:row>
    <x:row r="3">
      <x:c r="A3" s="2" t="str">
        <x:v>2026-10-20 / 회사 승인 전 / 자동·수동·증빙·편차 조건을 모두 충족한 항목만 검증완료로 집계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6" ht="42" customHeight="1">
      <x:c r="A6" s="9" t="str">
        <x:v>규칙 ID</x:v>
      </x:c>
      <x:c r="B6" s="9" t="str">
        <x:v>표준군</x:v>
      </x:c>
      <x:c r="C6" s="9" t="str">
        <x:v>세부 범주</x:v>
      </x:c>
      <x:c r="D6" s="9" t="str">
        <x:v>항목명</x:v>
      </x:c>
      <x:c r="E6" s="9" t="str">
        <x:v>요구사항</x:v>
      </x:c>
      <x:c r="F6" s="9" t="str">
        <x:v>출처 ID</x:v>
      </x:c>
      <x:c r="G6" s="9" t="str">
        <x:v>출처 판본</x:v>
      </x:c>
      <x:c r="H6" s="9" t="str">
        <x:v>원문 절</x:v>
      </x:c>
      <x:c r="I6" s="9" t="str">
        <x:v>원문 페이지</x:v>
      </x:c>
      <x:c r="J6" s="9" t="str">
        <x:v>기준 계층</x:v>
      </x:c>
      <x:c r="K6" s="9" t="str">
        <x:v>원문 요구수준</x:v>
      </x:c>
      <x:c r="L6" s="9" t="str">
        <x:v>회사 요구수준</x:v>
      </x:c>
      <x:c r="M6" s="9" t="str">
        <x:v>적용성</x:v>
      </x:c>
      <x:c r="N6" s="9" t="str">
        <x:v>적용성 사유</x:v>
      </x:c>
      <x:c r="O6" s="9" t="str">
        <x:v>재평가 조건</x:v>
      </x:c>
      <x:c r="P6" s="9" t="str">
        <x:v>대상 화면</x:v>
      </x:c>
      <x:c r="Q6" s="9" t="str">
        <x:v>설계·적용 방법</x:v>
      </x:c>
      <x:c r="R6" s="9" t="str">
        <x:v>검증 방법</x:v>
      </x:c>
      <x:c r="S6" s="9" t="str">
        <x:v>필요 검증</x:v>
      </x:c>
      <x:c r="T6" s="9" t="str">
        <x:v>담당 역할</x:v>
      </x:c>
      <x:c r="U6" s="9" t="str">
        <x:v>우선순위</x:v>
      </x:c>
      <x:c r="V6" s="9" t="str">
        <x:v>구현 상태</x:v>
      </x:c>
      <x:c r="W6" s="9" t="str">
        <x:v>실제 구현 요약</x:v>
      </x:c>
      <x:c r="X6" s="9" t="str">
        <x:v>구현 파일#심볼</x:v>
      </x:c>
      <x:c r="Y6" s="9" t="str">
        <x:v>시험 ID</x:v>
      </x:c>
      <x:c r="Z6" s="9" t="str">
        <x:v>자동 결과</x:v>
      </x:c>
      <x:c r="AA6" s="9" t="str">
        <x:v>수동 결과</x:v>
      </x:c>
      <x:c r="AB6" s="9" t="str">
        <x:v>증빙 ID</x:v>
      </x:c>
      <x:c r="AC6" s="9" t="str">
        <x:v>유효 증빙 수</x:v>
      </x:c>
      <x:c r="AD6" s="9" t="str">
        <x:v>연결 시험 수</x:v>
      </x:c>
      <x:c r="AE6" s="9" t="str">
        <x:v>원장 최종결과</x:v>
      </x:c>
      <x:c r="AF6" s="9" t="str">
        <x:v>편차 ID</x:v>
      </x:c>
      <x:c r="AG6" s="9" t="str">
        <x:v>검토자</x:v>
      </x:c>
      <x:c r="AH6" s="9" t="str">
        <x:v>검토 시각</x:v>
      </x:c>
      <x:c r="AI6" s="9" t="str">
        <x:v>원문검토 상태</x:v>
      </x:c>
      <x:c r="AJ6" s="9" t="str">
        <x:v>검증완료 판정</x:v>
      </x:c>
      <x:c r="AK6" s="9" t="str">
        <x:v>원문 섹션 ID</x:v>
      </x:c>
      <x:c r="AL6" s="9" t="str">
        <x:v>관련 기준</x:v>
      </x:c>
      <x:c r="AM6" s="9" t="str">
        <x:v>추가 설명</x:v>
      </x:c>
    </x:row>
    <x:row r="7" ht="52.79999923706055" hidden="0" customHeight="1">
      <x:c r="A7" s="5" t="str">
        <x:v>GOV-001</x:v>
      </x:c>
      <x:c r="B7" s="5" t="str">
        <x:v>표준 운영</x:v>
      </x:c>
      <x:c r="C7" s="5" t="str">
        <x:v>표준 운영</x:v>
      </x:c>
      <x:c r="D7" s="5" t="str">
        <x:v>출처·버전 고정</x:v>
      </x:c>
      <x:c r="E7" s="5" t="str">
        <x:v>표준명·발행처·판본·참조일·적용대상과 원문 위치를 기록한다.</x:v>
      </x:c>
      <x:c r="F7" s="5" t="str">
        <x:v>SRC-007</x:v>
      </x:c>
      <x:c r="G7" s="5" t="str">
        <x:v>회사0.1 / 출처판본 별도</x:v>
      </x:c>
      <x:c r="H7" s="5" t="str">
        <x:v>세부 조항 직접 인용 아님</x:v>
      </x:c>
      <x:c r="I7" s="5" t="str"/>
      <x:c r="J7" s="5" t="str">
        <x:v>외부 권고를 사내 기준으로 구체화</x:v>
      </x:c>
      <x:c r="K7" s="5" t="str">
        <x:v>해당없음(사내 기준)</x:v>
      </x:c>
      <x:c r="L7" s="5" t="str">
        <x:v>MUST(안)</x:v>
      </x:c>
      <x:c r="M7" s="10" t="str">
        <x:v>적용</x:v>
      </x:c>
      <x:c r="N7" s="5" t="str">
        <x:v>현재 샘플의 회사 필수 기준으로 채택 제안</x:v>
      </x:c>
      <x:c r="O7" s="5" t="str">
        <x:v>관련 기능·적용 기관·계약 변경 시 재평가</x:v>
      </x:c>
      <x:c r="P7" s="5" t="str">
        <x:v>S01~S08 / 공통</x:v>
      </x:c>
      <x:c r="Q7" s="5" t="str">
        <x:v>standards/catalog.json 및 SOURCES.md에 관리하고 수정 시 변경이력을 남긴다.</x:v>
      </x:c>
      <x:c r="R7" s="5" t="str">
        <x:v>원문과 카탈로그 버전·링크·페이지를 대조한다.</x:v>
      </x:c>
      <x:c r="S7" s="10" t="str">
        <x:v>자동+수동</x:v>
      </x:c>
      <x:c r="T7" s="5" t="str">
        <x:v>개발·QA</x:v>
      </x:c>
      <x:c r="U7" s="5" t="str">
        <x:v>P1</x:v>
      </x:c>
      <x:c r="V7" s="10" t="str">
        <x:v>구현</x:v>
      </x:c>
      <x:c r="W7" s="5" t="str">
        <x:v>출처 등록부에 발행기관·판본·URL·수집일·원본파일과 SHA256을 보존하고 카탈로그의 절/쪽 필드에 연결한다. 원문 등급과 현행 법령의 전수 확인은 별도 미완료다.</x:v>
      </x:c>
      <x:c r="X7" s="5" t="str">
        <x:v>scripts/build-standards.py#main
standards/source-register.json#SRC-001
standards/source-manifest.json
standards/catalog.json#source_version</x:v>
      </x:c>
      <x:c r="Y7" s="5" t="str">
        <x:v>MAN-GOV-001</x:v>
      </x:c>
      <x:c r="Z7" s="10" t="str">
        <x:v>미실행</x:v>
      </x:c>
      <x:c r="AA7" s="10" t="str">
        <x:v>미실행</x:v>
      </x:c>
      <x:c r="AB7" s="5" t="str"/>
      <x:c r="AC7" s="5" t="n">
        <x:v>0</x:v>
      </x:c>
      <x:c r="AD7" s="5" t="n">
        <x:v>1</x:v>
      </x:c>
      <x:c r="AE7" s="10" t="str">
        <x:v>미실행</x:v>
      </x:c>
      <x:c r="AF7" s="5" t="str"/>
      <x:c r="AG7" s="5" t="str"/>
      <x:c r="AH7" s="5" t="str"/>
      <x:c r="AI7" s="10" t="str">
        <x:v>입력 기준 유지</x:v>
      </x:c>
      <x:c r="AJ7" s="5" t="str">
        <x:f>IF(AND(M7="적용",V7="구현",X7&lt;&gt;"",Y7&lt;&gt;"",AB7&lt;&gt;"",AC7&gt;0,AD7&gt;0,AE7="통과",AF7="",AG7&lt;&gt;"",AH7&lt;&gt;"",OR(S7="자동",S7="수동",S7="자동+수동"),IF(OR(S7="자동",S7="자동+수동"),Z7="통과",TRUE),IF(OR(S7="수동",S7="자동+수동"),AA7="통과",TRUE)),"통과",IF(OR(Z7="실패",AA7="실패",AE7="실패"),"실패","보류"))</x:f>
        <x:v>보류</x:v>
      </x:c>
      <x:c r="AK7" s="5" t="str"/>
      <x:c r="AL7" s="5" t="str"/>
      <x:c r="AM7" s="5" t="str">
        <x:v>입력 v0.1 계획 주석은 original_plan_note에 보존. 최신 구현·시험·증빙은 연결 적용기록을 참조하며 전체 준수·인증을 주장하지 않음.</x:v>
      </x:c>
    </x:row>
    <x:row r="8" ht="39.599998474121094" hidden="0" customHeight="1">
      <x:c r="A8" s="5" t="str">
        <x:v>GOV-002</x:v>
      </x:c>
      <x:c r="B8" s="5" t="str">
        <x:v>표준 운영</x:v>
      </x:c>
      <x:c r="C8" s="5" t="str">
        <x:v>표준 운영</x:v>
      </x:c>
      <x:c r="D8" s="5" t="str">
        <x:v>적용성·의무수준 분리</x:v>
      </x:c>
      <x:c r="E8" s="5" t="str">
        <x:v>법령·계약 요구, 외부 표준 권고, 사내 MUST/SHOULD를 구분한다.</x:v>
      </x:c>
      <x:c r="F8" s="5" t="str">
        <x:v>SRC-003</x:v>
      </x:c>
      <x:c r="G8" s="5" t="str">
        <x:v>회사0.1 / 출처판본 별도</x:v>
      </x:c>
      <x:c r="H8" s="5" t="str">
        <x:v>세부 조항 직접 인용 아님</x:v>
      </x:c>
      <x:c r="I8" s="5" t="str"/>
      <x:c r="J8" s="5" t="str">
        <x:v>사내 기준(안)</x:v>
      </x:c>
      <x:c r="K8" s="5" t="str">
        <x:v>해당없음(사내 기준)</x:v>
      </x:c>
      <x:c r="L8" s="5" t="str">
        <x:v>MUST(안)</x:v>
      </x:c>
      <x:c r="M8" s="10" t="str">
        <x:v>적용</x:v>
      </x:c>
      <x:c r="N8" s="5" t="str">
        <x:v>현재 샘플의 회사 필수 기준으로 채택 제안</x:v>
      </x:c>
      <x:c r="O8" s="5" t="str">
        <x:v>관련 기능·적용 기관·계약 변경 시 재평가</x:v>
      </x:c>
      <x:c r="P8" s="5" t="str">
        <x:v>S01~S08 / 공통</x:v>
      </x:c>
      <x:c r="Q8" s="5" t="str">
        <x:v>각 규칙에 근거성격, 의무수준, 언어/기능 조건, 적용여부를 둔다.</x:v>
      </x:c>
      <x:c r="R8" s="5" t="str">
        <x:v>적용/조건부/해당없음/확인필요에 근거가 있는지 검토한다.</x:v>
      </x:c>
      <x:c r="S8" s="10" t="str">
        <x:v>자동+수동</x:v>
      </x:c>
      <x:c r="T8" s="5" t="str">
        <x:v>개발·QA</x:v>
      </x:c>
      <x:c r="U8" s="5" t="str">
        <x:v>P1</x:v>
      </x:c>
      <x:c r="V8" s="10" t="str">
        <x:v>구현</x:v>
      </x:c>
      <x:c r="W8" s="5" t="str">
        <x:v>카탈로그에서 reference_kind, source_requirement_level, company_level, applicability를 분리하고 조건부/해당없음의 사유와 재평가 조건을 적용 기록으로 유지한다. 법적 적용 의무의 최종 판단은 미실행이다.</x:v>
      </x:c>
      <x:c r="X8" s="5" t="str">
        <x:v>scripts/build-standards.py#main
standards/catalog.json#reference_kind
standards/profiles/common.json#mandatory_levels_separate_from_source</x:v>
      </x:c>
      <x:c r="Y8" s="5" t="str">
        <x:v>MAN-GOV-002</x:v>
      </x:c>
      <x:c r="Z8" s="10" t="str">
        <x:v>미실행</x:v>
      </x:c>
      <x:c r="AA8" s="10" t="str">
        <x:v>미실행</x:v>
      </x:c>
      <x:c r="AB8" s="5" t="str"/>
      <x:c r="AC8" s="5" t="n">
        <x:v>0</x:v>
      </x:c>
      <x:c r="AD8" s="5" t="n">
        <x:v>1</x:v>
      </x:c>
      <x:c r="AE8" s="10" t="str">
        <x:v>미실행</x:v>
      </x:c>
      <x:c r="AF8" s="5" t="str"/>
      <x:c r="AG8" s="5" t="str"/>
      <x:c r="AH8" s="5" t="str"/>
      <x:c r="AI8" s="10" t="str">
        <x:v>입력 기준 유지</x:v>
      </x:c>
      <x:c r="AJ8" s="5" t="str">
        <x:f>IF(AND(M8="적용",V8="구현",X8&lt;&gt;"",Y8&lt;&gt;"",AB8&lt;&gt;"",AC8&gt;0,AD8&gt;0,AE8="통과",AF8="",AG8&lt;&gt;"",AH8&lt;&gt;"",OR(S8="자동",S8="수동",S8="자동+수동"),IF(OR(S8="자동",S8="자동+수동"),Z8="통과",TRUE),IF(OR(S8="수동",S8="자동+수동"),AA8="통과",TRUE)),"통과",IF(OR(Z8="실패",AA8="실패",AE8="실패"),"실패","보류"))</x:f>
        <x:v>보류</x:v>
      </x:c>
      <x:c r="AK8" s="5" t="str"/>
      <x:c r="AL8" s="5" t="str"/>
      <x:c r="AM8" s="5" t="str">
        <x:v>입력 v0.1 계획 주석은 original_plan_note에 보존. 최신 구현·시험·증빙은 연결 적용기록을 참조하며 전체 준수·인증을 주장하지 않음.</x:v>
      </x:c>
    </x:row>
    <x:row r="9" ht="39.599998474121094" hidden="0" customHeight="1">
      <x:c r="A9" s="5" t="str">
        <x:v>GOV-003</x:v>
      </x:c>
      <x:c r="B9" s="5" t="str">
        <x:v>표준 운영</x:v>
      </x:c>
      <x:c r="C9" s="5" t="str">
        <x:v>표준 운영</x:v>
      </x:c>
      <x:c r="D9" s="5" t="str">
        <x:v>예외 승인</x:v>
      </x:c>
      <x:c r="E9" s="5" t="str">
        <x:v>예외 사유·위험·대체통제·승인자·만료일을 기록한다.</x:v>
      </x:c>
      <x:c r="F9" s="5" t="str">
        <x:v>SRC-007</x:v>
      </x:c>
      <x:c r="G9" s="5" t="str">
        <x:v>회사0.1 / 출처판본 별도</x:v>
      </x:c>
      <x:c r="H9" s="5" t="str">
        <x:v>세부 조항 직접 인용 아님</x:v>
      </x:c>
      <x:c r="I9" s="5" t="str"/>
      <x:c r="J9" s="5" t="str">
        <x:v>외부 권고를 사내 기준으로 구체화</x:v>
      </x:c>
      <x:c r="K9" s="5" t="str">
        <x:v>해당없음(사내 기준)</x:v>
      </x:c>
      <x:c r="L9" s="5" t="str">
        <x:v>MUST(안)</x:v>
      </x:c>
      <x:c r="M9" s="10" t="str">
        <x:v>적용</x:v>
      </x:c>
      <x:c r="N9" s="5" t="str">
        <x:v>현재 샘플의 회사 필수 기준으로 채택 제안</x:v>
      </x:c>
      <x:c r="O9" s="5" t="str">
        <x:v>관련 기능·적용 기관·계약 변경 시 재평가</x:v>
      </x:c>
      <x:c r="P9" s="5" t="str">
        <x:v>S01~S08 / 공통</x:v>
      </x:c>
      <x:c r="Q9" s="5" t="str">
        <x:v>deviations.json과 CI의 승인된 예외만 연결한다. 도구 오탐도 별도 판정한다.</x:v>
      </x:c>
      <x:c r="R9" s="5" t="str">
        <x:v>기한 만료·사유 누락·광범위한 무근거 suppression을 실패 처리한다.</x:v>
      </x:c>
      <x:c r="S9" s="10" t="str">
        <x:v>자동+수동</x:v>
      </x:c>
      <x:c r="T9" s="5" t="str">
        <x:v>개발·QA</x:v>
      </x:c>
      <x:c r="U9" s="5" t="str">
        <x:v>P1</x:v>
      </x:c>
      <x:c r="V9" s="10" t="str">
        <x:v>진행</x:v>
      </x:c>
      <x:c r="W9" s="5" t="str">
        <x:v>편차 필수필드와 만료기한을 자동검사하고 승인 편차의 PASS를 차단한다. 실제 위험·대체통제 검토와 회사 승인 프로세스는 미실행이며 승인된 편차도 현재 없다.</x:v>
      </x:c>
      <x:c r="X9" s="5" t="str">
        <x:v>standards/deviations.json
scripts/evidence-check.mjs#validateEvidence
tests/standards/ledger.test.mjs</x:v>
      </x:c>
      <x:c r="Y9" s="5" t="str">
        <x:v>MAN-GOV-003</x:v>
      </x:c>
      <x:c r="Z9" s="10" t="str">
        <x:v>미실행</x:v>
      </x:c>
      <x:c r="AA9" s="10" t="str">
        <x:v>미실행</x:v>
      </x:c>
      <x:c r="AB9" s="5" t="str"/>
      <x:c r="AC9" s="5" t="n">
        <x:v>0</x:v>
      </x:c>
      <x:c r="AD9" s="5" t="n">
        <x:v>1</x:v>
      </x:c>
      <x:c r="AE9" s="10" t="str">
        <x:v>미실행</x:v>
      </x:c>
      <x:c r="AF9" s="5" t="str"/>
      <x:c r="AG9" s="5" t="str"/>
      <x:c r="AH9" s="5" t="str"/>
      <x:c r="AI9" s="10" t="str">
        <x:v>입력 기준 유지</x:v>
      </x:c>
      <x:c r="AJ9" s="5" t="str">
        <x:f>IF(AND(M9="적용",V9="구현",X9&lt;&gt;"",Y9&lt;&gt;"",AB9&lt;&gt;"",AC9&gt;0,AD9&gt;0,AE9="통과",AF9="",AG9&lt;&gt;"",AH9&lt;&gt;"",OR(S9="자동",S9="수동",S9="자동+수동"),IF(OR(S9="자동",S9="자동+수동"),Z9="통과",TRUE),IF(OR(S9="수동",S9="자동+수동"),AA9="통과",TRUE)),"통과",IF(OR(Z9="실패",AA9="실패",AE9="실패"),"실패","보류"))</x:f>
        <x:v>보류</x:v>
      </x:c>
      <x:c r="AK9" s="5" t="str"/>
      <x:c r="AL9" s="5" t="str"/>
      <x:c r="AM9" s="5" t="str">
        <x:v>입력 v0.1 계획 주석은 original_plan_note에 보존. 최신 구현·시험·증빙은 연결 적용기록을 참조하며 전체 준수·인증을 주장하지 않음.</x:v>
      </x:c>
    </x:row>
    <x:row r="10" ht="52.79999923706055" hidden="0" customHeight="1">
      <x:c r="A10" s="5" t="str">
        <x:v>GOV-004</x:v>
      </x:c>
      <x:c r="B10" s="5" t="str">
        <x:v>표준 운영</x:v>
      </x:c>
      <x:c r="C10" s="5" t="str">
        <x:v>표준 운영</x:v>
      </x:c>
      <x:c r="D10" s="5" t="str">
        <x:v>요구사항 추적</x:v>
      </x:c>
      <x:c r="E10" s="5" t="str">
        <x:v>표준 ID에서 화면·코드·테스트·증빙까지 추적한다.</x:v>
      </x:c>
      <x:c r="F10" s="5" t="str">
        <x:v>SRC-003</x:v>
      </x:c>
      <x:c r="G10" s="5" t="str">
        <x:v>회사0.1 / 출처판본 별도</x:v>
      </x:c>
      <x:c r="H10" s="5" t="str">
        <x:v>세부 조항 직접 인용 아님</x:v>
      </x:c>
      <x:c r="I10" s="5" t="str"/>
      <x:c r="J10" s="5" t="str">
        <x:v>사내 기준(안)</x:v>
      </x:c>
      <x:c r="K10" s="5" t="str">
        <x:v>해당없음(사내 기준)</x:v>
      </x:c>
      <x:c r="L10" s="5" t="str">
        <x:v>MUST(안)</x:v>
      </x:c>
      <x:c r="M10" s="10" t="str">
        <x:v>적용</x:v>
      </x:c>
      <x:c r="N10" s="5" t="str">
        <x:v>현재 샘플의 회사 필수 기준으로 채택 제안</x:v>
      </x:c>
      <x:c r="O10" s="5" t="str">
        <x:v>관련 기능·적용 기관·계약 변경 시 재평가</x:v>
      </x:c>
      <x:c r="P10" s="5" t="str">
        <x:v>S01~S08 / 공통</x:v>
      </x:c>
      <x:c r="Q10" s="5" t="str">
        <x:v>표준-기능-컴포넌트-파일경로-시험ID-증빙ID 매핑을 한 원장으로 관리한다.</x:v>
      </x:c>
      <x:c r="R10" s="5" t="str">
        <x:v>Excel과 보고서의 동일 ID 및 깨진 경로를 검사한다.</x:v>
      </x:c>
      <x:c r="S10" s="10" t="str">
        <x:v>자동+수동</x:v>
      </x:c>
      <x:c r="T10" s="5" t="str">
        <x:v>개발·QA</x:v>
      </x:c>
      <x:c r="U10" s="5" t="str">
        <x:v>P1</x:v>
      </x:c>
      <x:c r="V10" s="10" t="str">
        <x:v>구현</x:v>
      </x:c>
      <x:c r="W10" s="5" t="str">
        <x:v>각 규칙에 구현 경로·논리시험·실행증빙 ID를 연결하고 원장 생성과 ID/경로/hash/commit 검사로 추적한다. 개별 조항의 전수 충족이나 사람의 검토를 코드 존재로 추정하지 않는다.</x:v>
      </x:c>
      <x:c r="X10" s="5" t="str">
        <x:v>scripts/build-standards.py#code_for
scripts/build-standards.py#main
scripts/evidence-check.mjs#validateEvidence
standards/code-map-backend.json</x:v>
      </x:c>
      <x:c r="Y10" s="5" t="str">
        <x:v>AUTO-LEDGER
MAN-GOV-004</x:v>
      </x:c>
      <x:c r="Z10" s="10" t="str">
        <x:v>부분확인</x:v>
      </x:c>
      <x:c r="AA10" s="10" t="str">
        <x:v>미실행</x:v>
      </x:c>
      <x:c r="AB10" s="5" t="str">
        <x:v>AUTO-LEDGER-2026-10-20T06-18-33-156Z</x:v>
      </x:c>
      <x:c r="AC10" s="5" t="n">
        <x:v>1</x:v>
      </x:c>
      <x:c r="AD10" s="5" t="n">
        <x:v>2</x:v>
      </x:c>
      <x:c r="AE10" s="10" t="str">
        <x:v>부분확인</x:v>
      </x:c>
      <x:c r="AF10" s="5" t="str"/>
      <x:c r="AG10" s="5" t="str"/>
      <x:c r="AH10" s="5" t="str"/>
      <x:c r="AI10" s="10" t="str">
        <x:v>입력 기준 유지</x:v>
      </x:c>
      <x:c r="AJ10" s="5" t="str">
        <x:f>IF(AND(M10="적용",V10="구현",X10&lt;&gt;"",Y10&lt;&gt;"",AB10&lt;&gt;"",AC10&gt;0,AD10&gt;0,AE10="통과",AF10="",AG10&lt;&gt;"",AH10&lt;&gt;"",OR(S10="자동",S10="수동",S10="자동+수동"),IF(OR(S10="자동",S10="자동+수동"),Z10="통과",TRUE),IF(OR(S10="수동",S10="자동+수동"),AA10="통과",TRUE)),"통과",IF(OR(Z10="실패",AA10="실패",AE10="실패"),"실패","보류"))</x:f>
        <x:v>보류</x:v>
      </x:c>
      <x:c r="AK10" s="5" t="str"/>
      <x:c r="AL10" s="5" t="str"/>
      <x:c r="AM10" s="5" t="str">
        <x:v>입력 v0.1 계획 주석은 original_plan_note에 보존. 최신 구현·시험·증빙은 연결 적용기록을 참조하며 전체 준수·인증을 주장하지 않음.</x:v>
      </x:c>
    </x:row>
    <x:row r="11" ht="39.599998474121094" hidden="0" customHeight="1">
      <x:c r="A11" s="5" t="str">
        <x:v>GOV-005</x:v>
      </x:c>
      <x:c r="B11" s="5" t="str">
        <x:v>표준 운영</x:v>
      </x:c>
      <x:c r="C11" s="5" t="str">
        <x:v>표준 운영</x:v>
      </x:c>
      <x:c r="D11" s="5" t="str">
        <x:v>리뷰·변경관리</x:v>
      </x:c>
      <x:c r="E11" s="5" t="str">
        <x:v>위험도에 따라 리뷰하고 표준·코드·검사설정 변경을 함께 검토한다.</x:v>
      </x:c>
      <x:c r="F11" s="5" t="str">
        <x:v>SRC-007</x:v>
      </x:c>
      <x:c r="G11" s="5" t="str">
        <x:v>회사0.1 / 출처판본 별도</x:v>
      </x:c>
      <x:c r="H11" s="5" t="str">
        <x:v>세부 조항 직접 인용 아님</x:v>
      </x:c>
      <x:c r="I11" s="5" t="str"/>
      <x:c r="J11" s="5" t="str">
        <x:v>외부 권고를 사내 기준으로 구체화</x:v>
      </x:c>
      <x:c r="K11" s="5" t="str">
        <x:v>해당없음(사내 기준)</x:v>
      </x:c>
      <x:c r="L11" s="5" t="str">
        <x:v>MUST(안)</x:v>
      </x:c>
      <x:c r="M11" s="10" t="str">
        <x:v>적용</x:v>
      </x:c>
      <x:c r="N11" s="5" t="str">
        <x:v>현재 샘플의 회사 필수 기준으로 채택 제안</x:v>
      </x:c>
      <x:c r="O11" s="5" t="str">
        <x:v>관련 기능·적용 기관·계약 변경 시 재평가</x:v>
      </x:c>
      <x:c r="P11" s="5" t="str">
        <x:v>S01, S05</x:v>
      </x:c>
      <x:c r="Q11" s="5" t="str">
        <x:v>PR 템플릿에 영향규칙·검증·예외를 넣고 인증·권한 변경은 지정 검토자가 확인한다.</x:v>
      </x:c>
      <x:c r="R11" s="5" t="str">
        <x:v>리뷰 기록과 변경된 기준 파일을 대조한다.</x:v>
      </x:c>
      <x:c r="S11" s="10" t="str">
        <x:v>자동+수동</x:v>
      </x:c>
      <x:c r="T11" s="5" t="str">
        <x:v>개발·QA</x:v>
      </x:c>
      <x:c r="U11" s="5" t="str">
        <x:v>P1</x:v>
      </x:c>
      <x:c r="V11" s="10" t="str">
        <x:v>진행</x:v>
      </x:c>
      <x:c r="W11" s="5" t="str">
        <x:v>구현 변경과 증빙의 commit·소스 hash를 기록하고 변경요약을 제공한다. 위험도별 PR 템플릿, 지정 검토자 승인 및 실제 독립 리뷰 기록은 미구현/미실행이다.</x:v>
      </x:c>
      <x:c r="X11" s="5" t="str">
        <x:v>scripts/evidence-lib.mjs#sourceSnapshot
scripts/evidence-lib.mjs#recordArtifact
docs/COMPANY_CODING_STANDARD.md</x:v>
      </x:c>
      <x:c r="Y11" s="5" t="str">
        <x:v>MAN-GOV-005</x:v>
      </x:c>
      <x:c r="Z11" s="10" t="str">
        <x:v>미실행</x:v>
      </x:c>
      <x:c r="AA11" s="10" t="str">
        <x:v>미실행</x:v>
      </x:c>
      <x:c r="AB11" s="5" t="str"/>
      <x:c r="AC11" s="5" t="n">
        <x:v>0</x:v>
      </x:c>
      <x:c r="AD11" s="5" t="n">
        <x:v>1</x:v>
      </x:c>
      <x:c r="AE11" s="10" t="str">
        <x:v>미실행</x:v>
      </x:c>
      <x:c r="AF11" s="5" t="str"/>
      <x:c r="AG11" s="5" t="str"/>
      <x:c r="AH11" s="5" t="str"/>
      <x:c r="AI11" s="10" t="str">
        <x:v>입력 기준 유지</x:v>
      </x:c>
      <x:c r="AJ11" s="5" t="str">
        <x:f>IF(AND(M11="적용",V11="구현",X11&lt;&gt;"",Y11&lt;&gt;"",AB11&lt;&gt;"",AC11&gt;0,AD11&gt;0,AE11="통과",AF11="",AG11&lt;&gt;"",AH11&lt;&gt;"",OR(S11="자동",S11="수동",S11="자동+수동"),IF(OR(S11="자동",S11="자동+수동"),Z11="통과",TRUE),IF(OR(S11="수동",S11="자동+수동"),AA11="통과",TRUE)),"통과",IF(OR(Z11="실패",AA11="실패",AE11="실패"),"실패","보류"))</x:f>
        <x:v>보류</x:v>
      </x:c>
      <x:c r="AK11" s="5" t="str"/>
      <x:c r="AL11" s="5" t="str"/>
      <x:c r="AM11" s="5" t="str">
        <x:v>입력 v0.1 계획 주석은 original_plan_note에 보존. 최신 구현·시험·증빙은 연결 적용기록을 참조하며 전체 준수·인증을 주장하지 않음.</x:v>
      </x:c>
    </x:row>
    <x:row r="12" ht="66" hidden="0" customHeight="1">
      <x:c r="A12" s="5" t="str">
        <x:v>GOV-006</x:v>
      </x:c>
      <x:c r="B12" s="5" t="str">
        <x:v>표준 운영</x:v>
      </x:c>
      <x:c r="C12" s="5" t="str">
        <x:v>표준 운영</x:v>
      </x:c>
      <x:c r="D12" s="5" t="str">
        <x:v>재현 가능한 빌드</x:v>
      </x:c>
      <x:c r="E12" s="5" t="str">
        <x:v>SDK·패키지·도구 버전을 고정하고 깨끗한 환경에서 빌드한다.</x:v>
      </x:c>
      <x:c r="F12" s="5" t="str">
        <x:v>SRC-007</x:v>
      </x:c>
      <x:c r="G12" s="5" t="str">
        <x:v>회사0.1 / 출처판본 별도</x:v>
      </x:c>
      <x:c r="H12" s="5" t="str">
        <x:v>세부 조항 직접 인용 아님</x:v>
      </x:c>
      <x:c r="I12" s="5" t="str"/>
      <x:c r="J12" s="5" t="str">
        <x:v>외부 권고를 사내 기준으로 구체화</x:v>
      </x:c>
      <x:c r="K12" s="5" t="str">
        <x:v>해당없음(사내 기준)</x:v>
      </x:c>
      <x:c r="L12" s="5" t="str">
        <x:v>MUST(안)</x:v>
      </x:c>
      <x:c r="M12" s="10" t="str">
        <x:v>적용</x:v>
      </x:c>
      <x:c r="N12" s="5" t="str">
        <x:v>현재 샘플의 회사 필수 기준으로 채택 제안</x:v>
      </x:c>
      <x:c r="O12" s="5" t="str">
        <x:v>관련 기능·적용 기관·계약 변경 시 재평가</x:v>
      </x:c>
      <x:c r="P12" s="5" t="str">
        <x:v>S01~S08 / 공통</x:v>
      </x:c>
      <x:c r="Q12" s="5" t="str">
        <x:v>global.json, 패키지 잠금파일, CI 런타임 버전과 실행명령을 기록한다.</x:v>
      </x:c>
      <x:c r="R12" s="5" t="str">
        <x:v>새 작업 디렉터리에서 잠금파일을 이용해 복원·빌드한다.</x:v>
      </x:c>
      <x:c r="S12" s="10" t="str">
        <x:v>자동+수동</x:v>
      </x:c>
      <x:c r="T12" s="5" t="str">
        <x:v>개발·QA</x:v>
      </x:c>
      <x:c r="U12" s="5" t="str">
        <x:v>P1</x:v>
      </x:c>
      <x:c r="V12" s="10" t="str">
        <x:v>진행</x:v>
      </x:c>
      <x:c r="W12" s="5" t="str">
        <x:v>SDK·NuGet·EF 도구·npm 의존성을 잠그고 locked restore와 빌드를 실제 실행한다. 완전히 깨끗한 별도 환경에서의 전체 실행 재현과 외부 CI 실행은 아직 확인하지 않았다.</x:v>
      </x:c>
      <x:c r="X12" s="5" t="str">
        <x:v>global.json#sdk
dotnet-tools.json#dotnet-ef
apps/api/packages.lock.json
scripts/backend-verify.mjs#tasks
scripts/manage.mjs#setup</x:v>
      </x:c>
      <x:c r="Y12" s="5" t="str">
        <x:v>AUTO-DISTRIBUTION
MAN-GOV-006</x:v>
      </x:c>
      <x:c r="Z12" s="10" t="str">
        <x:v>부분확인</x:v>
      </x:c>
      <x:c r="AA12" s="10" t="str">
        <x:v>미실행</x:v>
      </x:c>
      <x:c r="AB12" s="5" t="str">
        <x:v>AUTO-DISTRIBUTION-2026-10-20T06-16-19-409Z</x:v>
      </x:c>
      <x:c r="AC12" s="5" t="n">
        <x:v>1</x:v>
      </x:c>
      <x:c r="AD12" s="5" t="n">
        <x:v>2</x:v>
      </x:c>
      <x:c r="AE12" s="10" t="str">
        <x:v>부분확인</x:v>
      </x:c>
      <x:c r="AF12" s="5" t="str"/>
      <x:c r="AG12" s="5" t="str"/>
      <x:c r="AH12" s="5" t="str"/>
      <x:c r="AI12" s="10" t="str">
        <x:v>입력 기준 유지</x:v>
      </x:c>
      <x:c r="AJ12" s="5" t="str">
        <x:f>IF(AND(M12="적용",V12="구현",X12&lt;&gt;"",Y12&lt;&gt;"",AB12&lt;&gt;"",AC12&gt;0,AD12&gt;0,AE12="통과",AF12="",AG12&lt;&gt;"",AH12&lt;&gt;"",OR(S12="자동",S12="수동",S12="자동+수동"),IF(OR(S12="자동",S12="자동+수동"),Z12="통과",TRUE),IF(OR(S12="수동",S12="자동+수동"),AA12="통과",TRUE)),"통과",IF(OR(Z12="실패",AA12="실패",AE12="실패"),"실패","보류"))</x:f>
        <x:v>보류</x:v>
      </x:c>
      <x:c r="AK12" s="5" t="str"/>
      <x:c r="AL12" s="5" t="str"/>
      <x:c r="AM12" s="5" t="str">
        <x:v>입력 v0.1 계획 주석은 original_plan_note에 보존. 최신 구현·시험·증빙은 연결 적용기록을 참조하며 전체 준수·인증을 주장하지 않음.</x:v>
      </x:c>
    </x:row>
    <x:row r="13" ht="52.79999923706055" hidden="0" customHeight="1">
      <x:c r="A13" s="5" t="str">
        <x:v>GOV-007</x:v>
      </x:c>
      <x:c r="B13" s="5" t="str">
        <x:v>표준 운영</x:v>
      </x:c>
      <x:c r="C13" s="5" t="str">
        <x:v>표준 운영</x:v>
      </x:c>
      <x:c r="D13" s="5" t="str">
        <x:v>검증 상태의 진실성</x:v>
      </x:c>
      <x:c r="E13" s="5" t="str">
        <x:v>미실행을 성공으로 기록하지 않고 자동·수동 검증을 구별한다.</x:v>
      </x:c>
      <x:c r="F13" s="5" t="str">
        <x:v>SRC-003</x:v>
      </x:c>
      <x:c r="G13" s="5" t="str">
        <x:v>회사0.1 / 출처판본 별도</x:v>
      </x:c>
      <x:c r="H13" s="5" t="str">
        <x:v>세부 조항 직접 인용 아님</x:v>
      </x:c>
      <x:c r="I13" s="5" t="str"/>
      <x:c r="J13" s="5" t="str">
        <x:v>사내 기준(안)</x:v>
      </x:c>
      <x:c r="K13" s="5" t="str">
        <x:v>해당없음(사내 기준)</x:v>
      </x:c>
      <x:c r="L13" s="5" t="str">
        <x:v>MUST(안)</x:v>
      </x:c>
      <x:c r="M13" s="10" t="str">
        <x:v>적용</x:v>
      </x:c>
      <x:c r="N13" s="5" t="str">
        <x:v>현재 샘플의 회사 필수 기준으로 채택 제안</x:v>
      </x:c>
      <x:c r="O13" s="5" t="str">
        <x:v>관련 기능·적용 기관·계약 변경 시 재평가</x:v>
      </x:c>
      <x:c r="P13" s="5" t="str">
        <x:v>S01~S08 / 공통</x:v>
      </x:c>
      <x:c r="Q13" s="5" t="str">
        <x:v>실행시각·commit·환경·도구버전·명령·종료코드·원시결과를 보존한다.</x:v>
      </x:c>
      <x:c r="R13" s="5" t="str">
        <x:v>통과 항목에 실제 증빙이 있는지와 수동시험의 검사자 기록을 확인한다.</x:v>
      </x:c>
      <x:c r="S13" s="10" t="str">
        <x:v>자동+수동</x:v>
      </x:c>
      <x:c r="T13" s="5" t="str">
        <x:v>개발·QA</x:v>
      </x:c>
      <x:c r="U13" s="5" t="str">
        <x:v>P1</x:v>
      </x:c>
      <x:c r="V13" s="10" t="str">
        <x:v>구현</x:v>
      </x:c>
      <x:c r="W13" s="5" t="str">
        <x:v>명령 종료코드·시각·commit·도구/환경·원시파일 SHA256을 증빙에 기록하고 자동 결과와 미실행 수동 결과를 분리한다. 검토자와 화면낭독기 결과를 자동 생성하지 않는다.</x:v>
      </x:c>
      <x:c r="X13" s="5" t="str">
        <x:v>scripts/evidence-lib.mjs#recordArtifact
scripts/evidence-lib.mjs#runCommand
scripts/evidence-check.mjs#validateEvidence
scripts/build-standards.py#main</x:v>
      </x:c>
      <x:c r="Y13" s="5" t="str">
        <x:v>AUTO-LEDGER
MAN-GOV-007</x:v>
      </x:c>
      <x:c r="Z13" s="10" t="str">
        <x:v>부분확인</x:v>
      </x:c>
      <x:c r="AA13" s="10" t="str">
        <x:v>미실행</x:v>
      </x:c>
      <x:c r="AB13" s="5" t="str">
        <x:v>AUTO-LEDGER-2026-10-20T06-18-33-156Z</x:v>
      </x:c>
      <x:c r="AC13" s="5" t="n">
        <x:v>1</x:v>
      </x:c>
      <x:c r="AD13" s="5" t="n">
        <x:v>2</x:v>
      </x:c>
      <x:c r="AE13" s="10" t="str">
        <x:v>부분확인</x:v>
      </x:c>
      <x:c r="AF13" s="5" t="str"/>
      <x:c r="AG13" s="5" t="str"/>
      <x:c r="AH13" s="5" t="str"/>
      <x:c r="AI13" s="10" t="str">
        <x:v>입력 기준 유지</x:v>
      </x:c>
      <x:c r="AJ13" s="5" t="str">
        <x:f>IF(AND(M13="적용",V13="구현",X13&lt;&gt;"",Y13&lt;&gt;"",AB13&lt;&gt;"",AC13&gt;0,AD13&gt;0,AE13="통과",AF13="",AG13&lt;&gt;"",AH13&lt;&gt;"",OR(S13="자동",S13="수동",S13="자동+수동"),IF(OR(S13="자동",S13="자동+수동"),Z13="통과",TRUE),IF(OR(S13="수동",S13="자동+수동"),AA13="통과",TRUE)),"통과",IF(OR(Z13="실패",AA13="실패",AE13="실패"),"실패","보류"))</x:f>
        <x:v>보류</x:v>
      </x:c>
      <x:c r="AK13" s="5" t="str"/>
      <x:c r="AL13" s="5" t="str"/>
      <x:c r="AM13" s="5" t="str">
        <x:v>입력 v0.1 계획 주석은 original_plan_note에 보존. 최신 구현·시험·증빙은 연결 적용기록을 참조하며 전체 준수·인증을 주장하지 않음.</x:v>
      </x:c>
    </x:row>
    <x:row r="14" ht="39.599998474121094" hidden="0" customHeight="1">
      <x:c r="A14" s="5" t="str">
        <x:v>GOV-008</x:v>
      </x:c>
      <x:c r="B14" s="5" t="str">
        <x:v>표준 운영</x:v>
      </x:c>
      <x:c r="C14" s="5" t="str">
        <x:v>표준 운영</x:v>
      </x:c>
      <x:c r="D14" s="5" t="str">
        <x:v>취약점 후속조치</x:v>
      </x:c>
      <x:c r="E14" s="5" t="str">
        <x:v>발견·판정·수정·재검증·릴리스까지 취약점 상태를 관리한다.</x:v>
      </x:c>
      <x:c r="F14" s="5" t="str">
        <x:v>SRC-007</x:v>
      </x:c>
      <x:c r="G14" s="5" t="str">
        <x:v>회사0.1 / 출처판본 별도</x:v>
      </x:c>
      <x:c r="H14" s="5" t="str">
        <x:v>세부 조항 직접 인용 아님</x:v>
      </x:c>
      <x:c r="I14" s="5" t="str"/>
      <x:c r="J14" s="5" t="str">
        <x:v>외부 권고를 사내 기준으로 구체화</x:v>
      </x:c>
      <x:c r="K14" s="5" t="str">
        <x:v>해당없음(사내 기준)</x:v>
      </x:c>
      <x:c r="L14" s="5" t="str">
        <x:v>MUST(안)</x:v>
      </x:c>
      <x:c r="M14" s="10" t="str">
        <x:v>적용</x:v>
      </x:c>
      <x:c r="N14" s="5" t="str">
        <x:v>현재 샘플의 회사 필수 기준으로 채택 제안</x:v>
      </x:c>
      <x:c r="O14" s="5" t="str">
        <x:v>관련 기능·적용 기관·계약 변경 시 재평가</x:v>
      </x:c>
      <x:c r="P14" s="5" t="str">
        <x:v>S01~S08 / 공통</x:v>
      </x:c>
      <x:c r="Q14" s="5" t="str">
        <x:v>심각도별 대응기한은 사내 승인값으로 두고 예외에는 대체통제를 명시한다.</x:v>
      </x:c>
      <x:c r="R14" s="5" t="str">
        <x:v>미해결 위험 목록과 수정 후 재실행 결과를 대조한다.</x:v>
      </x:c>
      <x:c r="S14" s="10" t="str">
        <x:v>자동+수동</x:v>
      </x:c>
      <x:c r="T14" s="5" t="str">
        <x:v>개발·QA</x:v>
      </x:c>
      <x:c r="U14" s="5" t="str">
        <x:v>P1</x:v>
      </x:c>
      <x:c r="V14" s="10" t="str">
        <x:v>진행</x:v>
      </x:c>
      <x:c r="W14" s="5" t="str">
        <x:v>npm/NuGet 실제 취약점 조회와 실패 종료 및 결과 보존을 제공한다. 심각도별 대응기한, 담당자·승인자, 취약점 이슈의 릴리스까지 후속 추적 절차는 확정되지 않았다.</x:v>
      </x:c>
      <x:c r="X14" s="5" t="str">
        <x:v>scripts/supply-chain.mjs
scripts/backend-verify.mjs#tasks
docs/SECURITY_STANDARD.md</x:v>
      </x:c>
      <x:c r="Y14" s="5" t="str">
        <x:v>AUTO-AUDIT
MAN-GOV-008</x:v>
      </x:c>
      <x:c r="Z14" s="10" t="str">
        <x:v>부분확인</x:v>
      </x:c>
      <x:c r="AA14" s="10" t="str">
        <x:v>미실행</x:v>
      </x:c>
      <x:c r="AB14" s="5" t="str">
        <x:v>AUTO-AUDIT-2026-10-20T06-18-28-772Z</x:v>
      </x:c>
      <x:c r="AC14" s="5" t="n">
        <x:v>1</x:v>
      </x:c>
      <x:c r="AD14" s="5" t="n">
        <x:v>2</x:v>
      </x:c>
      <x:c r="AE14" s="10" t="str">
        <x:v>부분확인</x:v>
      </x:c>
      <x:c r="AF14" s="5" t="str"/>
      <x:c r="AG14" s="5" t="str"/>
      <x:c r="AH14" s="5" t="str"/>
      <x:c r="AI14" s="10" t="str">
        <x:v>입력 기준 유지</x:v>
      </x:c>
      <x:c r="AJ14" s="5" t="str">
        <x:f>IF(AND(M14="적용",V14="구현",X14&lt;&gt;"",Y14&lt;&gt;"",AB14&lt;&gt;"",AC14&gt;0,AD14&gt;0,AE14="통과",AF14="",AG14&lt;&gt;"",AH14&lt;&gt;"",OR(S14="자동",S14="수동",S14="자동+수동"),IF(OR(S14="자동",S14="자동+수동"),Z14="통과",TRUE),IF(OR(S14="수동",S14="자동+수동"),AA14="통과",TRUE)),"통과",IF(OR(Z14="실패",AA14="실패",AE14="실패"),"실패","보류"))</x:f>
        <x:v>보류</x:v>
      </x:c>
      <x:c r="AK14" s="5" t="str"/>
      <x:c r="AL14" s="5" t="str"/>
      <x:c r="AM14" s="5" t="str">
        <x:v>입력 v0.1 계획 주석은 original_plan_note에 보존. 최신 구현·시험·증빙은 연결 적용기록을 참조하며 전체 준수·인증을 주장하지 않음.</x:v>
      </x:c>
    </x:row>
    <x:row r="15" ht="52.79999923706055" hidden="0" customHeight="1">
      <x:c r="A15" s="5" t="str">
        <x:v>COD-001</x:v>
      </x:c>
      <x:c r="B15" s="5" t="str">
        <x:v>코딩</x:v>
      </x:c>
      <x:c r="C15" s="5" t="str">
        <x:v>코딩</x:v>
      </x:c>
      <x:c r="D15" s="5" t="str">
        <x:v>엄격한 타입 검사</x:v>
      </x:c>
      <x:c r="E15" s="5" t="str">
        <x:v>TypeScript strict를 적용하고 타입 우회를 제한한다.</x:v>
      </x:c>
      <x:c r="F15" s="5" t="str">
        <x:v>SRC-008</x:v>
      </x:c>
      <x:c r="G15" s="5" t="str">
        <x:v>회사0.1 / 출처판본 별도</x:v>
      </x:c>
      <x:c r="H15" s="5" t="str">
        <x:v>세부 조항 직접 인용 아님</x:v>
      </x:c>
      <x:c r="I15" s="5" t="str"/>
      <x:c r="J15" s="5" t="str">
        <x:v>언어 공식 기능을 사내 필수화</x:v>
      </x:c>
      <x:c r="K15" s="5" t="str">
        <x:v>해당없음(사내 기준)</x:v>
      </x:c>
      <x:c r="L15" s="5" t="str">
        <x:v>MUST(안)</x:v>
      </x:c>
      <x:c r="M15" s="10" t="str">
        <x:v>적용</x:v>
      </x:c>
      <x:c r="N15" s="5" t="str">
        <x:v>현재 샘플의 회사 필수 기준으로 채택 제안</x:v>
      </x:c>
      <x:c r="O15" s="5" t="str">
        <x:v>관련 기능·적용 기관·계약 변경 시 재평가</x:v>
      </x:c>
      <x:c r="P15" s="5" t="str">
        <x:v>S05</x:v>
      </x:c>
      <x:c r="Q15" s="5" t="str">
        <x:v>strict=true, 경계 입력은 unknown으로 받아 검증 후 좁힌다. any·ts-ignore에는 근거를 요구한다.</x:v>
      </x:c>
      <x:c r="R15" s="5" t="str">
        <x:v>tsc --noEmit 및 타입 린트 결과를 저장한다.</x:v>
      </x:c>
      <x:c r="S15" s="10" t="str">
        <x:v>자동+수동</x:v>
      </x:c>
      <x:c r="T15" s="5" t="str">
        <x:v>개발·QA</x:v>
      </x:c>
      <x:c r="U15" s="5" t="str">
        <x:v>P1</x:v>
      </x:c>
      <x:c r="V15" s="10" t="str">
        <x:v>구현</x:v>
      </x:c>
      <x:c r="W15" s="5" t="str">
        <x:v>TypeScript strict/noUncheckedIndexedAccess와 타입 기반 ESLint를 사용하고 서버 경계 응답을 unknown에서 명시적으로 검증한다. C#은 별도 nullable 프로파일로 관리한다.</x:v>
      </x:c>
      <x:c r="X15" s="5" t="str">
        <x:v>apps/web/tsconfig.json#compilerOptions
apps/web/eslint.config.js
apps/web/src/api.ts#parseSession
apps/web/src/api.ts#parseRequest</x:v>
      </x:c>
      <x:c r="Y15" s="5" t="str">
        <x:v>AUTO-FRONTEND
MAN-COD-001</x:v>
      </x:c>
      <x:c r="Z15" s="10" t="str">
        <x:v>부분확인</x:v>
      </x:c>
      <x:c r="AA15" s="10" t="str">
        <x:v>미실행</x:v>
      </x:c>
      <x:c r="AB15" s="5" t="str">
        <x:v>AUTO-FRONTEND-2026-10-20T06-16-58-989Z</x:v>
      </x:c>
      <x:c r="AC15" s="5" t="n">
        <x:v>1</x:v>
      </x:c>
      <x:c r="AD15" s="5" t="n">
        <x:v>2</x:v>
      </x:c>
      <x:c r="AE15" s="10" t="str">
        <x:v>부분확인</x:v>
      </x:c>
      <x:c r="AF15" s="5" t="str"/>
      <x:c r="AG15" s="5" t="str"/>
      <x:c r="AH15" s="5" t="str"/>
      <x:c r="AI15" s="10" t="str">
        <x:v>입력 기준 유지</x:v>
      </x:c>
      <x:c r="AJ15" s="5" t="str">
        <x:f>IF(AND(M15="적용",V15="구현",X15&lt;&gt;"",Y15&lt;&gt;"",AB15&lt;&gt;"",AC15&gt;0,AD15&gt;0,AE15="통과",AF15="",AG15&lt;&gt;"",AH15&lt;&gt;"",OR(S15="자동",S15="수동",S15="자동+수동"),IF(OR(S15="자동",S15="자동+수동"),Z15="통과",TRUE),IF(OR(S15="수동",S15="자동+수동"),AA15="통과",TRUE)),"통과",IF(OR(Z15="실패",AA15="실패",AE15="실패"),"실패","보류"))</x:f>
        <x:v>보류</x:v>
      </x:c>
      <x:c r="AK15" s="5" t="str"/>
      <x:c r="AL15" s="5" t="str"/>
      <x:c r="AM15" s="5" t="str">
        <x:v>입력 v0.1 계획 주석은 original_plan_note에 보존. 최신 구현·시험·증빙은 연결 적용기록을 참조하며 전체 준수·인증을 주장하지 않음.</x:v>
      </x:c>
    </x:row>
    <x:row r="16" ht="52.79999923706055" hidden="0" customHeight="1">
      <x:c r="A16" s="5" t="str">
        <x:v>COD-002</x:v>
      </x:c>
      <x:c r="B16" s="5" t="str">
        <x:v>코딩</x:v>
      </x:c>
      <x:c r="C16" s="5" t="str">
        <x:v>코딩</x:v>
      </x:c>
      <x:c r="D16" s="5" t="str">
        <x:v>명명 규칙</x:v>
      </x:c>
      <x:c r="E16" s="5" t="str">
        <x:v>언어별 명명법과 파일·폴더 규칙을 고정한다.</x:v>
      </x:c>
      <x:c r="F16" s="5" t="str">
        <x:v>SRC-003</x:v>
      </x:c>
      <x:c r="G16" s="5" t="str">
        <x:v>회사0.1 / 출처판본 별도</x:v>
      </x:c>
      <x:c r="H16" s="5" t="str">
        <x:v>세부 조항 직접 인용 아님</x:v>
      </x:c>
      <x:c r="I16" s="5" t="str"/>
      <x:c r="J16" s="5" t="str">
        <x:v>사내 기준(안)</x:v>
      </x:c>
      <x:c r="K16" s="5" t="str">
        <x:v>해당없음(사내 기준)</x:v>
      </x:c>
      <x:c r="L16" s="5" t="str">
        <x:v>MUST(안)</x:v>
      </x:c>
      <x:c r="M16" s="10" t="str">
        <x:v>적용</x:v>
      </x:c>
      <x:c r="N16" s="5" t="str">
        <x:v>현재 샘플의 회사 필수 기준으로 채택 제안</x:v>
      </x:c>
      <x:c r="O16" s="5" t="str">
        <x:v>관련 기능·적용 기관·계약 변경 시 재평가</x:v>
      </x:c>
      <x:c r="P16" s="5" t="str">
        <x:v>S01~S08 / 공통</x:v>
      </x:c>
      <x:c r="Q16" s="5" t="str">
        <x:v>TS 컴포넌트/타입 PascalCase, 변수/함수 camelCase. C#은 별도 언어 프로파일을 사용한다.</x:v>
      </x:c>
      <x:c r="R16" s="5" t="str">
        <x:v>린터·에디터 설정과 코드 표본을 확인한다.</x:v>
      </x:c>
      <x:c r="S16" s="10" t="str">
        <x:v>자동+수동</x:v>
      </x:c>
      <x:c r="T16" s="5" t="str">
        <x:v>개발·QA</x:v>
      </x:c>
      <x:c r="U16" s="5" t="str">
        <x:v>P1</x:v>
      </x:c>
      <x:c r="V16" s="10" t="str">
        <x:v>구현</x:v>
      </x:c>
      <x:c r="W16" s="5" t="str">
        <x:v>언어별 명명 기준을 문서화하고 C# 공개 타입/멤버 PascalCase 및 지역/인자 camelCase, React 컴포넌트 PascalCase의 실제 구조를 적용한다. 모든 식별자의 기계적 명명 검사는 별도 범위다.</x:v>
      </x:c>
      <x:c r="X16" s="5" t="str">
        <x:v>docs/COMPANY_CODING_STANDARD.md
standards/profiles/csharp.json#public_members
apps/api/RequestsController.cs#RequestsController
apps/web/src/App.tsx#RequestWizard</x:v>
      </x:c>
      <x:c r="Y16" s="5" t="str">
        <x:v>AUTO-FRONTEND
MAN-COD-002</x:v>
      </x:c>
      <x:c r="Z16" s="10" t="str">
        <x:v>부분확인</x:v>
      </x:c>
      <x:c r="AA16" s="10" t="str">
        <x:v>미실행</x:v>
      </x:c>
      <x:c r="AB16" s="5" t="str">
        <x:v>AUTO-FRONTEND-2026-10-20T06-16-58-989Z</x:v>
      </x:c>
      <x:c r="AC16" s="5" t="n">
        <x:v>1</x:v>
      </x:c>
      <x:c r="AD16" s="5" t="n">
        <x:v>2</x:v>
      </x:c>
      <x:c r="AE16" s="10" t="str">
        <x:v>부분확인</x:v>
      </x:c>
      <x:c r="AF16" s="5" t="str"/>
      <x:c r="AG16" s="5" t="str"/>
      <x:c r="AH16" s="5" t="str"/>
      <x:c r="AI16" s="10" t="str">
        <x:v>입력 기준 유지</x:v>
      </x:c>
      <x:c r="AJ16" s="5" t="str">
        <x:f>IF(AND(M16="적용",V16="구현",X16&lt;&gt;"",Y16&lt;&gt;"",AB16&lt;&gt;"",AC16&gt;0,AD16&gt;0,AE16="통과",AF16="",AG16&lt;&gt;"",AH16&lt;&gt;"",OR(S16="자동",S16="수동",S16="자동+수동"),IF(OR(S16="자동",S16="자동+수동"),Z16="통과",TRUE),IF(OR(S16="수동",S16="자동+수동"),AA16="통과",TRUE)),"통과",IF(OR(Z16="실패",AA16="실패",AE16="실패"),"실패","보류"))</x:f>
        <x:v>보류</x:v>
      </x:c>
      <x:c r="AK16" s="5" t="str"/>
      <x:c r="AL16" s="5" t="str"/>
      <x:c r="AM16" s="5" t="str">
        <x:v>입력 v0.1 계획 주석은 original_plan_note에 보존. 최신 구현·시험·증빙은 연결 적용기록을 참조하며 전체 준수·인증을 주장하지 않음.</x:v>
      </x:c>
    </x:row>
    <x:row r="17" ht="52.79999923706055" hidden="0" customHeight="1">
      <x:c r="A17" s="5" t="str">
        <x:v>COD-003</x:v>
      </x:c>
      <x:c r="B17" s="5" t="str">
        <x:v>코딩</x:v>
      </x:c>
      <x:c r="C17" s="5" t="str">
        <x:v>코딩</x:v>
      </x:c>
      <x:c r="D17" s="5" t="str">
        <x:v>서식 자동화</x:v>
      </x:c>
      <x:c r="E17" s="5" t="str">
        <x:v>들여쓰기·개행·인코딩·공백을 자동 통일한다.</x:v>
      </x:c>
      <x:c r="F17" s="5" t="str">
        <x:v>SRC-003</x:v>
      </x:c>
      <x:c r="G17" s="5" t="str">
        <x:v>회사0.1 / 출처판본 별도</x:v>
      </x:c>
      <x:c r="H17" s="5" t="str">
        <x:v>세부 조항 직접 인용 아님</x:v>
      </x:c>
      <x:c r="I17" s="5" t="str"/>
      <x:c r="J17" s="5" t="str">
        <x:v>사내 기준(안)</x:v>
      </x:c>
      <x:c r="K17" s="5" t="str">
        <x:v>해당없음(사내 기준)</x:v>
      </x:c>
      <x:c r="L17" s="5" t="str">
        <x:v>MUST(안)</x:v>
      </x:c>
      <x:c r="M17" s="10" t="str">
        <x:v>적용</x:v>
      </x:c>
      <x:c r="N17" s="5" t="str">
        <x:v>현재 샘플의 회사 필수 기준으로 채택 제안</x:v>
      </x:c>
      <x:c r="O17" s="5" t="str">
        <x:v>관련 기능·적용 기관·계약 변경 시 재평가</x:v>
      </x:c>
      <x:c r="P17" s="5" t="str">
        <x:v>S01~S08 / 공통</x:v>
      </x:c>
      <x:c r="Q17" s="5" t="str">
        <x:v>EditorConfig와 formatter를 커밋하고 CI에서 format check를 실행한다.</x:v>
      </x:c>
      <x:c r="R17" s="5" t="str">
        <x:v>재포맷 변경이 없는지 확인한다.</x:v>
      </x:c>
      <x:c r="S17" s="10" t="str">
        <x:v>자동+수동</x:v>
      </x:c>
      <x:c r="T17" s="5" t="str">
        <x:v>개발·QA</x:v>
      </x:c>
      <x:c r="U17" s="5" t="str">
        <x:v>P1</x:v>
      </x:c>
      <x:c r="V17" s="10" t="str">
        <x:v>구현</x:v>
      </x:c>
      <x:c r="W17" s="5" t="str">
        <x:v>EditorConfig의 UTF-8/LF/들여쓰기와 프런트 formatter, dotnet format 검사를 실행 스크립트에 고정한다. 외부 CI 실행 사실과 설정 제공은 구별한다.</x:v>
      </x:c>
      <x:c r="X17" s="5" t="str">
        <x:v>.editorconfig
scripts/backend-verify.mjs#tasks
apps/web/package.json#scripts
.github/workflows/verify.yml#verify</x:v>
      </x:c>
      <x:c r="Y17" s="5" t="str">
        <x:v>AUTO-FRONTEND
MAN-COD-003</x:v>
      </x:c>
      <x:c r="Z17" s="10" t="str">
        <x:v>부분확인</x:v>
      </x:c>
      <x:c r="AA17" s="10" t="str">
        <x:v>미실행</x:v>
      </x:c>
      <x:c r="AB17" s="5" t="str">
        <x:v>AUTO-FRONTEND-2026-10-20T06-16-58-989Z</x:v>
      </x:c>
      <x:c r="AC17" s="5" t="n">
        <x:v>1</x:v>
      </x:c>
      <x:c r="AD17" s="5" t="n">
        <x:v>2</x:v>
      </x:c>
      <x:c r="AE17" s="10" t="str">
        <x:v>부분확인</x:v>
      </x:c>
      <x:c r="AF17" s="5" t="str"/>
      <x:c r="AG17" s="5" t="str"/>
      <x:c r="AH17" s="5" t="str"/>
      <x:c r="AI17" s="10" t="str">
        <x:v>입력 기준 유지</x:v>
      </x:c>
      <x:c r="AJ17" s="5" t="str">
        <x:f>IF(AND(M17="적용",V17="구현",X17&lt;&gt;"",Y17&lt;&gt;"",AB17&lt;&gt;"",AC17&gt;0,AD17&gt;0,AE17="통과",AF17="",AG17&lt;&gt;"",AH17&lt;&gt;"",OR(S17="자동",S17="수동",S17="자동+수동"),IF(OR(S17="자동",S17="자동+수동"),Z17="통과",TRUE),IF(OR(S17="수동",S17="자동+수동"),AA17="통과",TRUE)),"통과",IF(OR(Z17="실패",AA17="실패",AE17="실패"),"실패","보류"))</x:f>
        <x:v>보류</x:v>
      </x:c>
      <x:c r="AK17" s="5" t="str"/>
      <x:c r="AL17" s="5" t="str"/>
      <x:c r="AM17" s="5" t="str">
        <x:v>입력 v0.1 계획 주석은 original_plan_note에 보존. 최신 구현·시험·증빙은 연결 적용기록을 참조하며 전체 준수·인증을 주장하지 않음.</x:v>
      </x:c>
    </x:row>
    <x:row r="18" ht="66" hidden="0" customHeight="1">
      <x:c r="A18" s="5" t="str">
        <x:v>COD-004</x:v>
      </x:c>
      <x:c r="B18" s="5" t="str">
        <x:v>코딩</x:v>
      </x:c>
      <x:c r="C18" s="5" t="str">
        <x:v>코딩</x:v>
      </x:c>
      <x:c r="D18" s="5" t="str">
        <x:v>API 계약</x:v>
      </x:c>
      <x:c r="E18" s="5" t="str">
        <x:v>요청·응답 DTO와 오류 구조를 명시하고 프런트·서버 계약을 검증한다.</x:v>
      </x:c>
      <x:c r="F18" s="5" t="str">
        <x:v>SRC-009</x:v>
      </x:c>
      <x:c r="G18" s="5" t="str">
        <x:v>회사0.1 / 출처판본 별도</x:v>
      </x:c>
      <x:c r="H18" s="5" t="str">
        <x:v>세부 조항 직접 인용 아님</x:v>
      </x:c>
      <x:c r="I18" s="5" t="str"/>
      <x:c r="J18" s="5" t="str">
        <x:v>공식 구현 가이드 참조</x:v>
      </x:c>
      <x:c r="K18" s="5" t="str">
        <x:v>해당없음(사내 기준)</x:v>
      </x:c>
      <x:c r="L18" s="5" t="str">
        <x:v>MUST(안)</x:v>
      </x:c>
      <x:c r="M18" s="10" t="str">
        <x:v>적용</x:v>
      </x:c>
      <x:c r="N18" s="5" t="str">
        <x:v>현재 샘플의 회사 필수 기준으로 채택 제안</x:v>
      </x:c>
      <x:c r="O18" s="5" t="str">
        <x:v>관련 기능·적용 기관·계약 변경 시 재평가</x:v>
      </x:c>
      <x:c r="P18" s="5" t="str">
        <x:v>S05</x:v>
      </x:c>
      <x:c r="Q18" s="5" t="str">
        <x:v>OpenAPI와 런타임 스키마를 사용하고 허용 입력 필드만 바인딩한다.</x:v>
      </x:c>
      <x:c r="R18" s="5" t="str">
        <x:v>계약시험 및 누락/추가 필드/잘못된 타입 거부시험을 실행한다.</x:v>
      </x:c>
      <x:c r="S18" s="10" t="str">
        <x:v>자동+수동</x:v>
      </x:c>
      <x:c r="T18" s="5" t="str">
        <x:v>개발·QA</x:v>
      </x:c>
      <x:c r="U18" s="5" t="str">
        <x:v>P1</x:v>
      </x:c>
      <x:c r="V18" s="10" t="str">
        <x:v>진행</x:v>
      </x:c>
      <x:c r="W18" s="5" t="str">
        <x:v>C# 허용 DTO, System.Text.Json 바인딩, 서버 검증 및 ProblemDetails와 프런트 unknown 파서를 구현하고 HTTP 계약 시험을 실행한다. API 계약은 Markdown이며 계획의 자동 OpenAPI 스키마/엔드포인트는 미구현이다.</x:v>
      </x:c>
      <x:c r="X18" s="5" t="str">
        <x:v>apps/api/Models.cs#RequestDto
apps/api/Models.cs#UpdateRequestDto
apps/api/Infrastructure.cs#ApiErrors.Problem
apps/web/src/api.ts#parseRequest
docs/API_CONTRACT.md</x:v>
      </x:c>
      <x:c r="Y18" s="5" t="str">
        <x:v>AUTO-BACKEND
MAN-COD-004</x:v>
      </x:c>
      <x:c r="Z18" s="10" t="str">
        <x:v>부분확인</x:v>
      </x:c>
      <x:c r="AA18" s="10" t="str">
        <x:v>미실행</x:v>
      </x:c>
      <x:c r="AB18" s="5" t="str">
        <x:v>AUTO-BACKEND-2026-10-20T06-17-05-753Z</x:v>
      </x:c>
      <x:c r="AC18" s="5" t="n">
        <x:v>1</x:v>
      </x:c>
      <x:c r="AD18" s="5" t="n">
        <x:v>2</x:v>
      </x:c>
      <x:c r="AE18" s="10" t="str">
        <x:v>부분확인</x:v>
      </x:c>
      <x:c r="AF18" s="5" t="str"/>
      <x:c r="AG18" s="5" t="str"/>
      <x:c r="AH18" s="5" t="str"/>
      <x:c r="AI18" s="10" t="str">
        <x:v>입력 기준 유지</x:v>
      </x:c>
      <x:c r="AJ18" s="5" t="str">
        <x:f>IF(AND(M18="적용",V18="구현",X18&lt;&gt;"",Y18&lt;&gt;"",AB18&lt;&gt;"",AC18&gt;0,AD18&gt;0,AE18="통과",AF18="",AG18&lt;&gt;"",AH18&lt;&gt;"",OR(S18="자동",S18="수동",S18="자동+수동"),IF(OR(S18="자동",S18="자동+수동"),Z18="통과",TRUE),IF(OR(S18="수동",S18="자동+수동"),AA18="통과",TRUE)),"통과",IF(OR(Z18="실패",AA18="실패",AE18="실패"),"실패","보류"))</x:f>
        <x:v>보류</x:v>
      </x:c>
      <x:c r="AK18" s="5" t="str"/>
      <x:c r="AL18" s="5" t="str"/>
      <x:c r="AM18" s="5" t="str">
        <x:v>입력 v0.1 계획 주석은 original_plan_note에 보존. 최신 구현·시험·증빙은 연결 적용기록을 참조하며 전체 준수·인증을 주장하지 않음.</x:v>
      </x:c>
    </x:row>
    <x:row r="19" ht="52.79999923706055" hidden="0" customHeight="1">
      <x:c r="A19" s="5" t="str">
        <x:v>COD-005</x:v>
      </x:c>
      <x:c r="B19" s="5" t="str">
        <x:v>코딩</x:v>
      </x:c>
      <x:c r="C19" s="5" t="str">
        <x:v>코딩</x:v>
      </x:c>
      <x:c r="D19" s="5" t="str">
        <x:v>예외 처리</x:v>
      </x:c>
      <x:c r="E19" s="5" t="str">
        <x:v>예외를 조용히 삼키지 않고 사용자 오류와 시스템 오류를 구별한다.</x:v>
      </x:c>
      <x:c r="F19" s="5" t="str">
        <x:v>SRC-003</x:v>
      </x:c>
      <x:c r="G19" s="5" t="str">
        <x:v>회사0.1 / 출처판본 별도</x:v>
      </x:c>
      <x:c r="H19" s="5" t="str">
        <x:v>세부 조항 직접 인용 아님</x:v>
      </x:c>
      <x:c r="I19" s="5" t="str"/>
      <x:c r="J19" s="5" t="str">
        <x:v>사내 기준(안)</x:v>
      </x:c>
      <x:c r="K19" s="5" t="str">
        <x:v>해당없음(사내 기준)</x:v>
      </x:c>
      <x:c r="L19" s="5" t="str">
        <x:v>MUST(안)</x:v>
      </x:c>
      <x:c r="M19" s="10" t="str">
        <x:v>적용</x:v>
      </x:c>
      <x:c r="N19" s="5" t="str">
        <x:v>현재 샘플의 회사 필수 기준으로 채택 제안</x:v>
      </x:c>
      <x:c r="O19" s="5" t="str">
        <x:v>관련 기능·적용 기관·계약 변경 시 재평가</x:v>
      </x:c>
      <x:c r="P19" s="5" t="str">
        <x:v>S05</x:v>
      </x:c>
      <x:c r="Q19" s="5" t="str">
        <x:v>공통 오류 처리에서 추적ID와 안정된 오류코드를 반환한다.</x:v>
      </x:c>
      <x:c r="R19" s="5" t="str">
        <x:v>오류경로 단위·통합시험 및 빈 catch 정적점검을 실행한다.</x:v>
      </x:c>
      <x:c r="S19" s="10" t="str">
        <x:v>자동+수동</x:v>
      </x:c>
      <x:c r="T19" s="5" t="str">
        <x:v>개발·QA</x:v>
      </x:c>
      <x:c r="U19" s="5" t="str">
        <x:v>P1</x:v>
      </x:c>
      <x:c r="V19" s="10" t="str">
        <x:v>구현</x:v>
      </x:c>
      <x:c r="W19" s="5" t="str">
        <x:v>중앙 미들웨어에서 취소·동시성·검증·서버 오류를 분리하고 안정된 코드/traceId와 일반화한 메시지를 반환한다. 첨부 정리 실패는 경고 로그로 남기고 시스템 예외는 서버 로그에서 관찰한다.</x:v>
      </x:c>
      <x:c r="X19" s="5" t="str">
        <x:v>apps/api/Program.cs#DbUpdateConcurrencyException
apps/api/Infrastructure.cs#ApiErrors.Problem
apps/api/AttachmentsController.cs#AttachmentsController.Delete
apps/web/src/api.ts#ApiError</x:v>
      </x:c>
      <x:c r="Y19" s="5" t="str">
        <x:v>AUTO-BACKEND
MAN-COD-005</x:v>
      </x:c>
      <x:c r="Z19" s="10" t="str">
        <x:v>부분확인</x:v>
      </x:c>
      <x:c r="AA19" s="10" t="str">
        <x:v>미실행</x:v>
      </x:c>
      <x:c r="AB19" s="5" t="str">
        <x:v>AUTO-BACKEND-2026-10-20T06-17-05-753Z</x:v>
      </x:c>
      <x:c r="AC19" s="5" t="n">
        <x:v>1</x:v>
      </x:c>
      <x:c r="AD19" s="5" t="n">
        <x:v>2</x:v>
      </x:c>
      <x:c r="AE19" s="10" t="str">
        <x:v>부분확인</x:v>
      </x:c>
      <x:c r="AF19" s="5" t="str"/>
      <x:c r="AG19" s="5" t="str"/>
      <x:c r="AH19" s="5" t="str"/>
      <x:c r="AI19" s="10" t="str">
        <x:v>입력 기준 유지</x:v>
      </x:c>
      <x:c r="AJ19" s="5" t="str">
        <x:f>IF(AND(M19="적용",V19="구현",X19&lt;&gt;"",Y19&lt;&gt;"",AB19&lt;&gt;"",AC19&gt;0,AD19&gt;0,AE19="통과",AF19="",AG19&lt;&gt;"",AH19&lt;&gt;"",OR(S19="자동",S19="수동",S19="자동+수동"),IF(OR(S19="자동",S19="자동+수동"),Z19="통과",TRUE),IF(OR(S19="수동",S19="자동+수동"),AA19="통과",TRUE)),"통과",IF(OR(Z19="실패",AA19="실패",AE19="실패"),"실패","보류"))</x:f>
        <x:v>보류</x:v>
      </x:c>
      <x:c r="AK19" s="5" t="str"/>
      <x:c r="AL19" s="5" t="str"/>
      <x:c r="AM19" s="5" t="str">
        <x:v>입력 v0.1 계획 주석은 original_plan_note에 보존. 최신 구현·시험·증빙은 연결 적용기록을 참조하며 전체 준수·인증을 주장하지 않음.</x:v>
      </x:c>
    </x:row>
    <x:row r="20" ht="52.79999923706055" hidden="0" customHeight="1">
      <x:c r="A20" s="5" t="str">
        <x:v>COD-006</x:v>
      </x:c>
      <x:c r="B20" s="5" t="str">
        <x:v>코딩</x:v>
      </x:c>
      <x:c r="C20" s="5" t="str">
        <x:v>코딩</x:v>
      </x:c>
      <x:c r="D20" s="5" t="str">
        <x:v>비동기·취소</x:v>
      </x:c>
      <x:c r="E20" s="5" t="str">
        <x:v>네트워크·파일 I/O에 타임아웃과 취소를 전달한다.</x:v>
      </x:c>
      <x:c r="F20" s="5" t="str">
        <x:v>SRC-003</x:v>
      </x:c>
      <x:c r="G20" s="5" t="str">
        <x:v>회사0.1 / 출처판본 별도</x:v>
      </x:c>
      <x:c r="H20" s="5" t="str">
        <x:v>세부 조항 직접 인용 아님</x:v>
      </x:c>
      <x:c r="I20" s="5" t="str"/>
      <x:c r="J20" s="5" t="str">
        <x:v>사내 기준(안)</x:v>
      </x:c>
      <x:c r="K20" s="5" t="str">
        <x:v>해당없음(사내 기준)</x:v>
      </x:c>
      <x:c r="L20" s="5" t="str">
        <x:v>MUST(안)</x:v>
      </x:c>
      <x:c r="M20" s="10" t="str">
        <x:v>적용</x:v>
      </x:c>
      <x:c r="N20" s="5" t="str">
        <x:v>현재 샘플의 회사 필수 기준으로 채택 제안</x:v>
      </x:c>
      <x:c r="O20" s="5" t="str">
        <x:v>관련 기능·적용 기관·계약 변경 시 재평가</x:v>
      </x:c>
      <x:c r="P20" s="5" t="str">
        <x:v>S01~S08 / 공통</x:v>
      </x:c>
      <x:c r="Q20" s="5" t="str">
        <x:v>AbortSignal 또는 CancellationToken을 전파하고 무제한 재시도를 금지한다.</x:v>
      </x:c>
      <x:c r="R20" s="5" t="str">
        <x:v>취소·시간초과·연속 클릭 시 중복 요청 시험을 실행한다.</x:v>
      </x:c>
      <x:c r="S20" s="10" t="str">
        <x:v>자동+수동</x:v>
      </x:c>
      <x:c r="T20" s="5" t="str">
        <x:v>개발·QA</x:v>
      </x:c>
      <x:c r="U20" s="5" t="str">
        <x:v>P1</x:v>
      </x:c>
      <x:c r="V20" s="10" t="str">
        <x:v>진행</x:v>
      </x:c>
      <x:c r="W20" s="5" t="str">
        <x:v>HTTP 경계의 AbortSignal과 20초 fetch/60초 업로드 제한, DB·파일 async I/O의 CancellationToken 전달을 구현한다. 전체 서버 요청의 명시적 시간 예산과 중단·디스크지연 주입 전수 시험은 미구현/미실행이다.</x:v>
      </x:c>
      <x:c r="X20" s="5" t="str">
        <x:v>apps/web/src/api.ts#api
apps/web/src/api.ts#uploadFiles
apps/api/AttachmentsController.cs#AttachmentsController.Upload
apps/api/RequestsController.cs#RequestsController.List</x:v>
      </x:c>
      <x:c r="Y20" s="5" t="str">
        <x:v>AUTO-BACKEND
MAN-COD-006</x:v>
      </x:c>
      <x:c r="Z20" s="10" t="str">
        <x:v>부분확인</x:v>
      </x:c>
      <x:c r="AA20" s="10" t="str">
        <x:v>미실행</x:v>
      </x:c>
      <x:c r="AB20" s="5" t="str">
        <x:v>AUTO-BACKEND-2026-10-20T06-17-05-753Z</x:v>
      </x:c>
      <x:c r="AC20" s="5" t="n">
        <x:v>1</x:v>
      </x:c>
      <x:c r="AD20" s="5" t="n">
        <x:v>2</x:v>
      </x:c>
      <x:c r="AE20" s="10" t="str">
        <x:v>부분확인</x:v>
      </x:c>
      <x:c r="AF20" s="5" t="str"/>
      <x:c r="AG20" s="5" t="str"/>
      <x:c r="AH20" s="5" t="str"/>
      <x:c r="AI20" s="10" t="str">
        <x:v>입력 기준 유지</x:v>
      </x:c>
      <x:c r="AJ20" s="5" t="str">
        <x:f>IF(AND(M20="적용",V20="구현",X20&lt;&gt;"",Y20&lt;&gt;"",AB20&lt;&gt;"",AC20&gt;0,AD20&gt;0,AE20="통과",AF20="",AG20&lt;&gt;"",AH20&lt;&gt;"",OR(S20="자동",S20="수동",S20="자동+수동"),IF(OR(S20="자동",S20="자동+수동"),Z20="통과",TRUE),IF(OR(S20="수동",S20="자동+수동"),AA20="통과",TRUE)),"통과",IF(OR(Z20="실패",AA20="실패",AE20="실패"),"실패","보류"))</x:f>
        <x:v>보류</x:v>
      </x:c>
      <x:c r="AK20" s="5" t="str"/>
      <x:c r="AL20" s="5" t="str"/>
      <x:c r="AM20" s="5" t="str">
        <x:v>입력 v0.1 계획 주석은 original_plan_note에 보존. 최신 구현·시험·증빙은 연결 적용기록을 참조하며 전체 준수·인증을 주장하지 않음.</x:v>
      </x:c>
    </x:row>
    <x:row r="21" ht="66" hidden="0" customHeight="1">
      <x:c r="A21" s="5" t="str">
        <x:v>COD-007</x:v>
      </x:c>
      <x:c r="B21" s="5" t="str">
        <x:v>코딩</x:v>
      </x:c>
      <x:c r="C21" s="5" t="str">
        <x:v>코딩</x:v>
      </x:c>
      <x:c r="D21" s="5" t="str">
        <x:v>자원 해제</x:v>
      </x:c>
      <x:c r="E21" s="5" t="str">
        <x:v>자원과 구독의 생명주기를 명시한다.</x:v>
      </x:c>
      <x:c r="F21" s="5" t="str">
        <x:v>SRC-003</x:v>
      </x:c>
      <x:c r="G21" s="5" t="str">
        <x:v>회사0.1 / 출처판본 별도</x:v>
      </x:c>
      <x:c r="H21" s="5" t="str">
        <x:v>세부 조항 직접 인용 아님</x:v>
      </x:c>
      <x:c r="I21" s="5" t="str"/>
      <x:c r="J21" s="5" t="str">
        <x:v>사내 기준(안)</x:v>
      </x:c>
      <x:c r="K21" s="5" t="str">
        <x:v>해당없음(사내 기준)</x:v>
      </x:c>
      <x:c r="L21" s="5" t="str">
        <x:v>MUST(안)</x:v>
      </x:c>
      <x:c r="M21" s="10" t="str">
        <x:v>적용</x:v>
      </x:c>
      <x:c r="N21" s="5" t="str">
        <x:v>현재 샘플의 회사 필수 기준으로 채택 제안</x:v>
      </x:c>
      <x:c r="O21" s="5" t="str">
        <x:v>관련 기능·적용 기관·계약 변경 시 재평가</x:v>
      </x:c>
      <x:c r="P21" s="5" t="str">
        <x:v>S01~S08 / 공통</x:v>
      </x:c>
      <x:c r="Q21" s="5" t="str">
        <x:v>스트림·DB 연결은 using/finally, UI 이벤트·타이머는 cleanup으로 해제한다.</x:v>
      </x:c>
      <x:c r="R21" s="5" t="str">
        <x:v>중단·화면이동·반복실행에서 누수와 잔여동작을 점검한다.</x:v>
      </x:c>
      <x:c r="S21" s="10" t="str">
        <x:v>자동+수동</x:v>
      </x:c>
      <x:c r="T21" s="5" t="str">
        <x:v>개발·QA</x:v>
      </x:c>
      <x:c r="U21" s="5" t="str">
        <x:v>P1</x:v>
      </x:c>
      <x:c r="V21" s="10" t="str">
        <x:v>구현</x:v>
      </x:c>
      <x:c r="W21" s="5" t="str">
        <x:v>업로드 MemoryStream, EF 트랜잭션과 시작 시 서비스 scope를 using/await using으로 해제하고 UI fetch AbortController 및 타이머/이벤트 정리를 구현한다.</x:v>
      </x:c>
      <x:c r="X21" s="5" t="str">
        <x:v>apps/api/AttachmentsController.cs#AttachmentsController.Upload
apps/api/RequestsController.cs#RequestsController.PersistCreated
apps/api/Program.cs#CreateAsyncScope
apps/web/src/App.tsx#useRemote
apps/web/src/api.ts#api</x:v>
      </x:c>
      <x:c r="Y21" s="5" t="str">
        <x:v>AUTO-BACKEND
MAN-COD-007</x:v>
      </x:c>
      <x:c r="Z21" s="10" t="str">
        <x:v>부분확인</x:v>
      </x:c>
      <x:c r="AA21" s="10" t="str">
        <x:v>미실행</x:v>
      </x:c>
      <x:c r="AB21" s="5" t="str">
        <x:v>AUTO-BACKEND-2026-10-20T06-17-05-753Z</x:v>
      </x:c>
      <x:c r="AC21" s="5" t="n">
        <x:v>1</x:v>
      </x:c>
      <x:c r="AD21" s="5" t="n">
        <x:v>2</x:v>
      </x:c>
      <x:c r="AE21" s="10" t="str">
        <x:v>부분확인</x:v>
      </x:c>
      <x:c r="AF21" s="5" t="str"/>
      <x:c r="AG21" s="5" t="str"/>
      <x:c r="AH21" s="5" t="str"/>
      <x:c r="AI21" s="10" t="str">
        <x:v>입력 기준 유지</x:v>
      </x:c>
      <x:c r="AJ21" s="5" t="str">
        <x:f>IF(AND(M21="적용",V21="구현",X21&lt;&gt;"",Y21&lt;&gt;"",AB21&lt;&gt;"",AC21&gt;0,AD21&gt;0,AE21="통과",AF21="",AG21&lt;&gt;"",AH21&lt;&gt;"",OR(S21="자동",S21="수동",S21="자동+수동"),IF(OR(S21="자동",S21="자동+수동"),Z21="통과",TRUE),IF(OR(S21="수동",S21="자동+수동"),AA21="통과",TRUE)),"통과",IF(OR(Z21="실패",AA21="실패",AE21="실패"),"실패","보류"))</x:f>
        <x:v>보류</x:v>
      </x:c>
      <x:c r="AK21" s="5" t="str"/>
      <x:c r="AL21" s="5" t="str"/>
      <x:c r="AM21" s="5" t="str">
        <x:v>입력 v0.1 계획 주석은 original_plan_note에 보존. 최신 구현·시험·증빙은 연결 적용기록을 참조하며 전체 준수·인증을 주장하지 않음.</x:v>
      </x:c>
    </x:row>
    <x:row r="22" ht="52.79999923706055" hidden="0" customHeight="1">
      <x:c r="A22" s="5" t="str">
        <x:v>COD-008</x:v>
      </x:c>
      <x:c r="B22" s="5" t="str">
        <x:v>코딩</x:v>
      </x:c>
      <x:c r="C22" s="5" t="str">
        <x:v>코딩</x:v>
      </x:c>
      <x:c r="D22" s="5" t="str">
        <x:v>경계값·유효성</x:v>
      </x:c>
      <x:c r="E22" s="5" t="str">
        <x:v>타입·범위·길이·필드 간 업무 제약을 검증한다.</x:v>
      </x:c>
      <x:c r="F22" s="5" t="str">
        <x:v>SRC-009</x:v>
      </x:c>
      <x:c r="G22" s="5" t="str">
        <x:v>회사0.1 / 출처판본 별도</x:v>
      </x:c>
      <x:c r="H22" s="5" t="str">
        <x:v>세부 조항 직접 인용 아님</x:v>
      </x:c>
      <x:c r="I22" s="5" t="str"/>
      <x:c r="J22" s="5" t="str">
        <x:v>공식 구현 가이드 참조</x:v>
      </x:c>
      <x:c r="K22" s="5" t="str">
        <x:v>해당없음(사내 기준)</x:v>
      </x:c>
      <x:c r="L22" s="5" t="str">
        <x:v>MUST(안)</x:v>
      </x:c>
      <x:c r="M22" s="10" t="str">
        <x:v>적용</x:v>
      </x:c>
      <x:c r="N22" s="5" t="str">
        <x:v>현재 샘플의 회사 필수 기준으로 채택 제안</x:v>
      </x:c>
      <x:c r="O22" s="5" t="str">
        <x:v>관련 기능·적용 기관·계약 변경 시 재평가</x:v>
      </x:c>
      <x:c r="P22" s="5" t="str">
        <x:v>S01~S08 / 공통</x:v>
      </x:c>
      <x:c r="Q22" s="5" t="str">
        <x:v>서버에서 스키마와 업무검증을 수행하고 프런트 검증은 즉시 안내에 사용한다.</x:v>
      </x:c>
      <x:c r="R22" s="5" t="str">
        <x:v>빈값·최소/최대·초과·Unicode·잘못된 기간의 경계시험을 실행한다.</x:v>
      </x:c>
      <x:c r="S22" s="10" t="str">
        <x:v>자동+수동</x:v>
      </x:c>
      <x:c r="T22" s="5" t="str">
        <x:v>개발·QA</x:v>
      </x:c>
      <x:c r="U22" s="5" t="str">
        <x:v>P1</x:v>
      </x:c>
      <x:c r="V22" s="10" t="str">
        <x:v>구현</x:v>
      </x:c>
      <x:c r="W22" s="5" t="str">
        <x:v>제목/본문 길이와 분류 허용값, 상태전이·사유·버전, 페이지/검색 범위와 파일 개수/크기/형식을 서버에서 강제한다. 프런트 검증은 안내용으로 별도 수행한다.</x:v>
      </x:c>
      <x:c r="X22" s="5" t="str">
        <x:v>apps/api/BusinessRules.cs#BusinessRules.Validate
apps/api/BusinessRules.cs#BusinessRules.CanTransition
apps/api/RequestsController.cs#RequestsController.List
apps/api/AttachmentsController.cs#AttachmentsController.Upload</x:v>
      </x:c>
      <x:c r="Y22" s="5" t="str">
        <x:v>AUTO-BACKEND
MAN-COD-008</x:v>
      </x:c>
      <x:c r="Z22" s="10" t="str">
        <x:v>부분확인</x:v>
      </x:c>
      <x:c r="AA22" s="10" t="str">
        <x:v>미실행</x:v>
      </x:c>
      <x:c r="AB22" s="5" t="str">
        <x:v>AUTO-BACKEND-2026-10-20T06-17-05-753Z</x:v>
      </x:c>
      <x:c r="AC22" s="5" t="n">
        <x:v>1</x:v>
      </x:c>
      <x:c r="AD22" s="5" t="n">
        <x:v>2</x:v>
      </x:c>
      <x:c r="AE22" s="10" t="str">
        <x:v>부분확인</x:v>
      </x:c>
      <x:c r="AF22" s="5" t="str"/>
      <x:c r="AG22" s="5" t="str"/>
      <x:c r="AH22" s="5" t="str"/>
      <x:c r="AI22" s="10" t="str">
        <x:v>입력 기준 유지</x:v>
      </x:c>
      <x:c r="AJ22" s="5" t="str">
        <x:f>IF(AND(M22="적용",V22="구현",X22&lt;&gt;"",Y22&lt;&gt;"",AB22&lt;&gt;"",AC22&gt;0,AD22&gt;0,AE22="통과",AF22="",AG22&lt;&gt;"",AH22&lt;&gt;"",OR(S22="자동",S22="수동",S22="자동+수동"),IF(OR(S22="자동",S22="자동+수동"),Z22="통과",TRUE),IF(OR(S22="수동",S22="자동+수동"),AA22="통과",TRUE)),"통과",IF(OR(Z22="실패",AA22="실패",AE22="실패"),"실패","보류"))</x:f>
        <x:v>보류</x:v>
      </x:c>
      <x:c r="AK22" s="5" t="str"/>
      <x:c r="AL22" s="5" t="str"/>
      <x:c r="AM22" s="5" t="str">
        <x:v>입력 v0.1 계획 주석은 original_plan_note에 보존. 최신 구현·시험·증빙은 연결 적용기록을 참조하며 전체 준수·인증을 주장하지 않음.</x:v>
      </x:c>
    </x:row>
    <x:row r="23" ht="52.79999923706055" hidden="0" customHeight="1">
      <x:c r="A23" s="5" t="str">
        <x:v>COD-009</x:v>
      </x:c>
      <x:c r="B23" s="5" t="str">
        <x:v>코딩</x:v>
      </x:c>
      <x:c r="C23" s="5" t="str">
        <x:v>코딩</x:v>
      </x:c>
      <x:c r="D23" s="5" t="str">
        <x:v>Promise 처리</x:v>
      </x:c>
      <x:c r="E23" s="5" t="str">
        <x:v>모든 비동기 실패를 관찰하고 처리한다.</x:v>
      </x:c>
      <x:c r="F23" s="5" t="str">
        <x:v>SRC-010</x:v>
      </x:c>
      <x:c r="G23" s="5" t="str">
        <x:v>회사0.1 / 출처판본 별도</x:v>
      </x:c>
      <x:c r="H23" s="5" t="str">
        <x:v>세부 조항 직접 인용 아님</x:v>
      </x:c>
      <x:c r="I23" s="5" t="str"/>
      <x:c r="J23" s="5" t="str">
        <x:v>공식 도구 규칙을 사내 필수화</x:v>
      </x:c>
      <x:c r="K23" s="5" t="str">
        <x:v>해당없음(사내 기준)</x:v>
      </x:c>
      <x:c r="L23" s="5" t="str">
        <x:v>MUST(안)</x:v>
      </x:c>
      <x:c r="M23" s="10" t="str">
        <x:v>적용</x:v>
      </x:c>
      <x:c r="N23" s="5" t="str">
        <x:v>현재 샘플의 회사 필수 기준으로 채택 제안</x:v>
      </x:c>
      <x:c r="O23" s="5" t="str">
        <x:v>관련 기능·적용 기관·계약 변경 시 재평가</x:v>
      </x:c>
      <x:c r="P23" s="5" t="str">
        <x:v>S05</x:v>
      </x:c>
      <x:c r="Q23" s="5" t="str">
        <x:v>no-floating-promises와 no-misused-promises를 사용한다. 단순 void로 오류처리를 대체하지 않는다.</x:v>
      </x:c>
      <x:c r="R23" s="5" t="str">
        <x:v>유형 기반 린트 및 비동기 실패 주입시험을 실행한다.</x:v>
      </x:c>
      <x:c r="S23" s="10" t="str">
        <x:v>자동+수동</x:v>
      </x:c>
      <x:c r="T23" s="5" t="str">
        <x:v>개발·QA</x:v>
      </x:c>
      <x:c r="U23" s="5" t="str">
        <x:v>P1</x:v>
      </x:c>
      <x:c r="V23" s="10" t="str">
        <x:v>구현</x:v>
      </x:c>
      <x:c r="W23" s="5" t="str">
        <x:v>no-floating-promises/no-misused-promises를 오류로 설정하고 API/업로드 실패는 예외 및 명시적 UI 오류 상태로 전달한다. 제품 함수의 async 제출은 내부 try/catch에서 관찰한다.</x:v>
      </x:c>
      <x:c r="X23" s="5" t="str">
        <x:v>apps/web/eslint.config.js
apps/web/src/api.ts#api
apps/web/src/api.ts#uploadFiles
apps/web/src/App.tsx#RequestWizard</x:v>
      </x:c>
      <x:c r="Y23" s="5" t="str">
        <x:v>AUTO-FRONTEND
MAN-COD-009</x:v>
      </x:c>
      <x:c r="Z23" s="10" t="str">
        <x:v>부분확인</x:v>
      </x:c>
      <x:c r="AA23" s="10" t="str">
        <x:v>미실행</x:v>
      </x:c>
      <x:c r="AB23" s="5" t="str">
        <x:v>AUTO-FRONTEND-2026-10-20T06-16-58-989Z</x:v>
      </x:c>
      <x:c r="AC23" s="5" t="n">
        <x:v>1</x:v>
      </x:c>
      <x:c r="AD23" s="5" t="n">
        <x:v>2</x:v>
      </x:c>
      <x:c r="AE23" s="10" t="str">
        <x:v>부분확인</x:v>
      </x:c>
      <x:c r="AF23" s="5" t="str"/>
      <x:c r="AG23" s="5" t="str"/>
      <x:c r="AH23" s="5" t="str"/>
      <x:c r="AI23" s="10" t="str">
        <x:v>입력 기준 유지</x:v>
      </x:c>
      <x:c r="AJ23" s="5" t="str">
        <x:f>IF(AND(M23="적용",V23="구현",X23&lt;&gt;"",Y23&lt;&gt;"",AB23&lt;&gt;"",AC23&gt;0,AD23&gt;0,AE23="통과",AF23="",AG23&lt;&gt;"",AH23&lt;&gt;"",OR(S23="자동",S23="수동",S23="자동+수동"),IF(OR(S23="자동",S23="자동+수동"),Z23="통과",TRUE),IF(OR(S23="수동",S23="자동+수동"),AA23="통과",TRUE)),"통과",IF(OR(Z23="실패",AA23="실패",AE23="실패"),"실패","보류"))</x:f>
        <x:v>보류</x:v>
      </x:c>
      <x:c r="AK23" s="5" t="str"/>
      <x:c r="AL23" s="5" t="str"/>
      <x:c r="AM23" s="5" t="str">
        <x:v>입력 v0.1 계획 주석은 original_plan_note에 보존. 최신 구현·시험·증빙은 연결 적용기록을 참조하며 전체 준수·인증을 주장하지 않음.</x:v>
      </x:c>
    </x:row>
    <x:row r="24" ht="52.79999923706055" hidden="0" customHeight="1">
      <x:c r="A24" s="5" t="str">
        <x:v>COD-010</x:v>
      </x:c>
      <x:c r="B24" s="5" t="str">
        <x:v>코딩</x:v>
      </x:c>
      <x:c r="C24" s="5" t="str">
        <x:v>코딩</x:v>
      </x:c>
      <x:c r="D24" s="5" t="str">
        <x:v>모듈 책임</x:v>
      </x:c>
      <x:c r="E24" s="5" t="str">
        <x:v>화면·업무규칙·영속성을 분리한다.</x:v>
      </x:c>
      <x:c r="F24" s="5" t="str">
        <x:v>SRC-003</x:v>
      </x:c>
      <x:c r="G24" s="5" t="str">
        <x:v>회사0.1 / 출처판본 별도</x:v>
      </x:c>
      <x:c r="H24" s="5" t="str">
        <x:v>세부 조항 직접 인용 아님</x:v>
      </x:c>
      <x:c r="I24" s="5" t="str"/>
      <x:c r="J24" s="5" t="str">
        <x:v>사내 기준(안)</x:v>
      </x:c>
      <x:c r="K24" s="5" t="str">
        <x:v>해당없음(사내 기준)</x:v>
      </x:c>
      <x:c r="L24" s="5" t="str">
        <x:v>MUST(안)</x:v>
      </x:c>
      <x:c r="M24" s="10" t="str">
        <x:v>적용</x:v>
      </x:c>
      <x:c r="N24" s="5" t="str">
        <x:v>현재 샘플의 회사 필수 기준으로 채택 제안</x:v>
      </x:c>
      <x:c r="O24" s="5" t="str">
        <x:v>관련 기능·적용 기관·계약 변경 시 재평가</x:v>
      </x:c>
      <x:c r="P24" s="5" t="str">
        <x:v>S01~S08 / 공통</x:v>
      </x:c>
      <x:c r="Q24" s="5" t="str">
        <x:v>도메인 함수를 UI와 DB 프레임워크에 독립시켜 단위검증한다.</x:v>
      </x:c>
      <x:c r="R24" s="5" t="str">
        <x:v>의존 방향과 핵심 업무함수의 경계시험을 검토한다.</x:v>
      </x:c>
      <x:c r="S24" s="10" t="str">
        <x:v>자동+수동</x:v>
      </x:c>
      <x:c r="T24" s="5" t="str">
        <x:v>개발·QA</x:v>
      </x:c>
      <x:c r="U24" s="5" t="str">
        <x:v>P1</x:v>
      </x:c>
      <x:c r="V24" s="10" t="str">
        <x:v>구현</x:v>
      </x:c>
      <x:c r="W24" s="5" t="str">
        <x:v>React 표시/상호작용, API 애플리케이션 흐름, 프레임워크 독립 BusinessRules, EF AppDb로 책임을 나눈다. 소규모 샘플에 불필요한 저장소 추상화나 마이크로서비스는 추가하지 않았다.</x:v>
      </x:c>
      <x:c r="X24" s="5" t="str">
        <x:v>apps/web/src/App.tsx#RequestWizard
apps/api/RequestsController.cs#RequestsController
apps/api/BusinessRules.cs#BusinessRules
apps/api/Models.cs#AppDb</x:v>
      </x:c>
      <x:c r="Y24" s="5" t="str">
        <x:v>MAN-COD-010</x:v>
      </x:c>
      <x:c r="Z24" s="10" t="str">
        <x:v>미실행</x:v>
      </x:c>
      <x:c r="AA24" s="10" t="str">
        <x:v>미실행</x:v>
      </x:c>
      <x:c r="AB24" s="5" t="str"/>
      <x:c r="AC24" s="5" t="n">
        <x:v>0</x:v>
      </x:c>
      <x:c r="AD24" s="5" t="n">
        <x:v>1</x:v>
      </x:c>
      <x:c r="AE24" s="10" t="str">
        <x:v>미실행</x:v>
      </x:c>
      <x:c r="AF24" s="5" t="str"/>
      <x:c r="AG24" s="5" t="str"/>
      <x:c r="AH24" s="5" t="str"/>
      <x:c r="AI24" s="10" t="str">
        <x:v>입력 기준 유지</x:v>
      </x:c>
      <x:c r="AJ24" s="5" t="str">
        <x:f>IF(AND(M24="적용",V24="구현",X24&lt;&gt;"",Y24&lt;&gt;"",AB24&lt;&gt;"",AC24&gt;0,AD24&gt;0,AE24="통과",AF24="",AG24&lt;&gt;"",AH24&lt;&gt;"",OR(S24="자동",S24="수동",S24="자동+수동"),IF(OR(S24="자동",S24="자동+수동"),Z24="통과",TRUE),IF(OR(S24="수동",S24="자동+수동"),AA24="통과",TRUE)),"통과",IF(OR(Z24="실패",AA24="실패",AE24="실패"),"실패","보류"))</x:f>
        <x:v>보류</x:v>
      </x:c>
      <x:c r="AK24" s="5" t="str"/>
      <x:c r="AL24" s="5" t="str"/>
      <x:c r="AM24" s="5" t="str">
        <x:v>입력 v0.1 계획 주석은 original_plan_note에 보존. 최신 구현·시험·증빙은 연결 적용기록을 참조하며 전체 준수·인증을 주장하지 않음.</x:v>
      </x:c>
    </x:row>
    <x:row r="25" ht="52.79999923706055" hidden="0" customHeight="1">
      <x:c r="A25" s="5" t="str">
        <x:v>COD-011</x:v>
      </x:c>
      <x:c r="B25" s="5" t="str">
        <x:v>코딩</x:v>
      </x:c>
      <x:c r="C25" s="5" t="str">
        <x:v>코딩</x:v>
      </x:c>
      <x:c r="D25" s="5" t="str">
        <x:v>복잡도 관리</x:v>
      </x:c>
      <x:c r="E25" s="5" t="str">
        <x:v>복잡도 초과를 자동 발견하고 분해 또는 예외 사유를 남긴다.</x:v>
      </x:c>
      <x:c r="F25" s="5" t="str">
        <x:v>SRC-003</x:v>
      </x:c>
      <x:c r="G25" s="5" t="str">
        <x:v>회사0.1 / 출처판본 별도</x:v>
      </x:c>
      <x:c r="H25" s="5" t="str">
        <x:v>세부 조항 직접 인용 아님</x:v>
      </x:c>
      <x:c r="I25" s="5" t="str"/>
      <x:c r="J25" s="5" t="str">
        <x:v>사내 기준(안)</x:v>
      </x:c>
      <x:c r="K25" s="5" t="str">
        <x:v>해당없음(사내 기준)</x:v>
      </x:c>
      <x:c r="L25" s="5" t="str">
        <x:v>MUST(안)</x:v>
      </x:c>
      <x:c r="M25" s="10" t="str">
        <x:v>적용</x:v>
      </x:c>
      <x:c r="N25" s="5" t="str">
        <x:v>현재 샘플의 회사 필수 기준으로 채택 제안</x:v>
      </x:c>
      <x:c r="O25" s="5" t="str">
        <x:v>관련 기능·적용 기관·계약 변경 시 재평가</x:v>
      </x:c>
      <x:c r="P25" s="5" t="str">
        <x:v>S01~S08 / 공통</x:v>
      </x:c>
      <x:c r="Q25" s="5" t="str">
        <x:v>초기 사내 경고안: 순환복잡도 10 초과, 중첩 3 초과. 실제 팀 기준은 승인 후 고정한다.</x:v>
      </x:c>
      <x:c r="R25" s="5" t="str">
        <x:v>도구별 산식과 임계치 설정 및 초과함수 검토기록을 보존한다.</x:v>
      </x:c>
      <x:c r="S25" s="10" t="str">
        <x:v>자동+수동</x:v>
      </x:c>
      <x:c r="T25" s="5" t="str">
        <x:v>개발·QA</x:v>
      </x:c>
      <x:c r="U25" s="5" t="str">
        <x:v>P1</x:v>
      </x:c>
      <x:c r="V25" s="10" t="str">
        <x:v>진행</x:v>
      </x:c>
      <x:c r="W25" s="5" t="str">
        <x:v>회사 경고 목표 순환복잡도10/중첩3과 생성코드 제외를 문서화했다. 현재 ESLint 설정에는 complexity/max-depth 규칙이 없고 C# 동일 산식 도구 및 초과항목의 승인된 편차도 없다.</x:v>
      </x:c>
      <x:c r="X25" s="5" t="str">
        <x:v>docs/COMPANY_CODING_STANDARD.md
standards/profiles/common.json#complexity_warning
apps/web/eslint.config.js
tests/backend/coverage.runsettings#ExcludeByFile</x:v>
      </x:c>
      <x:c r="Y25" s="5" t="str">
        <x:v>AUTO-FRONTEND
MAN-COD-011</x:v>
      </x:c>
      <x:c r="Z25" s="10" t="str">
        <x:v>부분확인</x:v>
      </x:c>
      <x:c r="AA25" s="10" t="str">
        <x:v>미실행</x:v>
      </x:c>
      <x:c r="AB25" s="5" t="str">
        <x:v>AUTO-FRONTEND-2026-10-20T06-16-58-989Z</x:v>
      </x:c>
      <x:c r="AC25" s="5" t="n">
        <x:v>1</x:v>
      </x:c>
      <x:c r="AD25" s="5" t="n">
        <x:v>2</x:v>
      </x:c>
      <x:c r="AE25" s="10" t="str">
        <x:v>부분확인</x:v>
      </x:c>
      <x:c r="AF25" s="5" t="str"/>
      <x:c r="AG25" s="5" t="str"/>
      <x:c r="AH25" s="5" t="str"/>
      <x:c r="AI25" s="10" t="str">
        <x:v>입력 기준 유지</x:v>
      </x:c>
      <x:c r="AJ25" s="5" t="str">
        <x:f>IF(AND(M25="적용",V25="구현",X25&lt;&gt;"",Y25&lt;&gt;"",AB25&lt;&gt;"",AC25&gt;0,AD25&gt;0,AE25="통과",AF25="",AG25&lt;&gt;"",AH25&lt;&gt;"",OR(S25="자동",S25="수동",S25="자동+수동"),IF(OR(S25="자동",S25="자동+수동"),Z25="통과",TRUE),IF(OR(S25="수동",S25="자동+수동"),AA25="통과",TRUE)),"통과",IF(OR(Z25="실패",AA25="실패",AE25="실패"),"실패","보류"))</x:f>
        <x:v>보류</x:v>
      </x:c>
      <x:c r="AK25" s="5" t="str"/>
      <x:c r="AL25" s="5" t="str"/>
      <x:c r="AM25" s="5" t="str">
        <x:v>입력 v0.1 계획 주석은 original_plan_note에 보존. 최신 구현·시험·증빙은 연결 적용기록을 참조하며 전체 준수·인증을 주장하지 않음.</x:v>
      </x:c>
    </x:row>
    <x:row r="26" ht="52.79999923706055" hidden="0" customHeight="1">
      <x:c r="A26" s="5" t="str">
        <x:v>COD-012</x:v>
      </x:c>
      <x:c r="B26" s="5" t="str">
        <x:v>코딩</x:v>
      </x:c>
      <x:c r="C26" s="5" t="str">
        <x:v>코딩</x:v>
      </x:c>
      <x:c r="D26" s="5" t="str">
        <x:v>경고·불필요 코드</x:v>
      </x:c>
      <x:c r="E26" s="5" t="str">
        <x:v>사용하지 않는 코드와 무시된 경고를 관리한다.</x:v>
      </x:c>
      <x:c r="F26" s="5" t="str">
        <x:v>SRC-003</x:v>
      </x:c>
      <x:c r="G26" s="5" t="str">
        <x:v>회사0.1 / 출처판본 별도</x:v>
      </x:c>
      <x:c r="H26" s="5" t="str">
        <x:v>세부 조항 직접 인용 아님</x:v>
      </x:c>
      <x:c r="I26" s="5" t="str"/>
      <x:c r="J26" s="5" t="str">
        <x:v>사내 기준(안)</x:v>
      </x:c>
      <x:c r="K26" s="5" t="str">
        <x:v>해당없음(사내 기준)</x:v>
      </x:c>
      <x:c r="L26" s="5" t="str">
        <x:v>MUST(안)</x:v>
      </x:c>
      <x:c r="M26" s="10" t="str">
        <x:v>적용</x:v>
      </x:c>
      <x:c r="N26" s="5" t="str">
        <x:v>현재 샘플의 회사 필수 기준으로 채택 제안</x:v>
      </x:c>
      <x:c r="O26" s="5" t="str">
        <x:v>관련 기능·적용 기관·계약 변경 시 재평가</x:v>
      </x:c>
      <x:c r="P26" s="5" t="str">
        <x:v>S01~S08 / 공통</x:v>
      </x:c>
      <x:c r="Q26" s="5" t="str">
        <x:v>사용하지 않는 변수·도달불가·중복 구현을 검사하고 생성코드는 별도 범위로 둔다.</x:v>
      </x:c>
      <x:c r="R26" s="5" t="str">
        <x:v>lint/build 결과와 제외경로 사유를 확인한다.</x:v>
      </x:c>
      <x:c r="S26" s="10" t="str">
        <x:v>자동+수동</x:v>
      </x:c>
      <x:c r="T26" s="5" t="str">
        <x:v>개발·QA</x:v>
      </x:c>
      <x:c r="U26" s="5" t="str">
        <x:v>P1</x:v>
      </x:c>
      <x:c r="V26" s="10" t="str">
        <x:v>구현</x:v>
      </x:c>
      <x:c r="W26" s="5" t="str">
        <x:v>C# 경고를 오류로 처리하고 최신 분석기를 활성화한다. TS noUnusedLocals/noUnusedParameters와 ESLint/format으로 불필요 코드를 검사한다. 생성 migration/obj는 커버리지에서 별도 제외한다.</x:v>
      </x:c>
      <x:c r="X26" s="5" t="str">
        <x:v>apps/api/Kstd.Api.csproj#TreatWarningsAsErrors
apps/web/tsconfig.json#noUnusedLocals
apps/web/eslint.config.js
tests/backend/coverage.runsettings#ExcludeByFile</x:v>
      </x:c>
      <x:c r="Y26" s="5" t="str">
        <x:v>AUTO-FRONTEND
MAN-COD-012</x:v>
      </x:c>
      <x:c r="Z26" s="10" t="str">
        <x:v>부분확인</x:v>
      </x:c>
      <x:c r="AA26" s="10" t="str">
        <x:v>미실행</x:v>
      </x:c>
      <x:c r="AB26" s="5" t="str">
        <x:v>AUTO-FRONTEND-2026-10-20T06-16-58-989Z</x:v>
      </x:c>
      <x:c r="AC26" s="5" t="n">
        <x:v>1</x:v>
      </x:c>
      <x:c r="AD26" s="5" t="n">
        <x:v>2</x:v>
      </x:c>
      <x:c r="AE26" s="10" t="str">
        <x:v>부분확인</x:v>
      </x:c>
      <x:c r="AF26" s="5" t="str"/>
      <x:c r="AG26" s="5" t="str"/>
      <x:c r="AH26" s="5" t="str"/>
      <x:c r="AI26" s="10" t="str">
        <x:v>입력 기준 유지</x:v>
      </x:c>
      <x:c r="AJ26" s="5" t="str">
        <x:f>IF(AND(M26="적용",V26="구현",X26&lt;&gt;"",Y26&lt;&gt;"",AB26&lt;&gt;"",AC26&gt;0,AD26&gt;0,AE26="통과",AF26="",AG26&lt;&gt;"",AH26&lt;&gt;"",OR(S26="자동",S26="수동",S26="자동+수동"),IF(OR(S26="자동",S26="자동+수동"),Z26="통과",TRUE),IF(OR(S26="수동",S26="자동+수동"),AA26="통과",TRUE)),"통과",IF(OR(Z26="실패",AA26="실패",AE26="실패"),"실패","보류"))</x:f>
        <x:v>보류</x:v>
      </x:c>
      <x:c r="AK26" s="5" t="str"/>
      <x:c r="AL26" s="5" t="str"/>
      <x:c r="AM26" s="5" t="str">
        <x:v>입력 v0.1 계획 주석은 original_plan_note에 보존. 최신 구현·시험·증빙은 연결 적용기록을 참조하며 전체 준수·인증을 주장하지 않음.</x:v>
      </x:c>
    </x:row>
    <x:row r="27" ht="66" hidden="0" customHeight="1">
      <x:c r="A27" s="5" t="str">
        <x:v>COD-013</x:v>
      </x:c>
      <x:c r="B27" s="5" t="str">
        <x:v>코딩</x:v>
      </x:c>
      <x:c r="C27" s="5" t="str">
        <x:v>코딩</x:v>
      </x:c>
      <x:c r="D27" s="5" t="str">
        <x:v>설정 분리</x:v>
      </x:c>
      <x:c r="E27" s="5" t="str">
        <x:v>환경별 설정과 운영 비밀을 코드에서 분리한다.</x:v>
      </x:c>
      <x:c r="F27" s="5" t="str">
        <x:v>SRC-003</x:v>
      </x:c>
      <x:c r="G27" s="5" t="str">
        <x:v>회사0.1 / 출처판본 별도</x:v>
      </x:c>
      <x:c r="H27" s="5" t="str">
        <x:v>세부 조항 직접 인용 아님</x:v>
      </x:c>
      <x:c r="I27" s="5" t="str"/>
      <x:c r="J27" s="5" t="str">
        <x:v>사내 기준(안)</x:v>
      </x:c>
      <x:c r="K27" s="5" t="str">
        <x:v>해당없음(사내 기준)</x:v>
      </x:c>
      <x:c r="L27" s="5" t="str">
        <x:v>MUST(안)</x:v>
      </x:c>
      <x:c r="M27" s="10" t="str">
        <x:v>적용</x:v>
      </x:c>
      <x:c r="N27" s="5" t="str">
        <x:v>현재 샘플의 회사 필수 기준으로 채택 제안</x:v>
      </x:c>
      <x:c r="O27" s="5" t="str">
        <x:v>관련 기능·적용 기관·계약 변경 시 재평가</x:v>
      </x:c>
      <x:c r="P27" s="5" t="str">
        <x:v>S01~S08 / 공통</x:v>
      </x:c>
      <x:c r="Q27" s="5" t="str">
        <x:v>환경변수·설정 바인딩을 검증하고 예제에는 가짜 값만 둔다.</x:v>
      </x:c>
      <x:c r="R27" s="5" t="str">
        <x:v>설정 누락 시 안전하게 실패하는지와 저장소 비밀탐지를 점검한다.</x:v>
      </x:c>
      <x:c r="S27" s="10" t="str">
        <x:v>자동+수동</x:v>
      </x:c>
      <x:c r="T27" s="5" t="str">
        <x:v>개발·QA</x:v>
      </x:c>
      <x:c r="U27" s="5" t="str">
        <x:v>P1</x:v>
      </x:c>
      <x:c r="V27" s="10" t="str">
        <x:v>구현</x:v>
      </x:c>
      <x:c r="W27" s="5" t="str">
        <x:v>암호는 환경변수로만 주입하고 개발 env 예제와 실제 무작위 생성 파일을 분리한다. 샘플 seed에는 최소 길이와 Development 제한을 적용하며 저장소에서 env/data를 제외한다.</x:v>
      </x:c>
      <x:c r="X27" s="5" t="str">
        <x:v>apps/api/SeedData.cs#SeedData.RequirePassword
apps/api/SeedData.cs#SeedData.Initialize
scripts/manage.mjs#setup
.env.example
.gitignore</x:v>
      </x:c>
      <x:c r="Y27" s="5" t="str">
        <x:v>MAN-COD-013</x:v>
      </x:c>
      <x:c r="Z27" s="10" t="str">
        <x:v>미실행</x:v>
      </x:c>
      <x:c r="AA27" s="10" t="str">
        <x:v>미실행</x:v>
      </x:c>
      <x:c r="AB27" s="5" t="str"/>
      <x:c r="AC27" s="5" t="n">
        <x:v>0</x:v>
      </x:c>
      <x:c r="AD27" s="5" t="n">
        <x:v>1</x:v>
      </x:c>
      <x:c r="AE27" s="10" t="str">
        <x:v>미실행</x:v>
      </x:c>
      <x:c r="AF27" s="5" t="str"/>
      <x:c r="AG27" s="5" t="str"/>
      <x:c r="AH27" s="5" t="str"/>
      <x:c r="AI27" s="10" t="str">
        <x:v>입력 기준 유지</x:v>
      </x:c>
      <x:c r="AJ27" s="5" t="str">
        <x:f>IF(AND(M27="적용",V27="구현",X27&lt;&gt;"",Y27&lt;&gt;"",AB27&lt;&gt;"",AC27&gt;0,AD27&gt;0,AE27="통과",AF27="",AG27&lt;&gt;"",AH27&lt;&gt;"",OR(S27="자동",S27="수동",S27="자동+수동"),IF(OR(S27="자동",S27="자동+수동"),Z27="통과",TRUE),IF(OR(S27="수동",S27="자동+수동"),AA27="통과",TRUE)),"통과",IF(OR(Z27="실패",AA27="실패",AE27="실패"),"실패","보류"))</x:f>
        <x:v>보류</x:v>
      </x:c>
      <x:c r="AK27" s="5" t="str"/>
      <x:c r="AL27" s="5" t="str"/>
      <x:c r="AM27" s="5" t="str">
        <x:v>입력 v0.1 계획 주석은 original_plan_note에 보존. 최신 구현·시험·증빙은 연결 적용기록을 참조하며 전체 준수·인증을 주장하지 않음.</x:v>
      </x:c>
    </x:row>
    <x:row r="28" ht="52.79999923706055" hidden="0" customHeight="1">
      <x:c r="A28" s="5" t="str">
        <x:v>COD-014</x:v>
      </x:c>
      <x:c r="B28" s="5" t="str">
        <x:v>코딩</x:v>
      </x:c>
      <x:c r="C28" s="5" t="str">
        <x:v>코딩</x:v>
      </x:c>
      <x:c r="D28" s="5" t="str">
        <x:v>공용 인터페이스 문서</x:v>
      </x:c>
      <x:c r="E28" s="5" t="str">
        <x:v>공개 함수·API의 목적·입출력·오류·제약을 문서화한다.</x:v>
      </x:c>
      <x:c r="F28" s="5" t="str">
        <x:v>SRC-011</x:v>
      </x:c>
      <x:c r="G28" s="5" t="str">
        <x:v>회사0.1 / 출처판본 별도</x:v>
      </x:c>
      <x:c r="H28" s="5" t="str">
        <x:v>세부 조항 직접 인용 아님</x:v>
      </x:c>
      <x:c r="I28" s="5" t="str"/>
      <x:c r="J28" s="5" t="str">
        <x:v>언어 공식 권고를 사내 조정</x:v>
      </x:c>
      <x:c r="K28" s="5" t="str">
        <x:v>해당없음(사내 기준)</x:v>
      </x:c>
      <x:c r="L28" s="5" t="str">
        <x:v>MUST(안)</x:v>
      </x:c>
      <x:c r="M28" s="10" t="str">
        <x:v>적용</x:v>
      </x:c>
      <x:c r="N28" s="5" t="str">
        <x:v>현재 샘플의 회사 필수 기준으로 채택 제안</x:v>
      </x:c>
      <x:c r="O28" s="5" t="str">
        <x:v>관련 기능·적용 기관·계약 변경 시 재평가</x:v>
      </x:c>
      <x:c r="P28" s="5" t="str">
        <x:v>S01~S08 / 공통</x:v>
      </x:c>
      <x:c r="Q28" s="5" t="str">
        <x:v>JSDoc/XML 문서와 예제에 제약과 판단 이유를 기록한다.</x:v>
      </x:c>
      <x:c r="R28" s="5" t="str">
        <x:v>공용 인터페이스 변경 시 문서의 일치성을 리뷰한다.</x:v>
      </x:c>
      <x:c r="S28" s="10" t="str">
        <x:v>자동+수동</x:v>
      </x:c>
      <x:c r="T28" s="5" t="str">
        <x:v>개발·QA</x:v>
      </x:c>
      <x:c r="U28" s="5" t="str">
        <x:v>P1</x:v>
      </x:c>
      <x:c r="V28" s="10" t="str">
        <x:v>진행</x:v>
      </x:c>
      <x:c r="W28" s="5" t="str">
        <x:v>API의 입력·응답·오류·길이·권한·첨부·세션 제약을 계약 문서에 명시하고 일부 경계 함수에 목적 주석을 둔다. 모든 공개 C#/TS 함수의 XML/JSDoc 계약은 아직 작성하지 않았다.</x:v>
      </x:c>
      <x:c r="X28" s="5" t="str">
        <x:v>docs/API_CONTRACT.md
apps/api/Models.cs#RequestDto
apps/web/src/api.ts#entityId
apps/web/src/export.ts#safeSpreadsheetCell</x:v>
      </x:c>
      <x:c r="Y28" s="5" t="str">
        <x:v>MAN-COD-014</x:v>
      </x:c>
      <x:c r="Z28" s="10" t="str">
        <x:v>미실행</x:v>
      </x:c>
      <x:c r="AA28" s="10" t="str">
        <x:v>미실행</x:v>
      </x:c>
      <x:c r="AB28" s="5" t="str"/>
      <x:c r="AC28" s="5" t="n">
        <x:v>0</x:v>
      </x:c>
      <x:c r="AD28" s="5" t="n">
        <x:v>1</x:v>
      </x:c>
      <x:c r="AE28" s="10" t="str">
        <x:v>미실행</x:v>
      </x:c>
      <x:c r="AF28" s="5" t="str"/>
      <x:c r="AG28" s="5" t="str"/>
      <x:c r="AH28" s="5" t="str"/>
      <x:c r="AI28" s="10" t="str">
        <x:v>입력 기준 유지</x:v>
      </x:c>
      <x:c r="AJ28" s="5" t="str">
        <x:f>IF(AND(M28="적용",V28="구현",X28&lt;&gt;"",Y28&lt;&gt;"",AB28&lt;&gt;"",AC28&gt;0,AD28&gt;0,AE28="통과",AF28="",AG28&lt;&gt;"",AH28&lt;&gt;"",OR(S28="자동",S28="수동",S28="자동+수동"),IF(OR(S28="자동",S28="자동+수동"),Z28="통과",TRUE),IF(OR(S28="수동",S28="자동+수동"),AA28="통과",TRUE)),"통과",IF(OR(Z28="실패",AA28="실패",AE28="실패"),"실패","보류"))</x:f>
        <x:v>보류</x:v>
      </x:c>
      <x:c r="AK28" s="5" t="str"/>
      <x:c r="AL28" s="5" t="str"/>
      <x:c r="AM28" s="5" t="str">
        <x:v>입력 v0.1 계획 주석은 original_plan_note에 보존. 최신 구현·시험·증빙은 연결 적용기록을 참조하며 전체 준수·인증을 주장하지 않음.</x:v>
      </x:c>
    </x:row>
    <x:row r="29" ht="66" hidden="0" customHeight="1">
      <x:c r="A29" s="5" t="str">
        <x:v>COD-015</x:v>
      </x:c>
      <x:c r="B29" s="5" t="str">
        <x:v>코딩</x:v>
      </x:c>
      <x:c r="C29" s="5" t="str">
        <x:v>코딩</x:v>
      </x:c>
      <x:c r="D29" s="5" t="str">
        <x:v>트랜잭션·중복 처리</x:v>
      </x:c>
      <x:c r="E29" s="5" t="str">
        <x:v>중복 제출과 일부 저장 실패를 제어한다.</x:v>
      </x:c>
      <x:c r="F29" s="5" t="str">
        <x:v>SRC-003</x:v>
      </x:c>
      <x:c r="G29" s="5" t="str">
        <x:v>회사0.1 / 출처판본 별도</x:v>
      </x:c>
      <x:c r="H29" s="5" t="str">
        <x:v>세부 조항 직접 인용 아님</x:v>
      </x:c>
      <x:c r="I29" s="5" t="str"/>
      <x:c r="J29" s="5" t="str">
        <x:v>사내 기준(안)</x:v>
      </x:c>
      <x:c r="K29" s="5" t="str">
        <x:v>해당없음(사내 기준)</x:v>
      </x:c>
      <x:c r="L29" s="5" t="str">
        <x:v>MUST(안)</x:v>
      </x:c>
      <x:c r="M29" s="10" t="str">
        <x:v>적용</x:v>
      </x:c>
      <x:c r="N29" s="5" t="str">
        <x:v>현재 샘플의 회사 필수 기준으로 채택 제안</x:v>
      </x:c>
      <x:c r="O29" s="5" t="str">
        <x:v>관련 기능·적용 기관·계약 변경 시 재평가</x:v>
      </x:c>
      <x:c r="P29" s="5" t="str">
        <x:v>S01~S08 / 공통</x:v>
      </x:c>
      <x:c r="Q29" s="5" t="str">
        <x:v>업무별 트랜잭션, 고유 제약, 멱등 키 또는 중복요청 방어를 적용한다.</x:v>
      </x:c>
      <x:c r="R29" s="5" t="str">
        <x:v>이중 클릭·재전송·중간 실패·동시갱신 시험을 실행한다.</x:v>
      </x:c>
      <x:c r="S29" s="10" t="str">
        <x:v>자동+수동</x:v>
      </x:c>
      <x:c r="T29" s="5" t="str">
        <x:v>개발·QA</x:v>
      </x:c>
      <x:c r="U29" s="5" t="str">
        <x:v>P1</x:v>
      </x:c>
      <x:c r="V29" s="10" t="str">
        <x:v>구현</x:v>
      </x:c>
      <x:c r="W29" s="5" t="str">
        <x:v>요청/이력/감사 기록은 EF 트랜잭션으로 저장하고 작성자+UUID 고유제약, 낙관적 version 및 파일 저장 실패 정리를 제공한다. 파일시스템과 DB의 프로세스 충돌까지 단일 원자성은 보장하지 않으며 운영 정리 절차가 필요하다.</x:v>
      </x:c>
      <x:c r="X29" s="5" t="str">
        <x:v>apps/api/RequestsController.cs#RequestsController.PersistCreated
apps/api/RequestsController.cs#RequestsController.Create
apps/api/Models.cs#AppDb.OnModelCreating
apps/api/AttachmentsController.cs#AttachmentsController.SaveFiles
apps/web/src/App.tsx#RequestWizard</x:v>
      </x:c>
      <x:c r="Y29" s="5" t="str">
        <x:v>AUTO-BACKEND
MAN-COD-015</x:v>
      </x:c>
      <x:c r="Z29" s="10" t="str">
        <x:v>부분확인</x:v>
      </x:c>
      <x:c r="AA29" s="10" t="str">
        <x:v>미실행</x:v>
      </x:c>
      <x:c r="AB29" s="5" t="str">
        <x:v>AUTO-BACKEND-2026-10-20T06-17-05-753Z</x:v>
      </x:c>
      <x:c r="AC29" s="5" t="n">
        <x:v>1</x:v>
      </x:c>
      <x:c r="AD29" s="5" t="n">
        <x:v>2</x:v>
      </x:c>
      <x:c r="AE29" s="10" t="str">
        <x:v>부분확인</x:v>
      </x:c>
      <x:c r="AF29" s="5" t="str"/>
      <x:c r="AG29" s="5" t="str"/>
      <x:c r="AH29" s="5" t="str"/>
      <x:c r="AI29" s="10" t="str">
        <x:v>입력 기준 유지</x:v>
      </x:c>
      <x:c r="AJ29" s="5" t="str">
        <x:f>IF(AND(M29="적용",V29="구현",X29&lt;&gt;"",Y29&lt;&gt;"",AB29&lt;&gt;"",AC29&gt;0,AD29&gt;0,AE29="통과",AF29="",AG29&lt;&gt;"",AH29&lt;&gt;"",OR(S29="자동",S29="수동",S29="자동+수동"),IF(OR(S29="자동",S29="자동+수동"),Z29="통과",TRUE),IF(OR(S29="수동",S29="자동+수동"),AA29="통과",TRUE)),"통과",IF(OR(Z29="실패",AA29="실패",AE29="실패"),"실패","보류"))</x:f>
        <x:v>보류</x:v>
      </x:c>
      <x:c r="AK29" s="5" t="str"/>
      <x:c r="AL29" s="5" t="str"/>
      <x:c r="AM29" s="5" t="str">
        <x:v>입력 v0.1 계획 주석은 original_plan_note에 보존. 최신 구현·시험·증빙은 연결 적용기록을 참조하며 전체 준수·인증을 주장하지 않음.</x:v>
      </x:c>
    </x:row>
    <x:row r="30" ht="52.79999923706055" hidden="0" customHeight="1">
      <x:c r="A30" s="5" t="str">
        <x:v>COD-016</x:v>
      </x:c>
      <x:c r="B30" s="5" t="str">
        <x:v>코딩</x:v>
      </x:c>
      <x:c r="C30" s="5" t="str">
        <x:v>코딩</x:v>
      </x:c>
      <x:c r="D30" s="5" t="str">
        <x:v>시간·수치 정책</x:v>
      </x:c>
      <x:c r="E30" s="5" t="str">
        <x:v>시간대·정밀도·단위를 데이터 계약에 명시한다.</x:v>
      </x:c>
      <x:c r="F30" s="5" t="str">
        <x:v>SRC-003</x:v>
      </x:c>
      <x:c r="G30" s="5" t="str">
        <x:v>회사0.1 / 출처판본 별도</x:v>
      </x:c>
      <x:c r="H30" s="5" t="str">
        <x:v>세부 조항 직접 인용 아님</x:v>
      </x:c>
      <x:c r="I30" s="5" t="str"/>
      <x:c r="J30" s="5" t="str">
        <x:v>사내 기준(안)</x:v>
      </x:c>
      <x:c r="K30" s="5" t="str">
        <x:v>해당없음(사내 기준)</x:v>
      </x:c>
      <x:c r="L30" s="5" t="str">
        <x:v>MUST(안)</x:v>
      </x:c>
      <x:c r="M30" s="10" t="str">
        <x:v>적용</x:v>
      </x:c>
      <x:c r="N30" s="5" t="str">
        <x:v>현재 샘플의 회사 필수 기준으로 채택 제안</x:v>
      </x:c>
      <x:c r="O30" s="5" t="str">
        <x:v>관련 기능·적용 기관·계약 변경 시 재평가</x:v>
      </x:c>
      <x:c r="P30" s="5" t="str">
        <x:v>S01~S08 / 공통</x:v>
      </x:c>
      <x:c r="Q30" s="5" t="str">
        <x:v>서버 시각은 UTC/offset으로 저장하고 표시 시 Asia/Seoul로 변환한다. 금액은 정수 최소단위 또는 decimal을 사용한다.</x:v>
      </x:c>
      <x:c r="R30" s="5" t="str">
        <x:v>날짜 경계·표시변환·반올림·오버플로 시험을 실행한다.</x:v>
      </x:c>
      <x:c r="S30" s="10" t="str">
        <x:v>자동+수동</x:v>
      </x:c>
      <x:c r="T30" s="5" t="str">
        <x:v>개발·QA</x:v>
      </x:c>
      <x:c r="U30" s="5" t="str">
        <x:v>P1</x:v>
      </x:c>
      <x:c r="V30" s="10" t="str">
        <x:v>구현</x:v>
      </x:c>
      <x:c r="W30" s="5" t="str">
        <x:v>DateTime.UtcNow로 저장하고 API에서 UTC Kind/Z를 명시한다. 프런트 Intl.DateTimeFormat의 Asia/Seoul을 사용한다. 금액 모델은 현재 없어 decimal 준수 실적을 주장하지 않는다.</x:v>
      </x:c>
      <x:c r="X30" s="5" t="str">
        <x:v>apps/api/Models.cs#WorkRequest.CreatedAt
apps/api/RequestsController.cs#RequestsController.View
apps/api/Infrastructure.cs#SampleSessionOptions.Minutes
apps/web/src/ui.tsx#formatDate</x:v>
      </x:c>
      <x:c r="Y30" s="5" t="str">
        <x:v>AUTO-BACKEND
MAN-COD-016</x:v>
      </x:c>
      <x:c r="Z30" s="10" t="str">
        <x:v>부분확인</x:v>
      </x:c>
      <x:c r="AA30" s="10" t="str">
        <x:v>미실행</x:v>
      </x:c>
      <x:c r="AB30" s="5" t="str">
        <x:v>AUTO-BACKEND-2026-10-20T06-17-05-753Z</x:v>
      </x:c>
      <x:c r="AC30" s="5" t="n">
        <x:v>1</x:v>
      </x:c>
      <x:c r="AD30" s="5" t="n">
        <x:v>2</x:v>
      </x:c>
      <x:c r="AE30" s="10" t="str">
        <x:v>부분확인</x:v>
      </x:c>
      <x:c r="AF30" s="5" t="str"/>
      <x:c r="AG30" s="5" t="str"/>
      <x:c r="AH30" s="5" t="str"/>
      <x:c r="AI30" s="10" t="str">
        <x:v>입력 기준 유지</x:v>
      </x:c>
      <x:c r="AJ30" s="5" t="str">
        <x:f>IF(AND(M30="적용",V30="구현",X30&lt;&gt;"",Y30&lt;&gt;"",AB30&lt;&gt;"",AC30&gt;0,AD30&gt;0,AE30="통과",AF30="",AG30&lt;&gt;"",AH30&lt;&gt;"",OR(S30="자동",S30="수동",S30="자동+수동"),IF(OR(S30="자동",S30="자동+수동"),Z30="통과",TRUE),IF(OR(S30="수동",S30="자동+수동"),AA30="통과",TRUE)),"통과",IF(OR(Z30="실패",AA30="실패",AE30="실패"),"실패","보류"))</x:f>
        <x:v>보류</x:v>
      </x:c>
      <x:c r="AK30" s="5" t="str"/>
      <x:c r="AL30" s="5" t="str"/>
      <x:c r="AM30" s="5" t="str">
        <x:v>입력 v0.1 계획 주석은 original_plan_note에 보존. 최신 구현·시험·증빙은 연결 적용기록을 참조하며 전체 준수·인증을 주장하지 않음.</x:v>
      </x:c>
    </x:row>
    <x:row r="31" ht="52.79999923706055" hidden="0" customHeight="1">
      <x:c r="A31" s="5" t="str">
        <x:v>COD-017</x:v>
      </x:c>
      <x:c r="B31" s="5" t="str">
        <x:v>코딩</x:v>
      </x:c>
      <x:c r="C31" s="5" t="str">
        <x:v>코딩</x:v>
      </x:c>
      <x:c r="D31" s="5" t="str">
        <x:v>C# nullable·분석기</x:v>
      </x:c>
      <x:c r="E31" s="5" t="str">
        <x:v>C#을 선택한 경우 nullable과 정적분석을 사용한다.</x:v>
      </x:c>
      <x:c r="F31" s="5" t="str">
        <x:v>SRC-011</x:v>
      </x:c>
      <x:c r="G31" s="5" t="str">
        <x:v>회사0.1 / 출처판본 별도</x:v>
      </x:c>
      <x:c r="H31" s="5" t="str">
        <x:v>세부 조항 직접 인용 아님</x:v>
      </x:c>
      <x:c r="I31" s="5" t="str"/>
      <x:c r="J31" s="5" t="str">
        <x:v>언어 공식 권고를 사내 조정</x:v>
      </x:c>
      <x:c r="K31" s="5" t="str">
        <x:v>해당없음(사내 기준)</x:v>
      </x:c>
      <x:c r="L31" s="5" t="str">
        <x:v>MUST(안)</x:v>
      </x:c>
      <x:c r="M31" s="10" t="str">
        <x:v>적용</x:v>
      </x:c>
      <x:c r="N31" s="5" t="str">
        <x:v>샘플 기본안이 C# .NET 10이므로 적용</x:v>
      </x:c>
      <x:c r="O31" s="5" t="str">
        <x:v>관련 기능·적용 기관·계약 변경 시 재평가</x:v>
      </x:c>
      <x:c r="P31" s="5" t="str">
        <x:v>S01~S08 / 공통</x:v>
      </x:c>
      <x:c r="Q31" s="5" t="str">
        <x:v>Nullable enable, .NET analyzers, dotnet format을 언어 프로파일에 고정한다.</x:v>
      </x:c>
      <x:c r="R31" s="5" t="str">
        <x:v>빌드·분석기 결과와 널 경로시험을 확인한다.</x:v>
      </x:c>
      <x:c r="S31" s="10" t="str">
        <x:v>자동+수동</x:v>
      </x:c>
      <x:c r="T31" s="5" t="str">
        <x:v>개발·QA</x:v>
      </x:c>
      <x:c r="U31" s="5" t="str">
        <x:v>P1</x:v>
      </x:c>
      <x:c r="V31" s="10" t="str">
        <x:v>구현</x:v>
      </x:c>
      <x:c r="W31" s="5" t="str">
        <x:v>net10.0, Nullable enable, 최신 분석기, 경고 오류처리 및 dotnet format을 고정한다. 실제 build/format의 실행 결과는 별도 증빙에 연결한다.</x:v>
      </x:c>
      <x:c r="X31" s="5" t="str">
        <x:v>apps/api/Kstd.Api.csproj#Nullable
apps/api/Kstd.Api.csproj#AnalysisLevel
scripts/backend-verify.mjs#tasks
standards/profiles/csharp.json</x:v>
      </x:c>
      <x:c r="Y31" s="5" t="str">
        <x:v>AUTO-BACKEND
MAN-COD-017</x:v>
      </x:c>
      <x:c r="Z31" s="10" t="str">
        <x:v>부분확인</x:v>
      </x:c>
      <x:c r="AA31" s="10" t="str">
        <x:v>미실행</x:v>
      </x:c>
      <x:c r="AB31" s="5" t="str">
        <x:v>AUTO-BACKEND-2026-10-20T06-17-05-753Z</x:v>
      </x:c>
      <x:c r="AC31" s="5" t="n">
        <x:v>1</x:v>
      </x:c>
      <x:c r="AD31" s="5" t="n">
        <x:v>2</x:v>
      </x:c>
      <x:c r="AE31" s="10" t="str">
        <x:v>부분확인</x:v>
      </x:c>
      <x:c r="AF31" s="5" t="str"/>
      <x:c r="AG31" s="5" t="str"/>
      <x:c r="AH31" s="5" t="str"/>
      <x:c r="AI31" s="10" t="str">
        <x:v>입력 기준 유지</x:v>
      </x:c>
      <x:c r="AJ31" s="5" t="str">
        <x:f>IF(AND(M31="적용",V31="구현",X31&lt;&gt;"",Y31&lt;&gt;"",AB31&lt;&gt;"",AC31&gt;0,AD31&gt;0,AE31="통과",AF31="",AG31&lt;&gt;"",AH31&lt;&gt;"",OR(S31="자동",S31="수동",S31="자동+수동"),IF(OR(S31="자동",S31="자동+수동"),Z31="통과",TRUE),IF(OR(S31="수동",S31="자동+수동"),AA31="통과",TRUE)),"통과",IF(OR(Z31="실패",AA31="실패",AE31="실패"),"실패","보류"))</x:f>
        <x:v>보류</x:v>
      </x:c>
      <x:c r="AK31" s="5" t="str"/>
      <x:c r="AL31" s="5" t="str"/>
      <x:c r="AM31" s="5" t="str">
        <x:v>입력 v0.1 계획 주석은 original_plan_note에 보존. 최신 구현·시험·증빙은 연결 적용기록을 참조하며 전체 준수·인증을 주장하지 않음.</x:v>
      </x:c>
    </x:row>
    <x:row r="32" ht="52.79999923706055" hidden="0" customHeight="1">
      <x:c r="A32" s="5" t="str">
        <x:v>COD-018</x:v>
      </x:c>
      <x:c r="B32" s="5" t="str">
        <x:v>코딩</x:v>
      </x:c>
      <x:c r="C32" s="5" t="str">
        <x:v>코딩</x:v>
      </x:c>
      <x:c r="D32" s="5" t="str">
        <x:v>의미 있는 테스트</x:v>
      </x:c>
      <x:c r="E32" s="5" t="str">
        <x:v>주요 업무·권한·실패경로를 검증하고 형식적 테스트를 피한다.</x:v>
      </x:c>
      <x:c r="F32" s="5" t="str">
        <x:v>SRC-003</x:v>
      </x:c>
      <x:c r="G32" s="5" t="str">
        <x:v>회사0.1 / 출처판본 별도</x:v>
      </x:c>
      <x:c r="H32" s="5" t="str">
        <x:v>세부 조항 직접 인용 아님</x:v>
      </x:c>
      <x:c r="I32" s="5" t="str"/>
      <x:c r="J32" s="5" t="str">
        <x:v>사내 기준(안)</x:v>
      </x:c>
      <x:c r="K32" s="5" t="str">
        <x:v>해당없음(사내 기준)</x:v>
      </x:c>
      <x:c r="L32" s="5" t="str">
        <x:v>MUST(안)</x:v>
      </x:c>
      <x:c r="M32" s="10" t="str">
        <x:v>적용</x:v>
      </x:c>
      <x:c r="N32" s="5" t="str">
        <x:v>현재 샘플의 회사 필수 기준으로 채택 제안</x:v>
      </x:c>
      <x:c r="O32" s="5" t="str">
        <x:v>관련 기능·적용 기관·계약 변경 시 재평가</x:v>
      </x:c>
      <x:c r="P32" s="5" t="str">
        <x:v>S01, S04, S06</x:v>
      </x:c>
      <x:c r="Q32" s="5" t="str">
        <x:v>경계·권한거부·상태전이·재시도 테스트를 작성한다. 커버리지 수치는 사내 목표로 명시한다.</x:v>
      </x:c>
      <x:c r="R32" s="5" t="str">
        <x:v>회귀테스트 결과와 중요한 분기 누락을 검토한다.</x:v>
      </x:c>
      <x:c r="S32" s="10" t="str">
        <x:v>자동+수동</x:v>
      </x:c>
      <x:c r="T32" s="5" t="str">
        <x:v>개발·QA</x:v>
      </x:c>
      <x:c r="U32" s="5" t="str">
        <x:v>P1</x:v>
      </x:c>
      <x:c r="V32" s="10" t="str">
        <x:v>구현</x:v>
      </x:c>
      <x:c r="W32" s="5" t="str">
        <x:v>상태전이/길이/형식 경계 단위시험과 실제 인증·객체/역할 거부·CSRF·동시성·첨부·재시작·만료·백업복구 HTTP 통합시험을 제공한다. 수치 달성을 위한 전체 커버리지 추정은 하지 않는다.</x:v>
      </x:c>
      <x:c r="X32" s="5" t="str">
        <x:v>tests/backend/Kstd.Api.Tests/BusinessRulesTests.cs#BusinessRulesTests
tests/backend/integration.py#test
tests/backend/test-catalog.json
scripts/backend-verify.mjs#tasks</x:v>
      </x:c>
      <x:c r="Y32" s="5" t="str">
        <x:v>AUTO-BACKEND
MAN-COD-018</x:v>
      </x:c>
      <x:c r="Z32" s="10" t="str">
        <x:v>부분확인</x:v>
      </x:c>
      <x:c r="AA32" s="10" t="str">
        <x:v>미실행</x:v>
      </x:c>
      <x:c r="AB32" s="5" t="str">
        <x:v>AUTO-BACKEND-2026-10-20T06-17-05-753Z</x:v>
      </x:c>
      <x:c r="AC32" s="5" t="n">
        <x:v>1</x:v>
      </x:c>
      <x:c r="AD32" s="5" t="n">
        <x:v>2</x:v>
      </x:c>
      <x:c r="AE32" s="10" t="str">
        <x:v>부분확인</x:v>
      </x:c>
      <x:c r="AF32" s="5" t="str"/>
      <x:c r="AG32" s="5" t="str"/>
      <x:c r="AH32" s="5" t="str"/>
      <x:c r="AI32" s="10" t="str">
        <x:v>입력 기준 유지</x:v>
      </x:c>
      <x:c r="AJ32" s="5" t="str">
        <x:f>IF(AND(M32="적용",V32="구현",X32&lt;&gt;"",Y32&lt;&gt;"",AB32&lt;&gt;"",AC32&gt;0,AD32&gt;0,AE32="통과",AF32="",AG32&lt;&gt;"",AH32&lt;&gt;"",OR(S32="자동",S32="수동",S32="자동+수동"),IF(OR(S32="자동",S32="자동+수동"),Z32="통과",TRUE),IF(OR(S32="수동",S32="자동+수동"),AA32="통과",TRUE)),"통과",IF(OR(Z32="실패",AA32="실패",AE32="실패"),"실패","보류"))</x:f>
        <x:v>보류</x:v>
      </x:c>
      <x:c r="AK32" s="5" t="str"/>
      <x:c r="AL32" s="5" t="str"/>
      <x:c r="AM32" s="5" t="str">
        <x:v>입력 v0.1 계획 주석은 original_plan_note에 보존. 최신 구현·시험·증빙은 연결 적용기록을 참조하며 전체 준수·인증을 주장하지 않음.</x:v>
      </x:c>
    </x:row>
    <x:row r="33" ht="52.79999923706055" hidden="0" customHeight="1">
      <x:c r="A33" s="5" t="str">
        <x:v>SEC-001</x:v>
      </x:c>
      <x:c r="B33" s="5" t="str">
        <x:v>보안</x:v>
      </x:c>
      <x:c r="C33" s="5" t="str">
        <x:v>보안</x:v>
      </x:c>
      <x:c r="D33" s="5" t="str">
        <x:v>위협·신뢰경계</x:v>
      </x:c>
      <x:c r="E33" s="5" t="str">
        <x:v>보호대상과 입력·권한·외부연계의 경계를 식별한다.</x:v>
      </x:c>
      <x:c r="F33" s="5" t="str">
        <x:v>SRC-012</x:v>
      </x:c>
      <x:c r="G33" s="5" t="str">
        <x:v>회사0.1 / 출처판본 별도</x:v>
      </x:c>
      <x:c r="H33" s="5" t="str">
        <x:v>세부 조항 직접 인용 아님</x:v>
      </x:c>
      <x:c r="I33" s="5" t="str"/>
      <x:c r="J33" s="5" t="str">
        <x:v>외부 검증 표준 참조; 아래는 사내 적용 규칙</x:v>
      </x:c>
      <x:c r="K33" s="5" t="str">
        <x:v>해당없음(사내 기준)</x:v>
      </x:c>
      <x:c r="L33" s="5" t="str">
        <x:v>MUST(안)</x:v>
      </x:c>
      <x:c r="M33" s="10" t="str">
        <x:v>적용</x:v>
      </x:c>
      <x:c r="N33" s="5" t="str">
        <x:v>현재 샘플의 회사 필수 기준으로 채택 제안</x:v>
      </x:c>
      <x:c r="O33" s="5" t="str">
        <x:v>관련 기능·적용 기관·계약 변경 시 재평가</x:v>
      </x:c>
      <x:c r="P33" s="5" t="str">
        <x:v>S03</x:v>
      </x:c>
      <x:c r="Q33" s="5" t="str">
        <x:v>간단한 데이터 흐름도와 위협목록을 작성해 통제 ID에 연결한다.</x:v>
      </x:c>
      <x:c r="R33" s="5" t="str">
        <x:v>주요 위협에 대응 통제와 시험이 있는지 검토한다.</x:v>
      </x:c>
      <x:c r="S33" s="10" t="str">
        <x:v>자동+수동</x:v>
      </x:c>
      <x:c r="T33" s="5" t="str">
        <x:v>개발·QA</x:v>
      </x:c>
      <x:c r="U33" s="5" t="str">
        <x:v>P1</x:v>
      </x:c>
      <x:c r="V33" s="10" t="str">
        <x:v>진행</x:v>
      </x:c>
      <x:c r="W33" s="5" t="str">
        <x:v>아키텍처 문서에서 브라우저/쿠키/API/DB/첨부/빌드/내보내기 경계와 주요 위협을 식별하고 구현 통제를 설명한다. 위협별 통제 ID 매핑과 정식 데이터 흐름도/위험 승인표는 미완성이다.</x:v>
      </x:c>
      <x:c r="X33" s="5" t="str">
        <x:v>docs/ARCHITECTURE.md
docs/SECURITY_STANDARD.md
apps/api/RequestsController.cs#RequestsController.VisibleRequests
apps/api/Program.cs#AddAntiforgery</x:v>
      </x:c>
      <x:c r="Y33" s="5" t="str">
        <x:v>MAN-SEC-001</x:v>
      </x:c>
      <x:c r="Z33" s="10" t="str">
        <x:v>미실행</x:v>
      </x:c>
      <x:c r="AA33" s="10" t="str">
        <x:v>미실행</x:v>
      </x:c>
      <x:c r="AB33" s="5" t="str"/>
      <x:c r="AC33" s="5" t="n">
        <x:v>0</x:v>
      </x:c>
      <x:c r="AD33" s="5" t="n">
        <x:v>1</x:v>
      </x:c>
      <x:c r="AE33" s="10" t="str">
        <x:v>미실행</x:v>
      </x:c>
      <x:c r="AF33" s="5" t="str"/>
      <x:c r="AG33" s="5" t="str"/>
      <x:c r="AH33" s="5" t="str"/>
      <x:c r="AI33" s="10" t="str">
        <x:v>입력 기준 유지</x:v>
      </x:c>
      <x:c r="AJ33" s="5" t="str">
        <x:f>IF(AND(M33="적용",V33="구현",X33&lt;&gt;"",Y33&lt;&gt;"",AB33&lt;&gt;"",AC33&gt;0,AD33&gt;0,AE33="통과",AF33="",AG33&lt;&gt;"",AH33&lt;&gt;"",OR(S33="자동",S33="수동",S33="자동+수동"),IF(OR(S33="자동",S33="자동+수동"),Z33="통과",TRUE),IF(OR(S33="수동",S33="자동+수동"),AA33="통과",TRUE)),"통과",IF(OR(Z33="실패",AA33="실패",AE33="실패"),"실패","보류"))</x:f>
        <x:v>보류</x:v>
      </x:c>
      <x:c r="AK33" s="5" t="str"/>
      <x:c r="AL33" s="5" t="str"/>
      <x:c r="AM33" s="5" t="str">
        <x:v>입력 v0.1 계획 주석은 original_plan_note에 보존. 최신 구현·시험·증빙은 연결 적용기록을 참조하며 전체 준수·인증을 주장하지 않음.</x:v>
      </x:c>
    </x:row>
    <x:row r="34" ht="52.79999923706055" hidden="0" customHeight="1">
      <x:c r="A34" s="5" t="str">
        <x:v>SEC-002</x:v>
      </x:c>
      <x:c r="B34" s="5" t="str">
        <x:v>보안</x:v>
      </x:c>
      <x:c r="C34" s="5" t="str">
        <x:v>보안</x:v>
      </x:c>
      <x:c r="D34" s="5" t="str">
        <x:v>인젝션 방어</x:v>
      </x:c>
      <x:c r="E34" s="5" t="str">
        <x:v>SQL·명령문을 입력 문자열 결합으로 만들지 않는다.</x:v>
      </x:c>
      <x:c r="F34" s="5" t="str">
        <x:v>SRC-013</x:v>
      </x:c>
      <x:c r="G34" s="5" t="str">
        <x:v>회사0.1 / 출처판본 별도</x:v>
      </x:c>
      <x:c r="H34" s="5" t="str">
        <x:v>세부 조항 직접 인용 아님</x:v>
      </x:c>
      <x:c r="I34" s="5" t="str"/>
      <x:c r="J34" s="5" t="str">
        <x:v>공공 가이드 참조; 계약별 적용성 확인</x:v>
      </x:c>
      <x:c r="K34" s="5" t="str">
        <x:v>해당없음(사내 기준)</x:v>
      </x:c>
      <x:c r="L34" s="5" t="str">
        <x:v>MUST(안)</x:v>
      </x:c>
      <x:c r="M34" s="10" t="str">
        <x:v>적용</x:v>
      </x:c>
      <x:c r="N34" s="5" t="str">
        <x:v>현재 샘플의 회사 필수 기준으로 채택 제안</x:v>
      </x:c>
      <x:c r="O34" s="5" t="str">
        <x:v>관련 기능·적용 기관·계약 변경 시 재평가</x:v>
      </x:c>
      <x:c r="P34" s="5" t="str">
        <x:v>S01~S08 / 공통</x:v>
      </x:c>
      <x:c r="Q34" s="5" t="str">
        <x:v>ORM 매개변수화와 구조화 API를 사용하고 셸 실행을 최소화한다.</x:v>
      </x:c>
      <x:c r="R34" s="5" t="str">
        <x:v>정적점검과 인젝션 입력 거부/안전처리 시험을 실행한다.</x:v>
      </x:c>
      <x:c r="S34" s="10" t="str">
        <x:v>자동+수동</x:v>
      </x:c>
      <x:c r="T34" s="5" t="str">
        <x:v>개발·QA</x:v>
      </x:c>
      <x:c r="U34" s="5" t="str">
        <x:v>P1</x:v>
      </x:c>
      <x:c r="V34" s="10" t="str">
        <x:v>구현</x:v>
      </x:c>
      <x:c r="W34" s="5" t="str">
        <x:v>사용자 검색/객체 ID는 EF LINQ로 매개변수화하며 사용자 문자열을 SQL/명령문에 결합하지 않는다. 빌드/운영 도구의 외부 명령도 spawn 인자 배열로 실행한다.</x:v>
      </x:c>
      <x:c r="X34" s="5" t="str">
        <x:v>apps/api/RequestsController.cs#RequestsController.List
apps/api/Models.cs#AppDb
scripts/manage.mjs#run
scripts/backend.py#run</x:v>
      </x:c>
      <x:c r="Y34" s="5" t="str">
        <x:v>AUTO-BACKEND
MAN-SEC-002</x:v>
      </x:c>
      <x:c r="Z34" s="10" t="str">
        <x:v>부분확인</x:v>
      </x:c>
      <x:c r="AA34" s="10" t="str">
        <x:v>미실행</x:v>
      </x:c>
      <x:c r="AB34" s="5" t="str">
        <x:v>AUTO-BACKEND-2026-10-20T06-17-05-753Z</x:v>
      </x:c>
      <x:c r="AC34" s="5" t="n">
        <x:v>1</x:v>
      </x:c>
      <x:c r="AD34" s="5" t="n">
        <x:v>2</x:v>
      </x:c>
      <x:c r="AE34" s="10" t="str">
        <x:v>부분확인</x:v>
      </x:c>
      <x:c r="AF34" s="5" t="str"/>
      <x:c r="AG34" s="5" t="str"/>
      <x:c r="AH34" s="5" t="str"/>
      <x:c r="AI34" s="10" t="str">
        <x:v>입력 기준 유지</x:v>
      </x:c>
      <x:c r="AJ34" s="5" t="str">
        <x:f>IF(AND(M34="적용",V34="구현",X34&lt;&gt;"",Y34&lt;&gt;"",AB34&lt;&gt;"",AC34&gt;0,AD34&gt;0,AE34="통과",AF34="",AG34&lt;&gt;"",AH34&lt;&gt;"",OR(S34="자동",S34="수동",S34="자동+수동"),IF(OR(S34="자동",S34="자동+수동"),Z34="통과",TRUE),IF(OR(S34="수동",S34="자동+수동"),AA34="통과",TRUE)),"통과",IF(OR(Z34="실패",AA34="실패",AE34="실패"),"실패","보류"))</x:f>
        <x:v>보류</x:v>
      </x:c>
      <x:c r="AK34" s="5" t="str"/>
      <x:c r="AL34" s="5" t="str"/>
      <x:c r="AM34" s="5" t="str">
        <x:v>입력 v0.1 계획 주석은 original_plan_note에 보존. 최신 구현·시험·증빙은 연결 적용기록을 참조하며 전체 준수·인증을 주장하지 않음.</x:v>
      </x:c>
    </x:row>
    <x:row r="35" ht="52.79999923706055" hidden="0" customHeight="1">
      <x:c r="A35" s="5" t="str">
        <x:v>SEC-003</x:v>
      </x:c>
      <x:c r="B35" s="5" t="str">
        <x:v>보안</x:v>
      </x:c>
      <x:c r="C35" s="5" t="str">
        <x:v>보안</x:v>
      </x:c>
      <x:c r="D35" s="5" t="str">
        <x:v>XSS 방어</x:v>
      </x:c>
      <x:c r="E35" s="5" t="str">
        <x:v>출력 문맥에 맞게 인코딩하고 HTML 삽입을 제한한다.</x:v>
      </x:c>
      <x:c r="F35" s="5" t="str">
        <x:v>SRC-012</x:v>
      </x:c>
      <x:c r="G35" s="5" t="str">
        <x:v>회사0.1 / 출처판본 별도</x:v>
      </x:c>
      <x:c r="H35" s="5" t="str">
        <x:v>세부 조항 직접 인용 아님</x:v>
      </x:c>
      <x:c r="I35" s="5" t="str"/>
      <x:c r="J35" s="5" t="str">
        <x:v>외부 검증 표준 참조; 아래는 사내 적용 규칙</x:v>
      </x:c>
      <x:c r="K35" s="5" t="str">
        <x:v>해당없음(사내 기준)</x:v>
      </x:c>
      <x:c r="L35" s="5" t="str">
        <x:v>MUST(안)</x:v>
      </x:c>
      <x:c r="M35" s="10" t="str">
        <x:v>적용</x:v>
      </x:c>
      <x:c r="N35" s="5" t="str">
        <x:v>현재 샘플의 회사 필수 기준으로 채택 제안</x:v>
      </x:c>
      <x:c r="O35" s="5" t="str">
        <x:v>관련 기능·적용 기관·계약 변경 시 재평가</x:v>
      </x:c>
      <x:c r="P35" s="5" t="str">
        <x:v>S01~S08 / 공통</x:v>
      </x:c>
      <x:c r="Q35" s="5" t="str">
        <x:v>기본 텍스트 렌더링을 사용하고 필요한 rich HTML만 검증된 sanitizer를 거친다.</x:v>
      </x:c>
      <x:c r="R35" s="5" t="str">
        <x:v>반사·저장·DOM 경로의 스크립트성 입력을 시험한다.</x:v>
      </x:c>
      <x:c r="S35" s="10" t="str">
        <x:v>자동+수동</x:v>
      </x:c>
      <x:c r="T35" s="5" t="str">
        <x:v>개발·QA</x:v>
      </x:c>
      <x:c r="U35" s="5" t="str">
        <x:v>P1</x:v>
      </x:c>
      <x:c r="V35" s="10" t="str">
        <x:v>구현</x:v>
      </x:c>
      <x:c r="W35" s="5" t="str">
        <x:v>요청 제목/내용은 React 텍스트 노드로 렌더하고 사용자 HTML 삽입 기능을 제공하지 않는다. 정적 HTML 보고서도 데이터의 특수문자를 esc로 이스케이프한다. 저장형/반사형 공격 전수 보안평가는 별도 미실행이다.</x:v>
      </x:c>
      <x:c r="X35" s="5" t="str">
        <x:v>apps/web/src/App.tsx#RequestDetail
apps/web/src/App.tsx#RequestTable
apps/web/src/StandardsBrowser.tsx#StandardsBrowser
scripts/generate-reports.mjs#esc</x:v>
      </x:c>
      <x:c r="Y35" s="5" t="str">
        <x:v>MAN-SEC-003</x:v>
      </x:c>
      <x:c r="Z35" s="10" t="str">
        <x:v>미실행</x:v>
      </x:c>
      <x:c r="AA35" s="10" t="str">
        <x:v>미실행</x:v>
      </x:c>
      <x:c r="AB35" s="5" t="str"/>
      <x:c r="AC35" s="5" t="n">
        <x:v>0</x:v>
      </x:c>
      <x:c r="AD35" s="5" t="n">
        <x:v>1</x:v>
      </x:c>
      <x:c r="AE35" s="10" t="str">
        <x:v>미실행</x:v>
      </x:c>
      <x:c r="AF35" s="5" t="str"/>
      <x:c r="AG35" s="5" t="str"/>
      <x:c r="AH35" s="5" t="str"/>
      <x:c r="AI35" s="10" t="str">
        <x:v>입력 기준 유지</x:v>
      </x:c>
      <x:c r="AJ35" s="5" t="str">
        <x:f>IF(AND(M35="적용",V35="구현",X35&lt;&gt;"",Y35&lt;&gt;"",AB35&lt;&gt;"",AC35&gt;0,AD35&gt;0,AE35="통과",AF35="",AG35&lt;&gt;"",AH35&lt;&gt;"",OR(S35="자동",S35="수동",S35="자동+수동"),IF(OR(S35="자동",S35="자동+수동"),Z35="통과",TRUE),IF(OR(S35="수동",S35="자동+수동"),AA35="통과",TRUE)),"통과",IF(OR(Z35="실패",AA35="실패",AE35="실패"),"실패","보류"))</x:f>
        <x:v>보류</x:v>
      </x:c>
      <x:c r="AK35" s="5" t="str"/>
      <x:c r="AL35" s="5" t="str"/>
      <x:c r="AM35" s="5" t="str">
        <x:v>입력 v0.1 계획 주석은 original_plan_note에 보존. 최신 구현·시험·증빙은 연결 적용기록을 참조하며 전체 준수·인증을 주장하지 않음.</x:v>
      </x:c>
    </x:row>
    <x:row r="36" ht="52.79999923706055" hidden="0" customHeight="1">
      <x:c r="A36" s="5" t="str">
        <x:v>SEC-004</x:v>
      </x:c>
      <x:c r="B36" s="5" t="str">
        <x:v>보안</x:v>
      </x:c>
      <x:c r="C36" s="5" t="str">
        <x:v>보안</x:v>
      </x:c>
      <x:c r="D36" s="5" t="str">
        <x:v>인증 구현</x:v>
      </x:c>
      <x:c r="E36" s="5" t="str">
        <x:v>유지보수되는 인증 프레임워크를 사용하고 자체 암호체계를 만들지 않는다.</x:v>
      </x:c>
      <x:c r="F36" s="5" t="str">
        <x:v>SRC-014</x:v>
      </x:c>
      <x:c r="G36" s="5" t="str">
        <x:v>회사0.1 / 출처판본 별도</x:v>
      </x:c>
      <x:c r="H36" s="5" t="str">
        <x:v>세부 조항 직접 인용 아님</x:v>
      </x:c>
      <x:c r="I36" s="5" t="str"/>
      <x:c r="J36" s="5" t="str">
        <x:v>공식 구현 가이드 참조</x:v>
      </x:c>
      <x:c r="K36" s="5" t="str">
        <x:v>해당없음(사내 기준)</x:v>
      </x:c>
      <x:c r="L36" s="5" t="str">
        <x:v>MUST(안)</x:v>
      </x:c>
      <x:c r="M36" s="10" t="str">
        <x:v>적용</x:v>
      </x:c>
      <x:c r="N36" s="5" t="str">
        <x:v>현재 샘플의 회사 필수 기준으로 채택 제안</x:v>
      </x:c>
      <x:c r="O36" s="5" t="str">
        <x:v>관련 기능·적용 기관·계약 변경 시 재평가</x:v>
      </x:c>
      <x:c r="P36" s="5" t="str">
        <x:v>S01, S05</x:v>
      </x:c>
      <x:c r="Q36" s="5" t="str">
        <x:v>샘플의 로그인도 서버 검증을 사용하고 비밀번호 저장은 검증된 해시 구현에 맡긴다.</x:v>
      </x:c>
      <x:c r="R36" s="5" t="str">
        <x:v>잘못된 인증·로그아웃·잠금/속도제한·재로그인 시나리오를 시험한다.</x:v>
      </x:c>
      <x:c r="S36" s="10" t="str">
        <x:v>자동+수동</x:v>
      </x:c>
      <x:c r="T36" s="5" t="str">
        <x:v>개발·QA</x:v>
      </x:c>
      <x:c r="U36" s="5" t="str">
        <x:v>P1</x:v>
      </x:c>
      <x:c r="V36" s="10" t="str">
        <x:v>구현</x:v>
      </x:c>
      <x:c r="W36" s="5" t="str">
        <x:v>ASP.NET Core Cookie Authentication과 Identity PasswordHasher를 사용한다. 로그인 서버 검증, 실패 잠금, hash 저장을 구현하며 자체 암호 알고리즘을 만들지 않는다.</x:v>
      </x:c>
      <x:c r="X36" s="5" t="str">
        <x:v>apps/api/Program.cs#AddAuthentication
apps/api/AuthController.cs#AuthController.Login
apps/api/AuthController.cs#AuthController.RejectLogin
apps/api/SeedData.cs#SeedData.NewUser</x:v>
      </x:c>
      <x:c r="Y36" s="5" t="str">
        <x:v>AUTO-BACKEND
SCREEN-LOGIN
MAN-SEC-004</x:v>
      </x:c>
      <x:c r="Z36" s="10" t="str">
        <x:v>부분확인</x:v>
      </x:c>
      <x:c r="AA36" s="10" t="str">
        <x:v>미실행</x:v>
      </x:c>
      <x:c r="AB36" s="5" t="str">
        <x:v>AUTO-BACKEND-2026-10-20T06-17-05-753Z
SCREEN-LOGIN-2026-10-20T06-15-00-647Z</x:v>
      </x:c>
      <x:c r="AC36" s="5" t="n">
        <x:v>2</x:v>
      </x:c>
      <x:c r="AD36" s="5" t="n">
        <x:v>3</x:v>
      </x:c>
      <x:c r="AE36" s="10" t="str">
        <x:v>부분확인</x:v>
      </x:c>
      <x:c r="AF36" s="5" t="str"/>
      <x:c r="AG36" s="5" t="str"/>
      <x:c r="AH36" s="5" t="str"/>
      <x:c r="AI36" s="10" t="str">
        <x:v>입력 기준 유지</x:v>
      </x:c>
      <x:c r="AJ36" s="5" t="str">
        <x:f>IF(AND(M36="적용",V36="구현",X36&lt;&gt;"",Y36&lt;&gt;"",AB36&lt;&gt;"",AC36&gt;0,AD36&gt;0,AE36="통과",AF36="",AG36&lt;&gt;"",AH36&lt;&gt;"",OR(S36="자동",S36="수동",S36="자동+수동"),IF(OR(S36="자동",S36="자동+수동"),Z36="통과",TRUE),IF(OR(S36="수동",S36="자동+수동"),AA36="통과",TRUE)),"통과",IF(OR(Z36="실패",AA36="실패",AE36="실패"),"실패","보류"))</x:f>
        <x:v>보류</x:v>
      </x:c>
      <x:c r="AK36" s="5" t="str"/>
      <x:c r="AL36" s="5" t="str"/>
      <x:c r="AM36" s="5" t="str">
        <x:v>입력 v0.1 계획 주석은 original_plan_note에 보존. 최신 구현·시험·증빙은 연결 적용기록을 참조하며 전체 준수·인증을 주장하지 않음.</x:v>
      </x:c>
    </x:row>
    <x:row r="37" ht="66" hidden="0" customHeight="1">
      <x:c r="A37" s="5" t="str">
        <x:v>SEC-005</x:v>
      </x:c>
      <x:c r="B37" s="5" t="str">
        <x:v>보안</x:v>
      </x:c>
      <x:c r="C37" s="5" t="str">
        <x:v>보안</x:v>
      </x:c>
      <x:c r="D37" s="5" t="str">
        <x:v>서버 권한 검사</x:v>
      </x:c>
      <x:c r="E37" s="5" t="str">
        <x:v>모든 비공개 API와 개별 객체에 대해 권한을 검사한다.</x:v>
      </x:c>
      <x:c r="F37" s="5" t="str">
        <x:v>SRC-015</x:v>
      </x:c>
      <x:c r="G37" s="5" t="str">
        <x:v>회사0.1 / 출처판본 별도</x:v>
      </x:c>
      <x:c r="H37" s="5" t="str">
        <x:v>세부 조항 직접 인용 아님</x:v>
      </x:c>
      <x:c r="I37" s="5" t="str"/>
      <x:c r="J37" s="5" t="str">
        <x:v>공식 구현 가이드 참조</x:v>
      </x:c>
      <x:c r="K37" s="5" t="str">
        <x:v>해당없음(사내 기준)</x:v>
      </x:c>
      <x:c r="L37" s="5" t="str">
        <x:v>MUST(안)</x:v>
      </x:c>
      <x:c r="M37" s="10" t="str">
        <x:v>적용</x:v>
      </x:c>
      <x:c r="N37" s="5" t="str">
        <x:v>현재 샘플의 회사 필수 기준으로 채택 제안</x:v>
      </x:c>
      <x:c r="O37" s="5" t="str">
        <x:v>관련 기능·적용 기관·계약 변경 시 재평가</x:v>
      </x:c>
      <x:c r="P37" s="5" t="str">
        <x:v>S01, S04, S06</x:v>
      </x:c>
      <x:c r="Q37" s="5" t="str">
        <x:v>기본 거부, 역할+소유권 정책을 서버에 구현하고 UI 숨김과 분리한다.</x:v>
      </x:c>
      <x:c r="R37" s="5" t="str">
        <x:v>다른 사용자 ID 변조·직접 API 호출·역할별 금지 동작 시험을 실행한다.</x:v>
      </x:c>
      <x:c r="S37" s="10" t="str">
        <x:v>자동+수동</x:v>
      </x:c>
      <x:c r="T37" s="5" t="str">
        <x:v>개발·QA</x:v>
      </x:c>
      <x:c r="U37" s="5" t="str">
        <x:v>P0</x:v>
      </x:c>
      <x:c r="V37" s="10" t="str">
        <x:v>구현</x:v>
      </x:c>
      <x:c r="W37" s="5" t="str">
        <x:v>비공개 컨트롤러에 Authorize, 관리자 상태처리에 Roles=admin, 조회·수정·첨부별 소유권을 서버에서 강제한다. 다른 사용자 개체에는404를 반환하고 UI 버튼 노출과 독립적으로 거부한다.</x:v>
      </x:c>
      <x:c r="X37" s="5" t="str">
        <x:v>apps/api/RequestsController.cs#RequestsController.VisibleRequests
apps/api/RequestsController.cs#RequestsController.ChangeStatus
apps/api/RequestsController.cs#RequestsController.Update
apps/api/AttachmentsController.cs#AttachmentsController.Download
apps/api/AttachmentsController.cs#AttachmentsController.CanEdit</x:v>
      </x:c>
      <x:c r="Y37" s="5" t="str">
        <x:v>AUTO-BACKEND
SCREEN-DETAIL
MAN-SEC-005</x:v>
      </x:c>
      <x:c r="Z37" s="10" t="str">
        <x:v>부분확인</x:v>
      </x:c>
      <x:c r="AA37" s="10" t="str">
        <x:v>미실행</x:v>
      </x:c>
      <x:c r="AB37" s="5" t="str">
        <x:v>AUTO-BACKEND-2026-10-20T06-17-05-753Z
SCREEN-DETAIL-2026-10-20T06-15-00-647Z</x:v>
      </x:c>
      <x:c r="AC37" s="5" t="n">
        <x:v>2</x:v>
      </x:c>
      <x:c r="AD37" s="5" t="n">
        <x:v>3</x:v>
      </x:c>
      <x:c r="AE37" s="10" t="str">
        <x:v>부분확인</x:v>
      </x:c>
      <x:c r="AF37" s="5" t="str"/>
      <x:c r="AG37" s="5" t="str"/>
      <x:c r="AH37" s="5" t="str"/>
      <x:c r="AI37" s="10" t="str">
        <x:v>입력 기준 유지</x:v>
      </x:c>
      <x:c r="AJ37" s="5" t="str">
        <x:f>IF(AND(M37="적용",V37="구현",X37&lt;&gt;"",Y37&lt;&gt;"",AB37&lt;&gt;"",AC37&gt;0,AD37&gt;0,AE37="통과",AF37="",AG37&lt;&gt;"",AH37&lt;&gt;"",OR(S37="자동",S37="수동",S37="자동+수동"),IF(OR(S37="자동",S37="자동+수동"),Z37="통과",TRUE),IF(OR(S37="수동",S37="자동+수동"),AA37="통과",TRUE)),"통과",IF(OR(Z37="실패",AA37="실패",AE37="실패"),"실패","보류"))</x:f>
        <x:v>보류</x:v>
      </x:c>
      <x:c r="AK37" s="5" t="str"/>
      <x:c r="AL37" s="5" t="str"/>
      <x:c r="AM37" s="5" t="str">
        <x:v>입력 v0.1 계획 주석은 original_plan_note에 보존. 최신 구현·시험·증빙은 연결 적용기록을 참조하며 전체 준수·인증을 주장하지 않음.</x:v>
      </x:c>
    </x:row>
    <x:row r="38" ht="52.79999923706055" hidden="0" customHeight="1">
      <x:c r="A38" s="5" t="str">
        <x:v>SEC-006</x:v>
      </x:c>
      <x:c r="B38" s="5" t="str">
        <x:v>보안</x:v>
      </x:c>
      <x:c r="C38" s="5" t="str">
        <x:v>보안</x:v>
      </x:c>
      <x:c r="D38" s="5" t="str">
        <x:v>CSRF 방어</x:v>
      </x:c>
      <x:c r="E38" s="5" t="str">
        <x:v>쿠키 인증의 상태변경 요청을 위조요청으로부터 보호한다.</x:v>
      </x:c>
      <x:c r="F38" s="5" t="str">
        <x:v>SRC-012</x:v>
      </x:c>
      <x:c r="G38" s="5" t="str">
        <x:v>회사0.1 / 출처판본 별도</x:v>
      </x:c>
      <x:c r="H38" s="5" t="str">
        <x:v>세부 조항 직접 인용 아님</x:v>
      </x:c>
      <x:c r="I38" s="5" t="str"/>
      <x:c r="J38" s="5" t="str">
        <x:v>외부 검증 표준 참조; 아래는 사내 적용 규칙</x:v>
      </x:c>
      <x:c r="K38" s="5" t="str">
        <x:v>해당없음(사내 기준)</x:v>
      </x:c>
      <x:c r="L38" s="5" t="str">
        <x:v>MUST(안)</x:v>
      </x:c>
      <x:c r="M38" s="10" t="str">
        <x:v>적용</x:v>
      </x:c>
      <x:c r="N38" s="5" t="str">
        <x:v>현재 샘플의 회사 필수 기준으로 채택 제안</x:v>
      </x:c>
      <x:c r="O38" s="5" t="str">
        <x:v>관련 기능·적용 기관·계약 변경 시 재평가</x:v>
      </x:c>
      <x:c r="P38" s="5" t="str">
        <x:v>S01~S08 / 공통</x:v>
      </x:c>
      <x:c r="Q38" s="5" t="str">
        <x:v>프레임워크 CSRF 토큰과 출처 검증을 적용하고 GET의 상태변경을 금지한다.</x:v>
      </x:c>
      <x:c r="R38" s="5" t="str">
        <x:v>CSRF 토큰 누락·오류·외부 출처 요청을 거부하는지 시험한다.</x:v>
      </x:c>
      <x:c r="S38" s="10" t="str">
        <x:v>자동+수동</x:v>
      </x:c>
      <x:c r="T38" s="5" t="str">
        <x:v>개발·QA</x:v>
      </x:c>
      <x:c r="U38" s="5" t="str">
        <x:v>P1</x:v>
      </x:c>
      <x:c r="V38" s="10" t="str">
        <x:v>진행</x:v>
      </x:c>
      <x:c r="W38" s="5" t="str">
        <x:v>JSON/multipart를 포함한 모든 비조회 요청에 프레임워크 Antiforgery 토큰 검증과 Strict SameSite cookie를 적용한다. 계획의 별도 Origin/Referer allowlist 검증은 미구현이며 업무상 GET은 조회만 제공한다(감사 기록 제외).</x:v>
      </x:c>
      <x:c r="X38" s="5" t="str">
        <x:v>apps/api/Program.cs#AddAntiforgery
apps/api/Program.cs#ValidateRequestAsync
apps/api/AuthController.cs#AuthController.Csrf
apps/web/src/api.ts#refreshCsrf</x:v>
      </x:c>
      <x:c r="Y38" s="5" t="str">
        <x:v>AUTO-BACKEND
MAN-SEC-006</x:v>
      </x:c>
      <x:c r="Z38" s="10" t="str">
        <x:v>부분확인</x:v>
      </x:c>
      <x:c r="AA38" s="10" t="str">
        <x:v>미실행</x:v>
      </x:c>
      <x:c r="AB38" s="5" t="str">
        <x:v>AUTO-BACKEND-2026-10-20T06-17-05-753Z</x:v>
      </x:c>
      <x:c r="AC38" s="5" t="n">
        <x:v>1</x:v>
      </x:c>
      <x:c r="AD38" s="5" t="n">
        <x:v>2</x:v>
      </x:c>
      <x:c r="AE38" s="10" t="str">
        <x:v>부분확인</x:v>
      </x:c>
      <x:c r="AF38" s="5" t="str"/>
      <x:c r="AG38" s="5" t="str"/>
      <x:c r="AH38" s="5" t="str"/>
      <x:c r="AI38" s="10" t="str">
        <x:v>입력 기준 유지</x:v>
      </x:c>
      <x:c r="AJ38" s="5" t="str">
        <x:f>IF(AND(M38="적용",V38="구현",X38&lt;&gt;"",Y38&lt;&gt;"",AB38&lt;&gt;"",AC38&gt;0,AD38&gt;0,AE38="통과",AF38="",AG38&lt;&gt;"",AH38&lt;&gt;"",OR(S38="자동",S38="수동",S38="자동+수동"),IF(OR(S38="자동",S38="자동+수동"),Z38="통과",TRUE),IF(OR(S38="수동",S38="자동+수동"),AA38="통과",TRUE)),"통과",IF(OR(Z38="실패",AA38="실패",AE38="실패"),"실패","보류"))</x:f>
        <x:v>보류</x:v>
      </x:c>
      <x:c r="AK38" s="5" t="str"/>
      <x:c r="AL38" s="5" t="str"/>
      <x:c r="AM38" s="5" t="str">
        <x:v>입력 v0.1 계획 주석은 original_plan_note에 보존. 최신 구현·시험·증빙은 연결 적용기록을 참조하며 전체 준수·인증을 주장하지 않음.</x:v>
      </x:c>
    </x:row>
    <x:row r="39" ht="79.19999694824219" hidden="0" customHeight="1">
      <x:c r="A39" s="5" t="str">
        <x:v>SEC-007</x:v>
      </x:c>
      <x:c r="B39" s="5" t="str">
        <x:v>보안</x:v>
      </x:c>
      <x:c r="C39" s="5" t="str">
        <x:v>보안</x:v>
      </x:c>
      <x:c r="D39" s="5" t="str">
        <x:v>세션 보호</x:v>
      </x:c>
      <x:c r="E39" s="5" t="str">
        <x:v>세션 만료·폐기·쿠키 속성을 명시한다.</x:v>
      </x:c>
      <x:c r="F39" s="5" t="str">
        <x:v>SRC-014</x:v>
      </x:c>
      <x:c r="G39" s="5" t="str">
        <x:v>회사0.1 / 출처판본 별도</x:v>
      </x:c>
      <x:c r="H39" s="5" t="str">
        <x:v>세부 조항 직접 인용 아님</x:v>
      </x:c>
      <x:c r="I39" s="5" t="str"/>
      <x:c r="J39" s="5" t="str">
        <x:v>공식 구현 가이드 참조</x:v>
      </x:c>
      <x:c r="K39" s="5" t="str">
        <x:v>해당없음(사내 기준)</x:v>
      </x:c>
      <x:c r="L39" s="5" t="str">
        <x:v>MUST(안)</x:v>
      </x:c>
      <x:c r="M39" s="10" t="str">
        <x:v>적용</x:v>
      </x:c>
      <x:c r="N39" s="5" t="str">
        <x:v>현재 샘플의 회사 필수 기준으로 채택 제안</x:v>
      </x:c>
      <x:c r="O39" s="5" t="str">
        <x:v>관련 기능·적용 기관·계약 변경 시 재평가</x:v>
      </x:c>
      <x:c r="P39" s="5" t="str">
        <x:v>S01, S05</x:v>
      </x:c>
      <x:c r="Q39" s="5" t="str">
        <x:v>HttpOnly, Secure, 상황에 맞는 SameSite를 적용하고 만료 사전 안내와 연장 UX를 연결한다.</x:v>
      </x:c>
      <x:c r="R39" s="5" t="str">
        <x:v>로그아웃 후 재사용·만료·쿠키속성·세션 연장 시험을 실행한다.</x:v>
      </x:c>
      <x:c r="S39" s="10" t="str">
        <x:v>자동+수동</x:v>
      </x:c>
      <x:c r="T39" s="5" t="str">
        <x:v>개발·QA</x:v>
      </x:c>
      <x:c r="U39" s="5" t="str">
        <x:v>P1</x:v>
      </x:c>
      <x:c r="V39" s="10" t="str">
        <x:v>구현</x:v>
      </x:c>
      <x:c r="W39" s="5" t="str">
        <x:v>프레임워크 쿠키의 HttpOnly/Strict/운영Secure, 고정 만료와60초 경고/제한 없는 연장, DB SessionVersion 매요청 검증을 구현한다. 로그아웃은 동일계정 모든 세션의 버전을 원자 증가시켜 복제한 이전 티켓도 즉시 거부한다. 운영 HTTPS/실제브라우저 조합 검증과 Windows ACL은 별도 미실행이다.</x:v>
      </x:c>
      <x:c r="X39" s="5" t="str">
        <x:v>apps/api/Program.cs#AddCookie
apps/api/SessionCookieValidation.cs#SessionCookieValidation.ValidatePrincipal
apps/api/AuthController.cs#AuthController.IssueSession
apps/api/AuthController.cs#AuthController.Logout
apps/api/AuthController.cs#AuthController.Extend
apps/web/src/App.tsx#App</x:v>
      </x:c>
      <x:c r="Y39" s="5" t="str">
        <x:v>AUTO-BACKEND
MAN-SEC-007</x:v>
      </x:c>
      <x:c r="Z39" s="10" t="str">
        <x:v>부분확인</x:v>
      </x:c>
      <x:c r="AA39" s="10" t="str">
        <x:v>미실행</x:v>
      </x:c>
      <x:c r="AB39" s="5" t="str">
        <x:v>AUTO-BACKEND-2026-10-20T06-17-05-753Z</x:v>
      </x:c>
      <x:c r="AC39" s="5" t="n">
        <x:v>1</x:v>
      </x:c>
      <x:c r="AD39" s="5" t="n">
        <x:v>2</x:v>
      </x:c>
      <x:c r="AE39" s="10" t="str">
        <x:v>부분확인</x:v>
      </x:c>
      <x:c r="AF39" s="5" t="str"/>
      <x:c r="AG39" s="5" t="str"/>
      <x:c r="AH39" s="5" t="str"/>
      <x:c r="AI39" s="10" t="str">
        <x:v>입력 기준 유지</x:v>
      </x:c>
      <x:c r="AJ39" s="5" t="str">
        <x:f>IF(AND(M39="적용",V39="구현",X39&lt;&gt;"",Y39&lt;&gt;"",AB39&lt;&gt;"",AC39&gt;0,AD39&gt;0,AE39="통과",AF39="",AG39&lt;&gt;"",AH39&lt;&gt;"",OR(S39="자동",S39="수동",S39="자동+수동"),IF(OR(S39="자동",S39="자동+수동"),Z39="통과",TRUE),IF(OR(S39="수동",S39="자동+수동"),AA39="통과",TRUE)),"통과",IF(OR(Z39="실패",AA39="실패",AE39="실패"),"실패","보류"))</x:f>
        <x:v>보류</x:v>
      </x:c>
      <x:c r="AK39" s="5" t="str"/>
      <x:c r="AL39" s="5" t="str"/>
      <x:c r="AM39" s="5" t="str">
        <x:v>입력 v0.1 계획 주석은 original_plan_note에 보존. 최신 구현·시험·증빙은 연결 적용기록을 참조하며 전체 준수·인증을 주장하지 않음.</x:v>
      </x:c>
    </x:row>
    <x:row r="40" ht="66" hidden="0" customHeight="1">
      <x:c r="A40" s="5" t="str">
        <x:v>SEC-008</x:v>
      </x:c>
      <x:c r="B40" s="5" t="str">
        <x:v>보안</x:v>
      </x:c>
      <x:c r="C40" s="5" t="str">
        <x:v>보안</x:v>
      </x:c>
      <x:c r="D40" s="5" t="str">
        <x:v>비밀정보 관리</x:v>
      </x:c>
      <x:c r="E40" s="5" t="str">
        <x:v>비밀키·토큰·운영 연결문자열을 저장소와 프런트 번들에서 제외한다.</x:v>
      </x:c>
      <x:c r="F40" s="5" t="str">
        <x:v>SRC-012</x:v>
      </x:c>
      <x:c r="G40" s="5" t="str">
        <x:v>회사0.1 / 출처판본 별도</x:v>
      </x:c>
      <x:c r="H40" s="5" t="str">
        <x:v>세부 조항 직접 인용 아님</x:v>
      </x:c>
      <x:c r="I40" s="5" t="str"/>
      <x:c r="J40" s="5" t="str">
        <x:v>외부 검증 표준 참조; 아래는 사내 적용 규칙</x:v>
      </x:c>
      <x:c r="K40" s="5" t="str">
        <x:v>해당없음(사내 기준)</x:v>
      </x:c>
      <x:c r="L40" s="5" t="str">
        <x:v>MUST(안)</x:v>
      </x:c>
      <x:c r="M40" s="10" t="str">
        <x:v>적용</x:v>
      </x:c>
      <x:c r="N40" s="5" t="str">
        <x:v>현재 샘플의 회사 필수 기준으로 채택 제안</x:v>
      </x:c>
      <x:c r="O40" s="5" t="str">
        <x:v>관련 기능·적용 기관·계약 변경 시 재평가</x:v>
      </x:c>
      <x:c r="P40" s="5" t="str">
        <x:v>S01, S04, S06</x:v>
      </x:c>
      <x:c r="Q40" s="5" t="str">
        <x:v>환경변수/비밀저장소와 최소권한을 사용하고 예제와 실값을 분리한다.</x:v>
      </x:c>
      <x:c r="R40" s="5" t="str">
        <x:v>소스·빌드 산출물·로그 비밀탐지를 수행한다.</x:v>
      </x:c>
      <x:c r="S40" s="10" t="str">
        <x:v>자동+수동</x:v>
      </x:c>
      <x:c r="T40" s="5" t="str">
        <x:v>개발·QA</x:v>
      </x:c>
      <x:c r="U40" s="5" t="str">
        <x:v>P0</x:v>
      </x:c>
      <x:c r="V40" s="10" t="str">
        <x:v>진행</x:v>
      </x:c>
      <x:c r="W40" s="5" t="str">
        <x:v>실제 개발 암호는 환경변수/.env로만 주입하며 예제·번들·저장소와 분리한다. DataProtection 인증키의 디스크 암호화/운영 secret store 및 키 회전 정책은 미구현이다. 제한적인 3종 비밀서명 소스검사도 제공하며 전면 비밀탐지/SAST의 대체는 아니다.</x:v>
      </x:c>
      <x:c r="X40" s="5" t="str">
        <x:v>apps/api/SeedData.cs#SeedData.RequirePassword
apps/api/Program.cs#AddDataProtection
scripts/manage.mjs#setup
.gitignore
scripts/security-scan.mjs</x:v>
      </x:c>
      <x:c r="Y40" s="5" t="str">
        <x:v>AUTO-BACKEND
AUTO-SECRET
MAN-SEC-008</x:v>
      </x:c>
      <x:c r="Z40" s="10" t="str">
        <x:v>부분확인</x:v>
      </x:c>
      <x:c r="AA40" s="10" t="str">
        <x:v>미실행</x:v>
      </x:c>
      <x:c r="AB40" s="5" t="str">
        <x:v>AUTO-BACKEND-2026-10-20T06-17-05-753Z
AUTO-SECRET-2026-10-20T06-18-32-896Z</x:v>
      </x:c>
      <x:c r="AC40" s="5" t="n">
        <x:v>2</x:v>
      </x:c>
      <x:c r="AD40" s="5" t="n">
        <x:v>3</x:v>
      </x:c>
      <x:c r="AE40" s="10" t="str">
        <x:v>부분확인</x:v>
      </x:c>
      <x:c r="AF40" s="5" t="str"/>
      <x:c r="AG40" s="5" t="str"/>
      <x:c r="AH40" s="5" t="str"/>
      <x:c r="AI40" s="10" t="str">
        <x:v>입력 기준 유지</x:v>
      </x:c>
      <x:c r="AJ40" s="5" t="str">
        <x:f>IF(AND(M40="적용",V40="구현",X40&lt;&gt;"",Y40&lt;&gt;"",AB40&lt;&gt;"",AC40&gt;0,AD40&gt;0,AE40="통과",AF40="",AG40&lt;&gt;"",AH40&lt;&gt;"",OR(S40="자동",S40="수동",S40="자동+수동"),IF(OR(S40="자동",S40="자동+수동"),Z40="통과",TRUE),IF(OR(S40="수동",S40="자동+수동"),AA40="통과",TRUE)),"통과",IF(OR(Z40="실패",AA40="실패",AE40="실패"),"실패","보류"))</x:f>
        <x:v>보류</x:v>
      </x:c>
      <x:c r="AK40" s="5" t="str"/>
      <x:c r="AL40" s="5" t="str"/>
      <x:c r="AM40" s="5" t="str">
        <x:v>입력 v0.1 계획 주석은 original_plan_note에 보존. 최신 구현·시험·증빙은 연결 적용기록을 참조하며 전체 준수·인증을 주장하지 않음.</x:v>
      </x:c>
    </x:row>
    <x:row r="41" ht="66" hidden="0" customHeight="1">
      <x:c r="A41" s="5" t="str">
        <x:v>SEC-009</x:v>
      </x:c>
      <x:c r="B41" s="5" t="str">
        <x:v>보안</x:v>
      </x:c>
      <x:c r="C41" s="5" t="str">
        <x:v>보안</x:v>
      </x:c>
      <x:c r="D41" s="5" t="str">
        <x:v>안전한 파일 업로드</x:v>
      </x:c>
      <x:c r="E41" s="5" t="str">
        <x:v>파일 종류·내용·크기·개수·권한·저장경로를 검증한다.</x:v>
      </x:c>
      <x:c r="F41" s="5" t="str">
        <x:v>SRC-016</x:v>
      </x:c>
      <x:c r="G41" s="5" t="str">
        <x:v>회사0.1 / 출처판본 별도</x:v>
      </x:c>
      <x:c r="H41" s="5" t="str">
        <x:v>세부 조항 직접 인용 아님</x:v>
      </x:c>
      <x:c r="I41" s="5" t="str"/>
      <x:c r="J41" s="5" t="str">
        <x:v>공식 구현 가이드 참조</x:v>
      </x:c>
      <x:c r="K41" s="5" t="str">
        <x:v>해당없음(사내 기준)</x:v>
      </x:c>
      <x:c r="L41" s="5" t="str">
        <x:v>MUST(안)</x:v>
      </x:c>
      <x:c r="M41" s="10" t="str">
        <x:v>적용</x:v>
      </x:c>
      <x:c r="N41" s="5" t="str">
        <x:v>현재 샘플의 회사 필수 기준으로 채택 제안</x:v>
      </x:c>
      <x:c r="O41" s="5" t="str">
        <x:v>관련 기능·적용 기관·계약 변경 시 재평가</x:v>
      </x:c>
      <x:c r="P41" s="5" t="str">
        <x:v>S04, S05</x:v>
      </x:c>
      <x:c r="Q41" s="5" t="str">
        <x:v>샘플은 허용 이미지로 제한하고 서버 생성명, 웹루트 외 저장, 메타데이터 처리 정책을 적용한다.</x:v>
      </x:c>
      <x:c r="R41" s="5" t="str">
        <x:v>이중확장자·MIME 불일치·과대파일·경로조작·권한 없는 다운로드를 시험한다.</x:v>
      </x:c>
      <x:c r="S41" s="10" t="str">
        <x:v>자동+수동</x:v>
      </x:c>
      <x:c r="T41" s="5" t="str">
        <x:v>개발·QA</x:v>
      </x:c>
      <x:c r="U41" s="5" t="str">
        <x:v>P1</x:v>
      </x:c>
      <x:c r="V41" s="10" t="str">
        <x:v>진행</x:v>
      </x:c>
      <x:c r="W41" s="5" t="str">
        <x:v>5MiB/3개 상한, txt UTF-8 및 PDF/PNG signature, 안전한 표시명·랜덤 저장명·웹루트 외 저장·다운로드별 인가를 구현한다. signature는 완전한 파서/무해성 보장이 아니며 악성코드 엔진·격리·CDR는 미구현이다.</x:v>
      </x:c>
      <x:c r="X41" s="5" t="str">
        <x:v>apps/api/AttachmentsController.cs#AttachmentsController.Upload
apps/api/AttachmentsController.cs#AttachmentsController.SaveFiles
apps/api/AttachmentsController.cs#AttachmentsController.Download
apps/api/BusinessRules.cs#BusinessRules.DetectContent
apps/api/BusinessRules.cs#BusinessRules.SafeFileName</x:v>
      </x:c>
      <x:c r="Y41" s="5" t="str">
        <x:v>AUTO-BACKEND
MAN-SEC-009</x:v>
      </x:c>
      <x:c r="Z41" s="10" t="str">
        <x:v>부분확인</x:v>
      </x:c>
      <x:c r="AA41" s="10" t="str">
        <x:v>미실행</x:v>
      </x:c>
      <x:c r="AB41" s="5" t="str">
        <x:v>AUTO-BACKEND-2026-10-20T06-17-05-753Z</x:v>
      </x:c>
      <x:c r="AC41" s="5" t="n">
        <x:v>1</x:v>
      </x:c>
      <x:c r="AD41" s="5" t="n">
        <x:v>2</x:v>
      </x:c>
      <x:c r="AE41" s="10" t="str">
        <x:v>부분확인</x:v>
      </x:c>
      <x:c r="AF41" s="5" t="str"/>
      <x:c r="AG41" s="5" t="str"/>
      <x:c r="AH41" s="5" t="str"/>
      <x:c r="AI41" s="10" t="str">
        <x:v>입력 기준 유지</x:v>
      </x:c>
      <x:c r="AJ41" s="5" t="str">
        <x:f>IF(AND(M41="적용",V41="구현",X41&lt;&gt;"",Y41&lt;&gt;"",AB41&lt;&gt;"",AC41&gt;0,AD41&gt;0,AE41="통과",AF41="",AG41&lt;&gt;"",AH41&lt;&gt;"",OR(S41="자동",S41="수동",S41="자동+수동"),IF(OR(S41="자동",S41="자동+수동"),Z41="통과",TRUE),IF(OR(S41="수동",S41="자동+수동"),AA41="통과",TRUE)),"통과",IF(OR(Z41="실패",AA41="실패",AE41="실패"),"실패","보류"))</x:f>
        <x:v>보류</x:v>
      </x:c>
      <x:c r="AK41" s="5" t="str"/>
      <x:c r="AL41" s="5" t="str"/>
      <x:c r="AM41" s="5" t="str">
        <x:v>입력 v0.1 계획 주석은 original_plan_note에 보존. 최신 구현·시험·증빙은 연결 적용기록을 참조하며 전체 준수·인증을 주장하지 않음.</x:v>
      </x:c>
    </x:row>
    <x:row r="42" ht="66" hidden="0" customHeight="1">
      <x:c r="A42" s="5" t="str">
        <x:v>SEC-010</x:v>
      </x:c>
      <x:c r="B42" s="5" t="str">
        <x:v>보안</x:v>
      </x:c>
      <x:c r="C42" s="5" t="str">
        <x:v>보안</x:v>
      </x:c>
      <x:c r="D42" s="5" t="str">
        <x:v>자원 남용 방지</x:v>
      </x:c>
      <x:c r="E42" s="5" t="str">
        <x:v>요청·검색·파일처리에 자원 상한을 둔다.</x:v>
      </x:c>
      <x:c r="F42" s="5" t="str">
        <x:v>SRC-009</x:v>
      </x:c>
      <x:c r="G42" s="5" t="str">
        <x:v>회사0.1 / 출처판본 별도</x:v>
      </x:c>
      <x:c r="H42" s="5" t="str">
        <x:v>세부 조항 직접 인용 아님</x:v>
      </x:c>
      <x:c r="I42" s="5" t="str"/>
      <x:c r="J42" s="5" t="str">
        <x:v>공식 구현 가이드 참조</x:v>
      </x:c>
      <x:c r="K42" s="5" t="str">
        <x:v>해당없음(사내 기준)</x:v>
      </x:c>
      <x:c r="L42" s="5" t="str">
        <x:v>MUST(안)</x:v>
      </x:c>
      <x:c r="M42" s="10" t="str">
        <x:v>적용</x:v>
      </x:c>
      <x:c r="N42" s="5" t="str">
        <x:v>현재 샘플의 회사 필수 기준으로 채택 제안</x:v>
      </x:c>
      <x:c r="O42" s="5" t="str">
        <x:v>관련 기능·적용 기관·계약 변경 시 재평가</x:v>
      </x:c>
      <x:c r="P42" s="5" t="str">
        <x:v>S01~S08 / 공통</x:v>
      </x:c>
      <x:c r="Q42" s="5" t="str">
        <x:v>본문·페이지크기·배열길이·동시성·타임아웃·요청빈도를 설정한다.</x:v>
      </x:c>
      <x:c r="R42" s="5" t="str">
        <x:v>상한 초과와 과도한 반복요청에 대한 거부·복구를 시험한다.</x:v>
      </x:c>
      <x:c r="S42" s="10" t="str">
        <x:v>자동+수동</x:v>
      </x:c>
      <x:c r="T42" s="5" t="str">
        <x:v>개발·QA</x:v>
      </x:c>
      <x:c r="U42" s="5" t="str">
        <x:v>P1</x:v>
      </x:c>
      <x:c r="V42" s="10" t="str">
        <x:v>진행</x:v>
      </x:c>
      <x:c r="W42" s="5" t="str">
        <x:v>본문16MiB, 파일5MiB/3개, 페이지100개/검색100자, DB timeout10초, 로그인 IP별20회/분 제한과5회 계정 잠금을 둔다. 전 API의 동시성/빈도 제한과 운영 부하·자원 고갈 시험은 미구현/미실행이다.</x:v>
      </x:c>
      <x:c r="X42" s="5" t="str">
        <x:v>apps/api/Program.cs#ConfigureKestrel
apps/api/Program.cs#AddRateLimiter
apps/api/RequestsController.cs#RequestsController.List
apps/api/AttachmentsController.cs#AttachmentsController.Upload
apps/api/AuthController.cs#AuthController.RejectLogin</x:v>
      </x:c>
      <x:c r="Y42" s="5" t="str">
        <x:v>AUTO-BACKEND
MAN-SEC-010</x:v>
      </x:c>
      <x:c r="Z42" s="10" t="str">
        <x:v>부분확인</x:v>
      </x:c>
      <x:c r="AA42" s="10" t="str">
        <x:v>미실행</x:v>
      </x:c>
      <x:c r="AB42" s="5" t="str">
        <x:v>AUTO-BACKEND-2026-10-20T06-17-05-753Z</x:v>
      </x:c>
      <x:c r="AC42" s="5" t="n">
        <x:v>1</x:v>
      </x:c>
      <x:c r="AD42" s="5" t="n">
        <x:v>2</x:v>
      </x:c>
      <x:c r="AE42" s="10" t="str">
        <x:v>부분확인</x:v>
      </x:c>
      <x:c r="AF42" s="5" t="str"/>
      <x:c r="AG42" s="5" t="str"/>
      <x:c r="AH42" s="5" t="str"/>
      <x:c r="AI42" s="10" t="str">
        <x:v>입력 기준 유지</x:v>
      </x:c>
      <x:c r="AJ42" s="5" t="str">
        <x:f>IF(AND(M42="적용",V42="구현",X42&lt;&gt;"",Y42&lt;&gt;"",AB42&lt;&gt;"",AC42&gt;0,AD42&gt;0,AE42="통과",AF42="",AG42&lt;&gt;"",AH42&lt;&gt;"",OR(S42="자동",S42="수동",S42="자동+수동"),IF(OR(S42="자동",S42="자동+수동"),Z42="통과",TRUE),IF(OR(S42="수동",S42="자동+수동"),AA42="통과",TRUE)),"통과",IF(OR(Z42="실패",AA42="실패",AE42="실패"),"실패","보류"))</x:f>
        <x:v>보류</x:v>
      </x:c>
      <x:c r="AK42" s="5" t="str"/>
      <x:c r="AL42" s="5" t="str"/>
      <x:c r="AM42" s="5" t="str">
        <x:v>입력 v0.1 계획 주석은 original_plan_note에 보존. 최신 구현·시험·증빙은 연결 적용기록을 참조하며 전체 준수·인증을 주장하지 않음.</x:v>
      </x:c>
    </x:row>
    <x:row r="43" ht="66" hidden="0" customHeight="1">
      <x:c r="A43" s="5" t="str">
        <x:v>SEC-011</x:v>
      </x:c>
      <x:c r="B43" s="5" t="str">
        <x:v>보안</x:v>
      </x:c>
      <x:c r="C43" s="5" t="str">
        <x:v>보안</x:v>
      </x:c>
      <x:c r="D43" s="5" t="str">
        <x:v>전송·브라우저 정책</x:v>
      </x:c>
      <x:c r="E43" s="5" t="str">
        <x:v>운영 전송 암호화와 보안헤더를 환경에 맞게 적용한다.</x:v>
      </x:c>
      <x:c r="F43" s="5" t="str">
        <x:v>SRC-012</x:v>
      </x:c>
      <x:c r="G43" s="5" t="str">
        <x:v>회사0.1 / 출처판본 별도</x:v>
      </x:c>
      <x:c r="H43" s="5" t="str">
        <x:v>세부 조항 직접 인용 아님</x:v>
      </x:c>
      <x:c r="I43" s="5" t="str"/>
      <x:c r="J43" s="5" t="str">
        <x:v>외부 검증 표준 참조; 아래는 사내 적용 규칙</x:v>
      </x:c>
      <x:c r="K43" s="5" t="str">
        <x:v>해당없음(사내 기준)</x:v>
      </x:c>
      <x:c r="L43" s="5" t="str">
        <x:v>MUST(안)</x:v>
      </x:c>
      <x:c r="M43" s="10" t="str">
        <x:v>적용</x:v>
      </x:c>
      <x:c r="N43" s="5" t="str">
        <x:v>현재 샘플의 회사 필수 기준으로 채택 제안</x:v>
      </x:c>
      <x:c r="O43" s="5" t="str">
        <x:v>관련 기능·적용 기관·계약 변경 시 재평가</x:v>
      </x:c>
      <x:c r="P43" s="5" t="str">
        <x:v>S01~S08 / 공통</x:v>
      </x:c>
      <x:c r="Q43" s="5" t="str">
        <x:v>운영 HTTPS, CSP, nosniff, frame-ancestors 등을 설정하고 CORS를 허용 출처로 한정한다.</x:v>
      </x:c>
      <x:c r="R43" s="5" t="str">
        <x:v>HTTPS 설정·응답헤더·외부 출처·프레임 삽입 시험을 실행한다.</x:v>
      </x:c>
      <x:c r="S43" s="10" t="str">
        <x:v>자동+수동</x:v>
      </x:c>
      <x:c r="T43" s="5" t="str">
        <x:v>개발·QA</x:v>
      </x:c>
      <x:c r="U43" s="5" t="str">
        <x:v>P1</x:v>
      </x:c>
      <x:c r="V43" s="10" t="str">
        <x:v>진행</x:v>
      </x:c>
      <x:c r="W43" s="5" t="str">
        <x:v>운영 HTTPS redirect/HSTS/Secure cookie 및 API·웹별 CSP/nosniff/frame 차단을 설정한다. wildcard CORS나 cross-origin credential 허용은 제공하지 않는다. 인증서·신뢰 프록시·운영 TLS 실환경 검증은 미실행이다.</x:v>
      </x:c>
      <x:c r="X43" s="5" t="str">
        <x:v>apps/api/Program.cs#UseHsts
apps/api/Program.cs#UseHttpsRedirection
apps/api/Program.cs#Content-Security-Policy
apps/api/Program.cs#AddCookie
docs/SECURITY_STANDARD.md</x:v>
      </x:c>
      <x:c r="Y43" s="5" t="str">
        <x:v>AUTO-DISTRIBUTION
MAN-SEC-011</x:v>
      </x:c>
      <x:c r="Z43" s="10" t="str">
        <x:v>부분확인</x:v>
      </x:c>
      <x:c r="AA43" s="10" t="str">
        <x:v>미실행</x:v>
      </x:c>
      <x:c r="AB43" s="5" t="str">
        <x:v>AUTO-DISTRIBUTION-2026-10-20T06-16-19-409Z</x:v>
      </x:c>
      <x:c r="AC43" s="5" t="n">
        <x:v>1</x:v>
      </x:c>
      <x:c r="AD43" s="5" t="n">
        <x:v>2</x:v>
      </x:c>
      <x:c r="AE43" s="10" t="str">
        <x:v>부분확인</x:v>
      </x:c>
      <x:c r="AF43" s="5" t="str"/>
      <x:c r="AG43" s="5" t="str"/>
      <x:c r="AH43" s="5" t="str"/>
      <x:c r="AI43" s="10" t="str">
        <x:v>입력 기준 유지</x:v>
      </x:c>
      <x:c r="AJ43" s="5" t="str">
        <x:f>IF(AND(M43="적용",V43="구현",X43&lt;&gt;"",Y43&lt;&gt;"",AB43&lt;&gt;"",AC43&gt;0,AD43&gt;0,AE43="통과",AF43="",AG43&lt;&gt;"",AH43&lt;&gt;"",OR(S43="자동",S43="수동",S43="자동+수동"),IF(OR(S43="자동",S43="자동+수동"),Z43="통과",TRUE),IF(OR(S43="수동",S43="자동+수동"),AA43="통과",TRUE)),"통과",IF(OR(Z43="실패",AA43="실패",AE43="실패"),"실패","보류"))</x:f>
        <x:v>보류</x:v>
      </x:c>
      <x:c r="AK43" s="5" t="str"/>
      <x:c r="AL43" s="5" t="str"/>
      <x:c r="AM43" s="5" t="str">
        <x:v>입력 v0.1 계획 주석은 original_plan_note에 보존. 최신 구현·시험·증빙은 연결 적용기록을 참조하며 전체 준수·인증을 주장하지 않음.</x:v>
      </x:c>
    </x:row>
    <x:row r="44" ht="52.79999923706055" hidden="0" customHeight="1">
      <x:c r="A44" s="5" t="str">
        <x:v>SEC-012</x:v>
      </x:c>
      <x:c r="B44" s="5" t="str">
        <x:v>보안</x:v>
      </x:c>
      <x:c r="C44" s="5" t="str">
        <x:v>보안</x:v>
      </x:c>
      <x:c r="D44" s="5" t="str">
        <x:v>오류 정보 최소화</x:v>
      </x:c>
      <x:c r="E44" s="5" t="str">
        <x:v>응답에 내부 경로·스택·연결정보를 노출하지 않는다.</x:v>
      </x:c>
      <x:c r="F44" s="5" t="str">
        <x:v>SRC-013</x:v>
      </x:c>
      <x:c r="G44" s="5" t="str">
        <x:v>회사0.1 / 출처판본 별도</x:v>
      </x:c>
      <x:c r="H44" s="5" t="str">
        <x:v>세부 조항 직접 인용 아님</x:v>
      </x:c>
      <x:c r="I44" s="5" t="str"/>
      <x:c r="J44" s="5" t="str">
        <x:v>공공 가이드 참조; 계약별 적용성 확인</x:v>
      </x:c>
      <x:c r="K44" s="5" t="str">
        <x:v>해당없음(사내 기준)</x:v>
      </x:c>
      <x:c r="L44" s="5" t="str">
        <x:v>MUST(안)</x:v>
      </x:c>
      <x:c r="M44" s="10" t="str">
        <x:v>적용</x:v>
      </x:c>
      <x:c r="N44" s="5" t="str">
        <x:v>현재 샘플의 회사 필수 기준으로 채택 제안</x:v>
      </x:c>
      <x:c r="O44" s="5" t="str">
        <x:v>관련 기능·적용 기관·계약 변경 시 재평가</x:v>
      </x:c>
      <x:c r="P44" s="5" t="str">
        <x:v>S05</x:v>
      </x:c>
      <x:c r="Q44" s="5" t="str">
        <x:v>안정된 오류 메시지와 추적ID를 반환하고 상세정보는 제한된 서버 로그에 둔다.</x:v>
      </x:c>
      <x:c r="R44" s="5" t="str">
        <x:v>오류 강제발생 응답과 로그의 정보노출을 점검한다.</x:v>
      </x:c>
      <x:c r="S44" s="10" t="str">
        <x:v>자동+수동</x:v>
      </x:c>
      <x:c r="T44" s="5" t="str">
        <x:v>개발·QA</x:v>
      </x:c>
      <x:c r="U44" s="5" t="str">
        <x:v>P1</x:v>
      </x:c>
      <x:c r="V44" s="10" t="str">
        <x:v>구현</x:v>
      </x:c>
      <x:c r="W44" s="5" t="str">
        <x:v>서버 오류는 일반화한 한국어 ProblemDetails와 code/traceId만 반환하고 스택·내부 경로는 서버 로그로 제한한다. DTO/인가/동시성/파일 오류도 같은 오류 계약을 사용한다.</x:v>
      </x:c>
      <x:c r="X44" s="5" t="str">
        <x:v>apps/api/Infrastructure.cs#ApiErrors.Problem
apps/api/Infrastructure.cs#ApiErrors.Write
apps/api/Program.cs#LogError
apps/api/RequestsController.cs#RequestsController.ValidationFailure</x:v>
      </x:c>
      <x:c r="Y44" s="5" t="str">
        <x:v>AUTO-BACKEND
MAN-SEC-012</x:v>
      </x:c>
      <x:c r="Z44" s="10" t="str">
        <x:v>부분확인</x:v>
      </x:c>
      <x:c r="AA44" s="10" t="str">
        <x:v>미실행</x:v>
      </x:c>
      <x:c r="AB44" s="5" t="str">
        <x:v>AUTO-BACKEND-2026-10-20T06-17-05-753Z</x:v>
      </x:c>
      <x:c r="AC44" s="5" t="n">
        <x:v>1</x:v>
      </x:c>
      <x:c r="AD44" s="5" t="n">
        <x:v>2</x:v>
      </x:c>
      <x:c r="AE44" s="10" t="str">
        <x:v>부분확인</x:v>
      </x:c>
      <x:c r="AF44" s="5" t="str"/>
      <x:c r="AG44" s="5" t="str"/>
      <x:c r="AH44" s="5" t="str"/>
      <x:c r="AI44" s="10" t="str">
        <x:v>입력 기준 유지</x:v>
      </x:c>
      <x:c r="AJ44" s="5" t="str">
        <x:f>IF(AND(M44="적용",V44="구현",X44&lt;&gt;"",Y44&lt;&gt;"",AB44&lt;&gt;"",AC44&gt;0,AD44&gt;0,AE44="통과",AF44="",AG44&lt;&gt;"",AH44&lt;&gt;"",OR(S44="자동",S44="수동",S44="자동+수동"),IF(OR(S44="자동",S44="자동+수동"),Z44="통과",TRUE),IF(OR(S44="수동",S44="자동+수동"),AA44="통과",TRUE)),"통과",IF(OR(Z44="실패",AA44="실패",AE44="실패"),"실패","보류"))</x:f>
        <x:v>보류</x:v>
      </x:c>
      <x:c r="AK44" s="5" t="str"/>
      <x:c r="AL44" s="5" t="str"/>
      <x:c r="AM44" s="5" t="str">
        <x:v>입력 v0.1 계획 주석은 original_plan_note에 보존. 최신 구현·시험·증빙은 연결 적용기록을 참조하며 전체 준수·인증을 주장하지 않음.</x:v>
      </x:c>
    </x:row>
    <x:row r="45" ht="66" hidden="0" customHeight="1">
      <x:c r="A45" s="5" t="str">
        <x:v>SEC-013</x:v>
      </x:c>
      <x:c r="B45" s="5" t="str">
        <x:v>보안</x:v>
      </x:c>
      <x:c r="C45" s="5" t="str">
        <x:v>보안</x:v>
      </x:c>
      <x:c r="D45" s="5" t="str">
        <x:v>감사·민감정보 보호</x:v>
      </x:c>
      <x:c r="E45" s="5" t="str">
        <x:v>주요 상태변경은 추적하되 비밀번호·토큰·불필요 개인정보를 기록하지 않는다.</x:v>
      </x:c>
      <x:c r="F45" s="5" t="str">
        <x:v>SRC-017</x:v>
      </x:c>
      <x:c r="G45" s="5" t="str">
        <x:v>회사0.1 / 출처판본 별도</x:v>
      </x:c>
      <x:c r="H45" s="5" t="str">
        <x:v>세부 조항 직접 인용 아님</x:v>
      </x:c>
      <x:c r="I45" s="5" t="str"/>
      <x:c r="J45" s="5" t="str">
        <x:v>공식 구현 가이드 참조</x:v>
      </x:c>
      <x:c r="K45" s="5" t="str">
        <x:v>해당없음(사내 기준)</x:v>
      </x:c>
      <x:c r="L45" s="5" t="str">
        <x:v>MUST(안)</x:v>
      </x:c>
      <x:c r="M45" s="10" t="str">
        <x:v>적용</x:v>
      </x:c>
      <x:c r="N45" s="5" t="str">
        <x:v>현재 샘플의 회사 필수 기준으로 채택 제안</x:v>
      </x:c>
      <x:c r="O45" s="5" t="str">
        <x:v>관련 기능·적용 기관·계약 변경 시 재평가</x:v>
      </x:c>
      <x:c r="P45" s="5" t="str">
        <x:v>S01, S04, S06</x:v>
      </x:c>
      <x:c r="Q45" s="5" t="str">
        <x:v>구조화 로그에 행위자·대상·결과·시각·추적ID를 기록하고 민감 필드를 마스킹한다.</x:v>
      </x:c>
      <x:c r="R45" s="5" t="str">
        <x:v>로그 변조 입력·권한·실패 처리·민감정보 포함 여부를 검증한다.</x:v>
      </x:c>
      <x:c r="S45" s="10" t="str">
        <x:v>자동+수동</x:v>
      </x:c>
      <x:c r="T45" s="5" t="str">
        <x:v>개발·QA</x:v>
      </x:c>
      <x:c r="U45" s="5" t="str">
        <x:v>P1</x:v>
      </x:c>
      <x:c r="V45" s="10" t="str">
        <x:v>구현</x:v>
      </x:c>
      <x:c r="W45" s="5" t="str">
        <x:v>요청 생성/수정/상태·첨부·로그인/로그아웃/연장을 감사 테이블에 행위자·대상·성공여부·UTC시각·traceId로 저장한다. 감사 필드에 암호/토큰을 넣지 않고 HTTP 통합시험에서 비밀 미포함을 검사한다.</x:v>
      </x:c>
      <x:c r="X45" s="5" t="str">
        <x:v>apps/api/Models.cs#AuditEvent
apps/api/Infrastructure.cs#ApiErrors.Audit
apps/api/RequestsController.cs#RequestsController.AddHistory
apps/api/AuthController.cs#AuthController.RejectLogin
tests/backend/integration.py#audit</x:v>
      </x:c>
      <x:c r="Y45" s="5" t="str">
        <x:v>AUTO-BACKEND
MAN-SEC-013</x:v>
      </x:c>
      <x:c r="Z45" s="10" t="str">
        <x:v>부분확인</x:v>
      </x:c>
      <x:c r="AA45" s="10" t="str">
        <x:v>미실행</x:v>
      </x:c>
      <x:c r="AB45" s="5" t="str">
        <x:v>AUTO-BACKEND-2026-10-20T06-17-05-753Z</x:v>
      </x:c>
      <x:c r="AC45" s="5" t="n">
        <x:v>1</x:v>
      </x:c>
      <x:c r="AD45" s="5" t="n">
        <x:v>2</x:v>
      </x:c>
      <x:c r="AE45" s="10" t="str">
        <x:v>부분확인</x:v>
      </x:c>
      <x:c r="AF45" s="5" t="str"/>
      <x:c r="AG45" s="5" t="str"/>
      <x:c r="AH45" s="5" t="str"/>
      <x:c r="AI45" s="10" t="str">
        <x:v>입력 기준 유지</x:v>
      </x:c>
      <x:c r="AJ45" s="5" t="str">
        <x:f>IF(AND(M45="적용",V45="구현",X45&lt;&gt;"",Y45&lt;&gt;"",AB45&lt;&gt;"",AC45&gt;0,AD45&gt;0,AE45="통과",AF45="",AG45&lt;&gt;"",AH45&lt;&gt;"",OR(S45="자동",S45="수동",S45="자동+수동"),IF(OR(S45="자동",S45="자동+수동"),Z45="통과",TRUE),IF(OR(S45="수동",S45="자동+수동"),AA45="통과",TRUE)),"통과",IF(OR(Z45="실패",AA45="실패",AE45="실패"),"실패","보류"))</x:f>
        <x:v>보류</x:v>
      </x:c>
      <x:c r="AK45" s="5" t="str"/>
      <x:c r="AL45" s="5" t="str"/>
      <x:c r="AM45" s="5" t="str">
        <x:v>입력 v0.1 계획 주석은 original_plan_note에 보존. 최신 구현·시험·증빙은 연결 적용기록을 참조하며 전체 준수·인증을 주장하지 않음.</x:v>
      </x:c>
    </x:row>
    <x:row r="46" ht="66" hidden="0" customHeight="1">
      <x:c r="A46" s="5" t="str">
        <x:v>SEC-014</x:v>
      </x:c>
      <x:c r="B46" s="5" t="str">
        <x:v>보안</x:v>
      </x:c>
      <x:c r="C46" s="5" t="str">
        <x:v>보안</x:v>
      </x:c>
      <x:c r="D46" s="5" t="str">
        <x:v>공급망·취약 패키지</x:v>
      </x:c>
      <x:c r="E46" s="5" t="str">
        <x:v>의존성과 라이선스를 식별하고 취약점 판정 기록을 유지한다.</x:v>
      </x:c>
      <x:c r="F46" s="5" t="str">
        <x:v>SRC-007</x:v>
      </x:c>
      <x:c r="G46" s="5" t="str">
        <x:v>회사0.1 / 출처판본 별도</x:v>
      </x:c>
      <x:c r="H46" s="5" t="str">
        <x:v>세부 조항 직접 인용 아님</x:v>
      </x:c>
      <x:c r="I46" s="5" t="str"/>
      <x:c r="J46" s="5" t="str">
        <x:v>외부 권고를 사내 기준으로 구체화</x:v>
      </x:c>
      <x:c r="K46" s="5" t="str">
        <x:v>해당없음(사내 기준)</x:v>
      </x:c>
      <x:c r="L46" s="5" t="str">
        <x:v>MUST(안)</x:v>
      </x:c>
      <x:c r="M46" s="10" t="str">
        <x:v>적용</x:v>
      </x:c>
      <x:c r="N46" s="5" t="str">
        <x:v>현재 샘플의 회사 필수 기준으로 채택 제안</x:v>
      </x:c>
      <x:c r="O46" s="5" t="str">
        <x:v>관련 기능·적용 기관·계약 변경 시 재평가</x:v>
      </x:c>
      <x:c r="P46" s="5" t="str">
        <x:v>S01~S08 / 공통</x:v>
      </x:c>
      <x:c r="Q46" s="5" t="str">
        <x:v>잠금파일, SBOM, SCA 결과를 보존한다. 새 고위험 취약점은 해결 또는 근거 있는 승인 후 진행한다.</x:v>
      </x:c>
      <x:c r="R46" s="5" t="str">
        <x:v>동일 commit의 SBOM·스캔시각·CVE 판정·예외를 대조한다.</x:v>
      </x:c>
      <x:c r="S46" s="10" t="str">
        <x:v>자동+수동</x:v>
      </x:c>
      <x:c r="T46" s="5" t="str">
        <x:v>개발·QA</x:v>
      </x:c>
      <x:c r="U46" s="5" t="str">
        <x:v>P1</x:v>
      </x:c>
      <x:c r="V46" s="10" t="str">
        <x:v>진행</x:v>
      </x:c>
      <x:c r="W46" s="5" t="str">
        <x:v>npm/NuGet lock, 실제 audit, NuGet nuspec 라이선스 메타데이터와 프로젝트별 SBOM/의존성 목록을 생성한다. 라이선스 호환성의 법적 검토, 실제 사용 경로 취약점 판정과 승인/대응기한 운영은 별도 미완료다.</x:v>
      </x:c>
      <x:c r="X46" s="5" t="str">
        <x:v>scripts/supply-chain.mjs
scripts/backend-verify.mjs#tasks
scripts/backend-sbom.py
apps/api/packages.lock.json
evidence/backend/nuget-sbom.json</x:v>
      </x:c>
      <x:c r="Y46" s="5" t="str">
        <x:v>AUTO-AUDIT
AUTO-SECRET
MAN-SEC-014</x:v>
      </x:c>
      <x:c r="Z46" s="10" t="str">
        <x:v>부분확인</x:v>
      </x:c>
      <x:c r="AA46" s="10" t="str">
        <x:v>미실행</x:v>
      </x:c>
      <x:c r="AB46" s="5" t="str">
        <x:v>AUTO-AUDIT-2026-10-20T06-18-28-772Z
AUTO-SECRET-2026-10-20T06-18-32-896Z</x:v>
      </x:c>
      <x:c r="AC46" s="5" t="n">
        <x:v>2</x:v>
      </x:c>
      <x:c r="AD46" s="5" t="n">
        <x:v>3</x:v>
      </x:c>
      <x:c r="AE46" s="10" t="str">
        <x:v>부분확인</x:v>
      </x:c>
      <x:c r="AF46" s="5" t="str"/>
      <x:c r="AG46" s="5" t="str"/>
      <x:c r="AH46" s="5" t="str"/>
      <x:c r="AI46" s="10" t="str">
        <x:v>입력 기준 유지</x:v>
      </x:c>
      <x:c r="AJ46" s="5" t="str">
        <x:f>IF(AND(M46="적용",V46="구현",X46&lt;&gt;"",Y46&lt;&gt;"",AB46&lt;&gt;"",AC46&gt;0,AD46&gt;0,AE46="통과",AF46="",AG46&lt;&gt;"",AH46&lt;&gt;"",OR(S46="자동",S46="수동",S46="자동+수동"),IF(OR(S46="자동",S46="자동+수동"),Z46="통과",TRUE),IF(OR(S46="수동",S46="자동+수동"),AA46="통과",TRUE)),"통과",IF(OR(Z46="실패",AA46="실패",AE46="실패"),"실패","보류"))</x:f>
        <x:v>보류</x:v>
      </x:c>
      <x:c r="AK46" s="5" t="str"/>
      <x:c r="AL46" s="5" t="str"/>
      <x:c r="AM46" s="5" t="str">
        <x:v>입력 v0.1 계획 주석은 original_plan_note에 보존. 최신 구현·시험·증빙은 연결 적용기록을 참조하며 전체 준수·인증을 주장하지 않음.</x:v>
      </x:c>
    </x:row>
    <x:row r="47" ht="66" hidden="0" customHeight="1">
      <x:c r="A47" s="5" t="str">
        <x:v>SEC-015</x:v>
      </x:c>
      <x:c r="B47" s="5" t="str">
        <x:v>보안</x:v>
      </x:c>
      <x:c r="C47" s="5" t="str">
        <x:v>보안</x:v>
      </x:c>
      <x:c r="D47" s="5" t="str">
        <x:v>엑셀·CSV 수식 주입</x:v>
      </x:c>
      <x:c r="E47" s="5" t="str">
        <x:v>사용자 입력이 내려받은 문서의 수식으로 실행되지 않게 한다.</x:v>
      </x:c>
      <x:c r="F47" s="5" t="str">
        <x:v>SRC-018</x:v>
      </x:c>
      <x:c r="G47" s="5" t="str">
        <x:v>회사0.1 / 출처판본 별도</x:v>
      </x:c>
      <x:c r="H47" s="5" t="str">
        <x:v>세부 조항 직접 인용 아님</x:v>
      </x:c>
      <x:c r="I47" s="5" t="str"/>
      <x:c r="J47" s="5" t="str">
        <x:v>공식 취약점 설명 참조</x:v>
      </x:c>
      <x:c r="K47" s="5" t="str">
        <x:v>해당없음(사내 기준)</x:v>
      </x:c>
      <x:c r="L47" s="5" t="str">
        <x:v>MUST(안)</x:v>
      </x:c>
      <x:c r="M47" s="10" t="str">
        <x:v>적용</x:v>
      </x:c>
      <x:c r="N47" s="5" t="str">
        <x:v>현재 샘플의 회사 필수 기준으로 채택 제안</x:v>
      </x:c>
      <x:c r="O47" s="5" t="str">
        <x:v>관련 기능·적용 기관·계약 변경 시 재평가</x:v>
      </x:c>
      <x:c r="P47" s="5" t="str">
        <x:v>S01~S08 / 공통</x:v>
      </x:c>
      <x:c r="Q47" s="5" t="str">
        <x:v>XLSX는 문자열 셀 타입으로 쓰고 CSV는 위험 시작문자와 구분자·개행을 처리한다.</x:v>
      </x:c>
      <x:c r="R47" s="5" t="str">
        <x:v>=,+,-,@ 및 탭/개행 입력을 내려받아 실제 셀 타입과 표시를 확인한다.</x:v>
      </x:c>
      <x:c r="S47" s="10" t="str">
        <x:v>자동+수동</x:v>
      </x:c>
      <x:c r="T47" s="5" t="str">
        <x:v>개발·QA</x:v>
      </x:c>
      <x:c r="U47" s="5" t="str">
        <x:v>P1</x:v>
      </x:c>
      <x:c r="V47" s="10" t="str">
        <x:v>진행</x:v>
      </x:c>
      <x:c r="W47" s="5" t="str">
        <x:v>Help CSV는 BOM/인용/개행과 공백 뒤 위험 수식 문자를 방어하고 단위시험을 제공한다. 보고서 생성 safe 함수의 선행공백/LF 경계는 보완 중이며 XLSX 실제 문자열 셀과 모든 내보내기의 동일 정책 대조가 필요하다.</x:v>
      </x:c>
      <x:c r="X47" s="5" t="str">
        <x:v>apps/web/src/export.ts#safeSpreadsheetCell
apps/web/src/export.ts#csvCell
apps/web/src/export.ts#makeCsv
scripts/generate-reports.mjs#safe
apps/web/src/export.test.ts</x:v>
      </x:c>
      <x:c r="Y47" s="5" t="str">
        <x:v>AUTO-EXPORT
E2E-HELP
MAN-SEC-015</x:v>
      </x:c>
      <x:c r="Z47" s="10" t="str">
        <x:v>부분확인</x:v>
      </x:c>
      <x:c r="AA47" s="10" t="str">
        <x:v>미실행</x:v>
      </x:c>
      <x:c r="AB47" s="5" t="str">
        <x:v>AUTO-EXPORT-2026-10-20T06-18-28-443Z
E2E-HELP-2026-10-20T06-15-00-647Z</x:v>
      </x:c>
      <x:c r="AC47" s="5" t="n">
        <x:v>2</x:v>
      </x:c>
      <x:c r="AD47" s="5" t="n">
        <x:v>3</x:v>
      </x:c>
      <x:c r="AE47" s="10" t="str">
        <x:v>부분확인</x:v>
      </x:c>
      <x:c r="AF47" s="5" t="str"/>
      <x:c r="AG47" s="5" t="str"/>
      <x:c r="AH47" s="5" t="str"/>
      <x:c r="AI47" s="10" t="str">
        <x:v>입력 기준 유지</x:v>
      </x:c>
      <x:c r="AJ47" s="5" t="str">
        <x:f>IF(AND(M47="적용",V47="구현",X47&lt;&gt;"",Y47&lt;&gt;"",AB47&lt;&gt;"",AC47&gt;0,AD47&gt;0,AE47="통과",AF47="",AG47&lt;&gt;"",AH47&lt;&gt;"",OR(S47="자동",S47="수동",S47="자동+수동"),IF(OR(S47="자동",S47="자동+수동"),Z47="통과",TRUE),IF(OR(S47="수동",S47="자동+수동"),AA47="통과",TRUE)),"통과",IF(OR(Z47="실패",AA47="실패",AE47="실패"),"실패","보류"))</x:f>
        <x:v>보류</x:v>
      </x:c>
      <x:c r="AK47" s="5" t="str"/>
      <x:c r="AL47" s="5" t="str"/>
      <x:c r="AM47" s="5" t="str">
        <x:v>입력 v0.1 계획 주석은 original_plan_note에 보존. 최신 구현·시험·증빙은 연결 적용기록을 참조하며 전체 준수·인증을 주장하지 않음.</x:v>
      </x:c>
    </x:row>
    <x:row r="48" ht="39.599998474121094" hidden="0" customHeight="1">
      <x:c r="A48" s="5" t="str">
        <x:v>SEC-016</x:v>
      </x:c>
      <x:c r="B48" s="5" t="str">
        <x:v>보안</x:v>
      </x:c>
      <x:c r="C48" s="5" t="str">
        <x:v>보안</x:v>
      </x:c>
      <x:c r="D48" s="5" t="str">
        <x:v>서버 외부요청 제한</x:v>
      </x:c>
      <x:c r="E48" s="5" t="str">
        <x:v>URL을 받는 기능에는 SSRF 방어를 적용한다.</x:v>
      </x:c>
      <x:c r="F48" s="5" t="str">
        <x:v>SRC-012</x:v>
      </x:c>
      <x:c r="G48" s="5" t="str">
        <x:v>회사0.1 / 출처판본 별도</x:v>
      </x:c>
      <x:c r="H48" s="5" t="str">
        <x:v>세부 조항 직접 인용 아님</x:v>
      </x:c>
      <x:c r="I48" s="5" t="str"/>
      <x:c r="J48" s="5" t="str">
        <x:v>외부 검증 표준 참조; 아래는 사내 적용 규칙</x:v>
      </x:c>
      <x:c r="K48" s="5" t="str">
        <x:v>해당없음(사내 기준)</x:v>
      </x:c>
      <x:c r="L48" s="5" t="str">
        <x:v>MUST(안)</x:v>
      </x:c>
      <x:c r="M48" s="10" t="str">
        <x:v>조건부</x:v>
      </x:c>
      <x:c r="N48" s="5" t="str">
        <x:v>기능/대상 존재 및 적용 조건 확인 후 재판정</x:v>
      </x:c>
      <x:c r="O48" s="5" t="str">
        <x:v>기능/대상 존재 및 적용 조건 확인 후 재판정</x:v>
      </x:c>
      <x:c r="P48" s="5" t="str">
        <x:v>S01~S08 / 공통</x:v>
      </x:c>
      <x:c r="Q48" s="5" t="str">
        <x:v>외부 URL 가져오기를 기본 비활성화하고 필요 시 허용대상·DNS/IP·리다이렉트·응답크기를 제한한다.</x:v>
      </x:c>
      <x:c r="R48" s="5" t="str">
        <x:v>내부/루프백/메타데이터 주소와 리다이렉트 시도를 거부하는지 시험한다.</x:v>
      </x:c>
      <x:c r="S48" s="10" t="str">
        <x:v>자동+수동</x:v>
      </x:c>
      <x:c r="T48" s="5" t="str">
        <x:v>개발·QA</x:v>
      </x:c>
      <x:c r="U48" s="5" t="str">
        <x:v>P1</x:v>
      </x:c>
      <x:c r="V48" s="10" t="str">
        <x:v>계획</x:v>
      </x:c>
      <x:c r="W48" s="5" t="str">
        <x:v>서버 DTO에는 외부 URL 가져오기/리다이렉트 기능이 없으며 현재 SSRF 유발 기능을 제공하지 않는다. 해당 기능이 도입되면 허용대상·DNS/IP·리다이렉트·응답크기 통제를 별도 구현/시험해야 한다(조건부 유지).</x:v>
      </x:c>
      <x:c r="X48" s="5" t="str">
        <x:v>apps/api/Models.cs#RequestDto
docs/SECURITY_STANDARD.md
docs/API_CONTRACT.md</x:v>
      </x:c>
      <x:c r="Y48" s="5" t="str">
        <x:v>MAN-SEC-016</x:v>
      </x:c>
      <x:c r="Z48" s="10" t="str">
        <x:v>미실행</x:v>
      </x:c>
      <x:c r="AA48" s="10" t="str">
        <x:v>미실행</x:v>
      </x:c>
      <x:c r="AB48" s="5" t="str"/>
      <x:c r="AC48" s="5" t="n">
        <x:v>0</x:v>
      </x:c>
      <x:c r="AD48" s="5" t="n">
        <x:v>1</x:v>
      </x:c>
      <x:c r="AE48" s="10" t="str">
        <x:v>미실행</x:v>
      </x:c>
      <x:c r="AF48" s="5" t="str"/>
      <x:c r="AG48" s="5" t="str"/>
      <x:c r="AH48" s="5" t="str"/>
      <x:c r="AI48" s="10" t="str">
        <x:v>입력 기준 유지</x:v>
      </x:c>
      <x:c r="AJ48" s="5" t="str">
        <x:f>IF(AND(M48="적용",V48="구현",X48&lt;&gt;"",Y48&lt;&gt;"",AB48&lt;&gt;"",AC48&gt;0,AD48&gt;0,AE48="통과",AF48="",AG48&lt;&gt;"",AH48&lt;&gt;"",OR(S48="자동",S48="수동",S48="자동+수동"),IF(OR(S48="자동",S48="자동+수동"),Z48="통과",TRUE),IF(OR(S48="수동",S48="자동+수동"),AA48="통과",TRUE)),"통과",IF(OR(Z48="실패",AA48="실패",AE48="실패"),"실패","보류"))</x:f>
        <x:v>보류</x:v>
      </x:c>
      <x:c r="AK48" s="5" t="str"/>
      <x:c r="AL48" s="5" t="str"/>
      <x:c r="AM48" s="5" t="str">
        <x:v>입력 v0.1 계획 주석은 original_plan_note에 보존. 최신 구현·시험·증빙은 연결 적용기록을 참조하며 전체 준수·인증을 주장하지 않음.</x:v>
      </x:c>
    </x:row>
    <x:row r="49" ht="79.19999694824219" hidden="0" customHeight="1">
      <x:c r="A49" s="5" t="str">
        <x:v>SEC-017</x:v>
      </x:c>
      <x:c r="B49" s="5" t="str">
        <x:v>보안</x:v>
      </x:c>
      <x:c r="C49" s="5" t="str">
        <x:v>보안</x:v>
      </x:c>
      <x:c r="D49" s="5" t="str">
        <x:v>샘플 데이터·백업</x:v>
      </x:c>
      <x:c r="E49" s="5" t="str">
        <x:v>개발·검증에 가상정보를 사용하고 저장·백업 접근을 제한한다.</x:v>
      </x:c>
      <x:c r="F49" s="5" t="str">
        <x:v>SRC-003</x:v>
      </x:c>
      <x:c r="G49" s="5" t="str">
        <x:v>회사0.1 / 출처판본 별도</x:v>
      </x:c>
      <x:c r="H49" s="5" t="str">
        <x:v>세부 조항 직접 인용 아님</x:v>
      </x:c>
      <x:c r="I49" s="5" t="str"/>
      <x:c r="J49" s="5" t="str">
        <x:v>사내 기준(안)</x:v>
      </x:c>
      <x:c r="K49" s="5" t="str">
        <x:v>해당없음(사내 기준)</x:v>
      </x:c>
      <x:c r="L49" s="5" t="str">
        <x:v>MUST(안)</x:v>
      </x:c>
      <x:c r="M49" s="10" t="str">
        <x:v>적용</x:v>
      </x:c>
      <x:c r="N49" s="5" t="str">
        <x:v>현재 샘플의 회사 필수 기준으로 채택 제안</x:v>
      </x:c>
      <x:c r="O49" s="5" t="str">
        <x:v>관련 기능·적용 기관·계약 변경 시 재평가</x:v>
      </x:c>
      <x:c r="P49" s="5" t="str">
        <x:v>S01~S08 / 공통</x:v>
      </x:c>
      <x:c r="Q49" s="5" t="str">
        <x:v>가상 seed 데이터를 제공하고 운영 데이터 가져오기는 별도 승인과 비식별 절차로 처리한다.</x:v>
      </x:c>
      <x:c r="R49" s="5" t="str">
        <x:v>데모 데이터의 실개인정보 부재와 복원절차를 확인한다.</x:v>
      </x:c>
      <x:c r="S49" s="10" t="str">
        <x:v>자동+수동</x:v>
      </x:c>
      <x:c r="T49" s="5" t="str">
        <x:v>개발·QA</x:v>
      </x:c>
      <x:c r="U49" s="5" t="str">
        <x:v>P1</x:v>
      </x:c>
      <x:c r="V49" s="10" t="str">
        <x:v>진행</x:v>
      </x:c>
      <x:c r="W49" s="5" t="str">
        <x:v>가상 사용자/요청만 seed하며 임시 시험 DB·환경변수 암호·Production seed 차단과 DB/첨부/키 백업을 제공한다. Unix 데이터/업로드/키 디렉터리0700, DB/첨부/백업파일0600을 적용한다. 운영 백업암호화·보존/승인 정책과 Windows ACL 검증은 미완료다.</x:v>
      </x:c>
      <x:c r="X49" s="5" t="str">
        <x:v>apps/api/SeedData.cs#SeedData.Initialize
tests/backend/integration.py#start
scripts/backend.py#backup
apps/api/Program.cs#StorageOptions
apps/api/Infrastructure.cs#StorageOptions.PrepareDirectories
apps/api/Infrastructure.cs#StorageOptions.RestrictPersistedFiles</x:v>
      </x:c>
      <x:c r="Y49" s="5" t="str">
        <x:v>MAN-SEC-017</x:v>
      </x:c>
      <x:c r="Z49" s="10" t="str">
        <x:v>미실행</x:v>
      </x:c>
      <x:c r="AA49" s="10" t="str">
        <x:v>미실행</x:v>
      </x:c>
      <x:c r="AB49" s="5" t="str"/>
      <x:c r="AC49" s="5" t="n">
        <x:v>0</x:v>
      </x:c>
      <x:c r="AD49" s="5" t="n">
        <x:v>1</x:v>
      </x:c>
      <x:c r="AE49" s="10" t="str">
        <x:v>미실행</x:v>
      </x:c>
      <x:c r="AF49" s="5" t="str"/>
      <x:c r="AG49" s="5" t="str"/>
      <x:c r="AH49" s="5" t="str"/>
      <x:c r="AI49" s="10" t="str">
        <x:v>입력 기준 유지</x:v>
      </x:c>
      <x:c r="AJ49" s="5" t="str">
        <x:f>IF(AND(M49="적용",V49="구현",X49&lt;&gt;"",Y49&lt;&gt;"",AB49&lt;&gt;"",AC49&gt;0,AD49&gt;0,AE49="통과",AF49="",AG49&lt;&gt;"",AH49&lt;&gt;"",OR(S49="자동",S49="수동",S49="자동+수동"),IF(OR(S49="자동",S49="자동+수동"),Z49="통과",TRUE),IF(OR(S49="수동",S49="자동+수동"),AA49="통과",TRUE)),"통과",IF(OR(Z49="실패",AA49="실패",AE49="실패"),"실패","보류"))</x:f>
        <x:v>보류</x:v>
      </x:c>
      <x:c r="AK49" s="5" t="str"/>
      <x:c r="AL49" s="5" t="str"/>
      <x:c r="AM49" s="5" t="str">
        <x:v>입력 v0.1 계획 주석은 original_plan_note에 보존. 최신 구현·시험·증빙은 연결 적용기록을 참조하며 전체 준수·인증을 주장하지 않음.</x:v>
      </x:c>
    </x:row>
    <x:row r="50" ht="66" hidden="0" customHeight="1">
      <x:c r="A50" s="5" t="str">
        <x:v>SEC-018</x:v>
      </x:c>
      <x:c r="B50" s="5" t="str">
        <x:v>보안</x:v>
      </x:c>
      <x:c r="C50" s="5" t="str">
        <x:v>보안</x:v>
      </x:c>
      <x:c r="D50" s="5" t="str">
        <x:v>안전한 파싱</x:v>
      </x:c>
      <x:c r="E50" s="5" t="str">
        <x:v>불필요한 동적 실행과 신뢰할 수 없는 역직렬화를 사용하지 않는다.</x:v>
      </x:c>
      <x:c r="F50" s="5" t="str">
        <x:v>SRC-013</x:v>
      </x:c>
      <x:c r="G50" s="5" t="str">
        <x:v>회사0.1 / 출처판본 별도</x:v>
      </x:c>
      <x:c r="H50" s="5" t="str">
        <x:v>세부 조항 직접 인용 아님</x:v>
      </x:c>
      <x:c r="I50" s="5" t="str"/>
      <x:c r="J50" s="5" t="str">
        <x:v>공공 가이드 참조; 계약별 적용성 확인</x:v>
      </x:c>
      <x:c r="K50" s="5" t="str">
        <x:v>해당없음(사내 기준)</x:v>
      </x:c>
      <x:c r="L50" s="5" t="str">
        <x:v>MUST(안)</x:v>
      </x:c>
      <x:c r="M50" s="10" t="str">
        <x:v>적용</x:v>
      </x:c>
      <x:c r="N50" s="5" t="str">
        <x:v>현재 샘플의 회사 필수 기준으로 채택 제안</x:v>
      </x:c>
      <x:c r="O50" s="5" t="str">
        <x:v>관련 기능·적용 기관·계약 변경 시 재평가</x:v>
      </x:c>
      <x:c r="P50" s="5" t="str">
        <x:v>S01~S08 / 공통</x:v>
      </x:c>
      <x:c r="Q50" s="5" t="str">
        <x:v>JSON 스키마 검증, 제한된 파서 설정, eval/임의 타입 생성 금지를 적용한다.</x:v>
      </x:c>
      <x:c r="R50" s="5" t="str">
        <x:v>악성 구조·중첩 과다·크기초과·동적 실행 경로를 점검한다.</x:v>
      </x:c>
      <x:c r="S50" s="10" t="str">
        <x:v>자동+수동</x:v>
      </x:c>
      <x:c r="T50" s="5" t="str">
        <x:v>개발·QA</x:v>
      </x:c>
      <x:c r="U50" s="5" t="str">
        <x:v>P1</x:v>
      </x:c>
      <x:c r="V50" s="10" t="str">
        <x:v>구현</x:v>
      </x:c>
      <x:c r="W50" s="5" t="str">
        <x:v>서버는 지정 DTO와 제한된 폼/본문 크기로 JSON을 바인딩하고 길이·허용값을 재검증한다. 프런트는 unknown 검증 후 사용하며 eval/임의 타입 역직렬화나 HTML 실행 기능은 사용하지 않는다.</x:v>
      </x:c>
      <x:c r="X50" s="5" t="str">
        <x:v>apps/api/Models.cs#RequestDto
apps/api/BusinessRules.cs#BusinessRules.Validate
apps/api/Program.cs#FormOptions
apps/web/src/api.ts#object
apps/web/src/api.ts#parseRequest</x:v>
      </x:c>
      <x:c r="Y50" s="5" t="str">
        <x:v>MAN-SEC-018</x:v>
      </x:c>
      <x:c r="Z50" s="10" t="str">
        <x:v>미실행</x:v>
      </x:c>
      <x:c r="AA50" s="10" t="str">
        <x:v>미실행</x:v>
      </x:c>
      <x:c r="AB50" s="5" t="str"/>
      <x:c r="AC50" s="5" t="n">
        <x:v>0</x:v>
      </x:c>
      <x:c r="AD50" s="5" t="n">
        <x:v>1</x:v>
      </x:c>
      <x:c r="AE50" s="10" t="str">
        <x:v>미실행</x:v>
      </x:c>
      <x:c r="AF50" s="5" t="str"/>
      <x:c r="AG50" s="5" t="str"/>
      <x:c r="AH50" s="5" t="str"/>
      <x:c r="AI50" s="10" t="str">
        <x:v>입력 기준 유지</x:v>
      </x:c>
      <x:c r="AJ50" s="5" t="str">
        <x:f>IF(AND(M50="적용",V50="구현",X50&lt;&gt;"",Y50&lt;&gt;"",AB50&lt;&gt;"",AC50&gt;0,AD50&gt;0,AE50="통과",AF50="",AG50&lt;&gt;"",AH50&lt;&gt;"",OR(S50="자동",S50="수동",S50="자동+수동"),IF(OR(S50="자동",S50="자동+수동"),Z50="통과",TRUE),IF(OR(S50="수동",S50="자동+수동"),AA50="통과",TRUE)),"통과",IF(OR(Z50="실패",AA50="실패",AE50="실패"),"실패","보류"))</x:f>
        <x:v>보류</x:v>
      </x:c>
      <x:c r="AK50" s="5" t="str"/>
      <x:c r="AL50" s="5" t="str"/>
      <x:c r="AM50" s="5" t="str">
        <x:v>입력 v0.1 계획 주석은 original_plan_note에 보존. 최신 구현·시험·증빙은 연결 적용기록을 참조하며 전체 준수·인증을 주장하지 않음.</x:v>
      </x:c>
    </x:row>
    <x:row r="51" ht="39.599998474121094" hidden="0" customHeight="1">
      <x:c r="A51" s="5" t="str">
        <x:v>MDR-000</x:v>
      </x:c>
      <x:c r="B51" s="5" t="str">
        <x:v>MDR 확인</x:v>
      </x:c>
      <x:c r="C51" s="5" t="str">
        <x:v>조건부 표준</x:v>
      </x:c>
      <x:c r="D51" s="5" t="str">
        <x:v>MDR 명칭 확인·세부 적용 확인필요</x:v>
      </x:c>
      <x:c r="E51" s="5" t="str">
        <x:v>국방 메타데이터 관리시스템(Meta Data Registry) 명칭은 공식 용어정의와 사용자 제공 코드설계표준 목록으로 확인. 원본 코드표와 대상사업 적용범위 확보 후 속성명·물리명·도메인·유형·코드값을 대조해야 함.</x:v>
      </x:c>
      <x:c r="F51" s="5" t="str">
        <x:v>SRC-043</x:v>
      </x:c>
      <x:c r="G51" s="5" t="str">
        <x:v>목록 20260428 / 원본 CSV 미확보</x:v>
      </x:c>
      <x:c r="H51" s="5" t="str">
        <x:v>세부 조항 직접 인용 아님</x:v>
      </x:c>
      <x:c r="I51" s="5" t="str"/>
      <x:c r="J51" s="5" t="str">
        <x:v>사내 기준(안)</x:v>
      </x:c>
      <x:c r="K51" s="5" t="str">
        <x:v>해당없음(사내 기준)</x:v>
      </x:c>
      <x:c r="L51" s="5" t="str">
        <x:v>범위 판단 대기</x:v>
      </x:c>
      <x:c r="M51" s="10" t="str">
        <x:v>확인필요</x:v>
      </x:c>
      <x:c r="N51" s="5" t="str">
        <x:v>명칭은 확인했으나 OA-9422 원사이트400으로 원본코드표와 샘플 데이터 적용성이 미확정</x:v>
      </x:c>
      <x:c r="O51" s="5" t="str">
        <x:v>MDR 정식 명칭·판본·대상 언어/제품 미확정</x:v>
      </x:c>
      <x:c r="P51" s="5" t="str">
        <x:v>S05</x:v>
      </x:c>
      <x:c r="Q51" s="5" t="str">
        <x:v>회사 업무요청 데이터사전과 국방 표준의 대응·길이·형식·코드값은 원문확보 후 별도 프로파일로 검토. 현재 임의 치환하지 않음</x:v>
      </x:c>
      <x:c r="R51" s="5" t="str">
        <x:v>사용자 제공 원문/정식 명칭으로 확인 후 별도 프로파일과 조항 목록을 만든다.</x:v>
      </x:c>
      <x:c r="S51" s="10" t="str">
        <x:v>수동</x:v>
      </x:c>
      <x:c r="T51" s="5" t="str">
        <x:v>개발·QA</x:v>
      </x:c>
      <x:c r="U51" s="5" t="str">
        <x:v>P0</x:v>
      </x:c>
      <x:c r="V51" s="10" t="str">
        <x:v>계획</x:v>
      </x:c>
      <x:c r="W51" s="5" t="str">
        <x:v>국방 메타데이터 관리시스템(Meta Data Registry) 정식명칭과 공식 코드설계표준 목록은 식별했다. 원사이트400으로 원본CSV를 받지 못해 데이터사전의 표준용어·도메인·코드매핑 및 대상사업 적용성은 확인필요로 유지한다.</x:v>
      </x:c>
      <x:c r="X51" s="5" t="str">
        <x:v>standards/profiles/mdr-pending.json
docs/SOURCE_GAPS.md</x:v>
      </x:c>
      <x:c r="Y51" s="5" t="str">
        <x:v>MAN-MDR-000</x:v>
      </x:c>
      <x:c r="Z51" s="10" t="str">
        <x:v>미실행</x:v>
      </x:c>
      <x:c r="AA51" s="10" t="str">
        <x:v>미실행</x:v>
      </x:c>
      <x:c r="AB51" s="5" t="str"/>
      <x:c r="AC51" s="5" t="n">
        <x:v>0</x:v>
      </x:c>
      <x:c r="AD51" s="5" t="n">
        <x:v>1</x:v>
      </x:c>
      <x:c r="AE51" s="10" t="str">
        <x:v>확인필요</x:v>
      </x:c>
      <x:c r="AF51" s="5" t="str"/>
      <x:c r="AG51" s="5" t="str"/>
      <x:c r="AH51" s="5" t="str"/>
      <x:c r="AI51" s="10" t="str">
        <x:v>미확인</x:v>
      </x:c>
      <x:c r="AJ51" s="5" t="str">
        <x:f>IF(AND(M51="적용",V51="구현",X51&lt;&gt;"",Y51&lt;&gt;"",AB51&lt;&gt;"",AC51&gt;0,AD51&gt;0,AE51="통과",AF51="",AG51&lt;&gt;"",AH51&lt;&gt;"",OR(S51="자동",S51="수동",S51="자동+수동"),IF(OR(S51="자동",S51="자동+수동"),Z51="통과",TRUE),IF(OR(S51="수동",S51="자동+수동"),AA51="통과",TRUE)),"통과",IF(OR(Z51="실패",AA51="실패",AE51="실패"),"실패","보류"))</x:f>
        <x:v>보류</x:v>
      </x:c>
      <x:c r="AK51" s="5" t="str"/>
      <x:c r="AL51" s="5" t="str"/>
      <x:c r="AM51" s="5" t="str">
        <x:v>입력 v0.1 계획 주석은 original_plan_note에 보존. 최신 구현·시험·증빙은 연결 적용기록을 참조하며 전체 준수·인증을 주장하지 않음.</x:v>
      </x:c>
    </x:row>
    <x:row r="52" ht="39.599998474121094" hidden="0" customHeight="1">
      <x:c r="A52" s="5" t="str">
        <x:v>UI-001</x:v>
      </x:c>
      <x:c r="B52" s="5" t="str">
        <x:v>KRDS UI/UX</x:v>
      </x:c>
      <x:c r="C52" s="5" t="str">
        <x:v>UI 원칙</x:v>
      </x:c>
      <x:c r="D52" s="5" t="str">
        <x:v>사용자 중심의 서비스</x:v>
      </x:c>
      <x:c r="E52" s="5" t="str">
        <x:v>핵심 사용자와 업무 성공조건을 먼저 정의</x:v>
      </x:c>
      <x:c r="F52" s="5" t="str">
        <x:v>SRC-001</x:v>
      </x:c>
      <x:c r="G52" s="5" t="str">
        <x:v>2025.08</x:v>
      </x:c>
      <x:c r="H52" s="5" t="str">
        <x:v>디자인 원칙 / 원칙 / 사용자 중심의 서비스</x:v>
      </x:c>
      <x:c r="I52" s="5" t="str">
        <x:v>49-50</x:v>
      </x:c>
      <x:c r="J52" s="5" t="str">
        <x:v>회사 채택안; 원문 의무수준과 별도 관리</x:v>
      </x:c>
      <x:c r="K52" s="5" t="str">
        <x:v>원문 등급 별도 확인</x:v>
      </x:c>
      <x:c r="L52" s="5" t="str">
        <x:v>MUST(안)</x:v>
      </x:c>
      <x:c r="M52" s="10" t="str">
        <x:v>적용</x:v>
      </x:c>
      <x:c r="N52" s="5" t="str">
        <x:v>업무요청 웹 샘플에 채택하는 회사 기준. 실제 이행은 구현 후 판정.</x:v>
      </x:c>
      <x:c r="O52" s="5" t="str">
        <x:v>관련 기능·적용 기관·계약 변경 시 재평가</x:v>
      </x:c>
      <x:c r="P52" s="5" t="str">
        <x:v>S05</x:v>
      </x:c>
      <x:c r="Q52" s="5" t="str">
        <x:v>요청자·처리담당자·관리자별 탐색부터 완료까지 과업을 정하고 요구 ID와 연결</x:v>
      </x:c>
      <x:c r="R52" s="5" t="str">
        <x:v>역할별 대표 과업과 수용기준 검토</x:v>
      </x:c>
      <x:c r="S52" s="10" t="str">
        <x:v>자동+수동</x:v>
      </x:c>
      <x:c r="T52" s="5" t="str">
        <x:v>UX·개발·QA</x:v>
      </x:c>
      <x:c r="U52" s="5" t="str">
        <x:v>P1</x:v>
      </x:c>
      <x:c r="V52" s="10" t="str">
        <x:v>구현</x:v>
      </x:c>
      <x:c r="W52" s="5" t="str">
        <x:v>일반 사용자 본인 요청과 관리자 처리 과업을 S01~S08 화면 및 단계형 등록에 연결했다. 실제 사용자 참여 평가는 별도 미실행이다.</x:v>
      </x:c>
      <x:c r="X52" s="5" t="str">
        <x:v>apps/web/src/App.tsx#Dashboard
apps/web/src/App.tsx#RequestWizard
apps/web/src/App.tsx#RequestDetail</x:v>
      </x:c>
      <x:c r="Y52" s="5" t="str">
        <x:v>MAN-UI-001</x:v>
      </x:c>
      <x:c r="Z52" s="10" t="str">
        <x:v>미실행</x:v>
      </x:c>
      <x:c r="AA52" s="10" t="str">
        <x:v>미실행</x:v>
      </x:c>
      <x:c r="AB52" s="5" t="str"/>
      <x:c r="AC52" s="5" t="n">
        <x:v>0</x:v>
      </x:c>
      <x:c r="AD52" s="5" t="n">
        <x:v>1</x:v>
      </x:c>
      <x:c r="AE52" s="10" t="str">
        <x:v>미실행</x:v>
      </x:c>
      <x:c r="AF52" s="5" t="str"/>
      <x:c r="AG52" s="5" t="str"/>
      <x:c r="AH52" s="5" t="str"/>
      <x:c r="AI52" s="10" t="str">
        <x:v>재확인필요</x:v>
      </x:c>
      <x:c r="AJ52" s="5" t="str">
        <x:f>IF(AND(M52="적용",V52="구현",X52&lt;&gt;"",Y52&lt;&gt;"",AB52&lt;&gt;"",AC52&gt;0,AD52&gt;0,AE52="통과",AF52="",AG52&lt;&gt;"",AH52&lt;&gt;"",OR(S52="자동",S52="수동",S52="자동+수동"),IF(OR(S52="자동",S52="자동+수동"),Z52="통과",TRUE),IF(OR(S52="수동",S52="자동+수동"),AA52="통과",TRUE)),"통과",IF(OR(Z52="실패",AA52="실패",AE52="실패"),"실패","보류"))</x:f>
        <x:v>보류</x:v>
      </x:c>
      <x:c r="AK52" s="5" t="str">
        <x:v>KRDS-SEC-001</x:v>
      </x:c>
      <x:c r="AL52" s="5" t="str"/>
      <x:c r="AM52" s="5" t="str">
        <x:v>입력 v0.1 계획 주석은 original_plan_note에 보존. 최신 구현·시험·증빙은 연결 적용기록을 참조하며 전체 준수·인증을 주장하지 않음.</x:v>
      </x:c>
    </x:row>
    <x:row r="53" ht="39.599998474121094" hidden="0" customHeight="1">
      <x:c r="A53" s="5" t="str">
        <x:v>UI-002</x:v>
      </x:c>
      <x:c r="B53" s="5" t="str">
        <x:v>KRDS UI/UX</x:v>
      </x:c>
      <x:c r="C53" s="5" t="str">
        <x:v>UI 원칙</x:v>
      </x:c>
      <x:c r="D53" s="5" t="str">
        <x:v>모든 사용자를 포용하는 서비스</x:v>
      </x:c>
      <x:c r="E53" s="5" t="str">
        <x:v>장애·고령·디지털 숙련도 차이를 고려</x:v>
      </x:c>
      <x:c r="F53" s="5" t="str">
        <x:v>SRC-001</x:v>
      </x:c>
      <x:c r="G53" s="5" t="str">
        <x:v>2025.08</x:v>
      </x:c>
      <x:c r="H53" s="5" t="str">
        <x:v>디자인 원칙 / 원칙 / 모든 사용자를 포용하는 서비스</x:v>
      </x:c>
      <x:c r="I53" s="5" t="str">
        <x:v>51-52</x:v>
      </x:c>
      <x:c r="J53" s="5" t="str">
        <x:v>회사 채택안; 원문 의무수준과 별도 관리</x:v>
      </x:c>
      <x:c r="K53" s="5" t="str">
        <x:v>원문 등급 별도 확인</x:v>
      </x:c>
      <x:c r="L53" s="5" t="str">
        <x:v>MUST(안)</x:v>
      </x:c>
      <x:c r="M53" s="10" t="str">
        <x:v>적용</x:v>
      </x:c>
      <x:c r="N53" s="5" t="str">
        <x:v>업무요청 웹 샘플에 채택하는 회사 기준. 실제 이행은 구현 후 판정.</x:v>
      </x:c>
      <x:c r="O53" s="5" t="str">
        <x:v>관련 기능·적용 기관·계약 변경 시 재평가</x:v>
      </x:c>
      <x:c r="P53" s="5" t="str">
        <x:v>S01~S08 / 공통</x:v>
      </x:c>
      <x:c r="Q53" s="5" t="str">
        <x:v>키보드, 화면낭독기, 확대, 대조, 쉬운 문구를 공통 컴포넌트 기본값으로 구현</x:v>
      </x:c>
      <x:c r="R53" s="5" t="str">
        <x:v>접근성 자동 검사와 수동 사용자 여정 점검</x:v>
      </x:c>
      <x:c r="S53" s="10" t="str">
        <x:v>자동+수동</x:v>
      </x:c>
      <x:c r="T53" s="5" t="str">
        <x:v>UX·개발·QA</x:v>
      </x:c>
      <x:c r="U53" s="5" t="str">
        <x:v>P1</x:v>
      </x:c>
      <x:c r="V53" s="10" t="str">
        <x:v>진행</x:v>
      </x:c>
      <x:c r="W53" s="5" t="str">
        <x:v>17px 기본 글자, 확대 선택, 반응형, 키보드·모션감소·오류복구를 구현했다. 실제 장애 당사자, 화면낭독기, 모바일 보조기술 전수 평가는 수행하지 않았다.</x:v>
      </x:c>
      <x:c r="X53" s="5" t="str">
        <x:v>apps/web/src/App.tsx#Preferences
apps/web/src/App.tsx#Help
apps/web/src/styles.css</x:v>
      </x:c>
      <x:c r="Y53" s="5" t="str">
        <x:v>MAN-UI-002</x:v>
      </x:c>
      <x:c r="Z53" s="10" t="str">
        <x:v>미실행</x:v>
      </x:c>
      <x:c r="AA53" s="10" t="str">
        <x:v>미실행</x:v>
      </x:c>
      <x:c r="AB53" s="5" t="str"/>
      <x:c r="AC53" s="5" t="n">
        <x:v>0</x:v>
      </x:c>
      <x:c r="AD53" s="5" t="n">
        <x:v>1</x:v>
      </x:c>
      <x:c r="AE53" s="10" t="str">
        <x:v>미실행</x:v>
      </x:c>
      <x:c r="AF53" s="5" t="str"/>
      <x:c r="AG53" s="5" t="str"/>
      <x:c r="AH53" s="5" t="str"/>
      <x:c r="AI53" s="10" t="str">
        <x:v>재확인필요</x:v>
      </x:c>
      <x:c r="AJ53" s="5" t="str">
        <x:f>IF(AND(M53="적용",V53="구현",X53&lt;&gt;"",Y53&lt;&gt;"",AB53&lt;&gt;"",AC53&gt;0,AD53&gt;0,AE53="통과",AF53="",AG53&lt;&gt;"",AH53&lt;&gt;"",OR(S53="자동",S53="수동",S53="자동+수동"),IF(OR(S53="자동",S53="자동+수동"),Z53="통과",TRUE),IF(OR(S53="수동",S53="자동+수동"),AA53="통과",TRUE)),"통과",IF(OR(Z53="실패",AA53="실패",AE53="실패"),"실패","보류"))</x:f>
        <x:v>보류</x:v>
      </x:c>
      <x:c r="AK53" s="5" t="str">
        <x:v>KRDS-SEC-002</x:v>
      </x:c>
      <x:c r="AL53" s="5" t="str"/>
      <x:c r="AM53" s="5" t="str">
        <x:v>입력 v0.1 계획 주석은 original_plan_note에 보존. 최신 구현·시험·증빙은 연결 적용기록을 참조하며 전체 준수·인증을 주장하지 않음.</x:v>
      </x:c>
    </x:row>
    <x:row r="54" ht="52.79999923706055" hidden="0" customHeight="1">
      <x:c r="A54" s="5" t="str">
        <x:v>UI-003</x:v>
      </x:c>
      <x:c r="B54" s="5" t="str">
        <x:v>KRDS UI/UX</x:v>
      </x:c>
      <x:c r="C54" s="5" t="str">
        <x:v>UI 원칙</x:v>
      </x:c>
      <x:c r="D54" s="5" t="str">
        <x:v>공통된 경험 안에서 개별 특성을 고려한 서비스</x:v>
      </x:c>
      <x:c r="E54" s="5" t="str">
        <x:v>공통 컴포넌트와 업무별 특성을 함께 관리</x:v>
      </x:c>
      <x:c r="F54" s="5" t="str">
        <x:v>SRC-001</x:v>
      </x:c>
      <x:c r="G54" s="5" t="str">
        <x:v>2025.08</x:v>
      </x:c>
      <x:c r="H54" s="5" t="str">
        <x:v>디자인 원칙 / 원칙 / 공통된 경험 안에서 개별 특성을 고려한 서비스</x:v>
      </x:c>
      <x:c r="I54" s="5" t="str">
        <x:v>53-54</x:v>
      </x:c>
      <x:c r="J54" s="5" t="str">
        <x:v>회사 채택안; 원문 의무수준과 별도 관리</x:v>
      </x:c>
      <x:c r="K54" s="5" t="str">
        <x:v>원문 등급 별도 확인</x:v>
      </x:c>
      <x:c r="L54" s="5" t="str">
        <x:v>MUST(안)</x:v>
      </x:c>
      <x:c r="M54" s="10" t="str">
        <x:v>적용</x:v>
      </x:c>
      <x:c r="N54" s="5" t="str">
        <x:v>업무요청 웹 샘플에 채택하는 회사 기준. 실제 이행은 구현 후 판정.</x:v>
      </x:c>
      <x:c r="O54" s="5" t="str">
        <x:v>관련 기능·적용 기관·계약 변경 시 재평가</x:v>
      </x:c>
      <x:c r="P54" s="5" t="str">
        <x:v>S01~S08 / 공통</x:v>
      </x:c>
      <x:c r="Q54" s="5" t="str">
        <x:v>공유 디자인 토큰과 기본 패턴을 사용하고 업무 특화 변경은 예외대장에 기록</x:v>
      </x:c>
      <x:c r="R54" s="5" t="str">
        <x:v>페이지 간 동일 기능의 표현·행동 비교</x:v>
      </x:c>
      <x:c r="S54" s="10" t="str">
        <x:v>자동+수동</x:v>
      </x:c>
      <x:c r="T54" s="5" t="str">
        <x:v>UX·개발·QA</x:v>
      </x:c>
      <x:c r="U54" s="5" t="str">
        <x:v>P1</x:v>
      </x:c>
      <x:c r="V54" s="10" t="str">
        <x:v>구현</x:v>
      </x:c>
      <x:c r="W54" s="5" t="str">
        <x:v>공통 상태·버튼·대화상자와 색상·글꼴·간격·모서리·초점 토큰을 재사용한다.</x:v>
      </x:c>
      <x:c r="X54" s="5" t="str">
        <x:v>apps/web/src/ui.tsx#Badge
apps/web/src/ui.tsx#Modal
packages/ui/tokens.css
apps/web/src/styles.css</x:v>
      </x:c>
      <x:c r="Y54" s="5" t="str">
        <x:v>SCREEN-DASHBOARD
SCREEN-GALLERY
MAN-UI-003</x:v>
      </x:c>
      <x:c r="Z54" s="10" t="str">
        <x:v>미실행</x:v>
      </x:c>
      <x:c r="AA54" s="10" t="str">
        <x:v>미실행</x:v>
      </x:c>
      <x:c r="AB54" s="5" t="str">
        <x:v>SCREEN-DASHBOARD-2026-10-20T06-15-00-647Z
SCREEN-GALLERY-2026-10-20T06-15-00-647Z</x:v>
      </x:c>
      <x:c r="AC54" s="5" t="n">
        <x:v>2</x:v>
      </x:c>
      <x:c r="AD54" s="5" t="n">
        <x:v>3</x:v>
      </x:c>
      <x:c r="AE54" s="10" t="str">
        <x:v>부분확인</x:v>
      </x:c>
      <x:c r="AF54" s="5" t="str"/>
      <x:c r="AG54" s="5" t="str"/>
      <x:c r="AH54" s="5" t="str"/>
      <x:c r="AI54" s="10" t="str">
        <x:v>재확인필요</x:v>
      </x:c>
      <x:c r="AJ54" s="5" t="str">
        <x:f>IF(AND(M54="적용",V54="구현",X54&lt;&gt;"",Y54&lt;&gt;"",AB54&lt;&gt;"",AC54&gt;0,AD54&gt;0,AE54="통과",AF54="",AG54&lt;&gt;"",AH54&lt;&gt;"",OR(S54="자동",S54="수동",S54="자동+수동"),IF(OR(S54="자동",S54="자동+수동"),Z54="통과",TRUE),IF(OR(S54="수동",S54="자동+수동"),AA54="통과",TRUE)),"통과",IF(OR(Z54="실패",AA54="실패",AE54="실패"),"실패","보류"))</x:f>
        <x:v>보류</x:v>
      </x:c>
      <x:c r="AK54" s="5" t="str">
        <x:v>KRDS-SEC-003</x:v>
      </x:c>
      <x:c r="AL54" s="5" t="str"/>
      <x:c r="AM54" s="5" t="str">
        <x:v>입력 v0.1 계획 주석은 original_plan_note에 보존. 최신 구현·시험·증빙은 연결 적용기록을 참조하며 전체 준수·인증을 주장하지 않음.</x:v>
      </x:c>
    </x:row>
    <x:row r="55" ht="26.399999618530273" hidden="0" customHeight="1">
      <x:c r="A55" s="5" t="str">
        <x:v>UI-004</x:v>
      </x:c>
      <x:c r="B55" s="5" t="str">
        <x:v>KRDS UI/UX</x:v>
      </x:c>
      <x:c r="C55" s="5" t="str">
        <x:v>UI 원칙</x:v>
      </x:c>
      <x:c r="D55" s="5" t="str">
        <x:v>빠르고 간단한 서비스</x:v>
      </x:c>
      <x:c r="E55" s="5" t="str">
        <x:v>불필요한 입력과 절차를 줄임</x:v>
      </x:c>
      <x:c r="F55" s="5" t="str">
        <x:v>SRC-001</x:v>
      </x:c>
      <x:c r="G55" s="5" t="str">
        <x:v>2025.08</x:v>
      </x:c>
      <x:c r="H55" s="5" t="str">
        <x:v>디자인 원칙 / 원칙 / 빠르고 간단한 서비스</x:v>
      </x:c>
      <x:c r="I55" s="5" t="str">
        <x:v>55-56</x:v>
      </x:c>
      <x:c r="J55" s="5" t="str">
        <x:v>회사 채택안; 원문 의무수준과 별도 관리</x:v>
      </x:c>
      <x:c r="K55" s="5" t="str">
        <x:v>원문 등급 별도 확인</x:v>
      </x:c>
      <x:c r="L55" s="5" t="str">
        <x:v>MUST(안)</x:v>
      </x:c>
      <x:c r="M55" s="10" t="str">
        <x:v>적용</x:v>
      </x:c>
      <x:c r="N55" s="5" t="str">
        <x:v>업무요청 웹 샘플에 채택하는 회사 기준. 실제 이행은 구현 후 판정.</x:v>
      </x:c>
      <x:c r="O55" s="5" t="str">
        <x:v>관련 기능·적용 기관·계약 변경 시 재평가</x:v>
      </x:c>
      <x:c r="P55" s="5" t="str">
        <x:v>S05</x:v>
      </x:c>
      <x:c r="Q55" s="5" t="str">
        <x:v>필수 업무데이터만 수집하고 이전 입력 재사용·진행상태·처리결과를 표시</x:v>
      </x:c>
      <x:c r="R55" s="5" t="str">
        <x:v>등록 과업의 단계 수와 중복입력 점검</x:v>
      </x:c>
      <x:c r="S55" s="10" t="str">
        <x:v>자동+수동</x:v>
      </x:c>
      <x:c r="T55" s="5" t="str">
        <x:v>UX·개발·QA</x:v>
      </x:c>
      <x:c r="U55" s="5" t="str">
        <x:v>P1</x:v>
      </x:c>
      <x:c r="V55" s="10" t="str">
        <x:v>구현</x:v>
      </x:c>
      <x:c r="W55" s="5" t="str">
        <x:v>요청 입력을 제목·유형·내용·선택 첨부로 제한하고 단계별 안내, 한국어 동작 이름, 검토 후 저장을 제공한다.</x:v>
      </x:c>
      <x:c r="X55" s="5" t="str">
        <x:v>apps/web/src/App.tsx#RequestWizard
apps/web/src/App.tsx#Help</x:v>
      </x:c>
      <x:c r="Y55" s="5" t="str">
        <x:v>MAN-UI-004</x:v>
      </x:c>
      <x:c r="Z55" s="10" t="str">
        <x:v>미실행</x:v>
      </x:c>
      <x:c r="AA55" s="10" t="str">
        <x:v>미실행</x:v>
      </x:c>
      <x:c r="AB55" s="5" t="str"/>
      <x:c r="AC55" s="5" t="n">
        <x:v>0</x:v>
      </x:c>
      <x:c r="AD55" s="5" t="n">
        <x:v>1</x:v>
      </x:c>
      <x:c r="AE55" s="10" t="str">
        <x:v>미실행</x:v>
      </x:c>
      <x:c r="AF55" s="5" t="str"/>
      <x:c r="AG55" s="5" t="str"/>
      <x:c r="AH55" s="5" t="str"/>
      <x:c r="AI55" s="10" t="str">
        <x:v>재확인필요</x:v>
      </x:c>
      <x:c r="AJ55" s="5" t="str">
        <x:f>IF(AND(M55="적용",V55="구현",X55&lt;&gt;"",Y55&lt;&gt;"",AB55&lt;&gt;"",AC55&gt;0,AD55&gt;0,AE55="통과",AF55="",AG55&lt;&gt;"",AH55&lt;&gt;"",OR(S55="자동",S55="수동",S55="자동+수동"),IF(OR(S55="자동",S55="자동+수동"),Z55="통과",TRUE),IF(OR(S55="수동",S55="자동+수동"),AA55="통과",TRUE)),"통과",IF(OR(Z55="실패",AA55="실패",AE55="실패"),"실패","보류"))</x:f>
        <x:v>보류</x:v>
      </x:c>
      <x:c r="AK55" s="5" t="str">
        <x:v>KRDS-SEC-004</x:v>
      </x:c>
      <x:c r="AL55" s="5" t="str"/>
      <x:c r="AM55" s="5" t="str">
        <x:v>입력 v0.1 계획 주석은 original_plan_note에 보존. 최신 구현·시험·증빙은 연결 적용기록을 참조하며 전체 준수·인증을 주장하지 않음.</x:v>
      </x:c>
    </x:row>
    <x:row r="56" ht="26.399999618530273" hidden="0" customHeight="1">
      <x:c r="A56" s="5" t="str">
        <x:v>UI-005</x:v>
      </x:c>
      <x:c r="B56" s="5" t="str">
        <x:v>KRDS UI/UX</x:v>
      </x:c>
      <x:c r="C56" s="5" t="str">
        <x:v>UI 원칙</x:v>
      </x:c>
      <x:c r="D56" s="5" t="str">
        <x:v>쉽게 이해하고 사용할 수 있는 서비스</x:v>
      </x:c>
      <x:c r="E56" s="5" t="str">
        <x:v>이해 가능한 용어와 예측 가능한 행동 제공</x:v>
      </x:c>
      <x:c r="F56" s="5" t="str">
        <x:v>SRC-001</x:v>
      </x:c>
      <x:c r="G56" s="5" t="str">
        <x:v>2025.08</x:v>
      </x:c>
      <x:c r="H56" s="5" t="str">
        <x:v>디자인 원칙 / 원칙 / 쉽게 이해하고 사용할 수 있는 서비스</x:v>
      </x:c>
      <x:c r="I56" s="5" t="str">
        <x:v>57-58</x:v>
      </x:c>
      <x:c r="J56" s="5" t="str">
        <x:v>회사 채택안; 원문 의무수준과 별도 관리</x:v>
      </x:c>
      <x:c r="K56" s="5" t="str">
        <x:v>원문 등급 별도 확인</x:v>
      </x:c>
      <x:c r="L56" s="5" t="str">
        <x:v>MUST(안)</x:v>
      </x:c>
      <x:c r="M56" s="10" t="str">
        <x:v>적용</x:v>
      </x:c>
      <x:c r="N56" s="5" t="str">
        <x:v>업무요청 웹 샘플에 채택하는 회사 기준. 실제 이행은 구현 후 판정.</x:v>
      </x:c>
      <x:c r="O56" s="5" t="str">
        <x:v>관련 기능·적용 기관·계약 변경 시 재평가</x:v>
      </x:c>
      <x:c r="P56" s="5" t="str">
        <x:v>S05</x:v>
      </x:c>
      <x:c r="Q56" s="5" t="str">
        <x:v>사용자 언어로 버튼·오류·상태를 작성하고 설명·예시를 입력 근처에 제공</x:v>
      </x:c>
      <x:c r="R56" s="5" t="str">
        <x:v>비개발자 대상 문구 검토와 과업 관찰</x:v>
      </x:c>
      <x:c r="S56" s="10" t="str">
        <x:v>자동+수동</x:v>
      </x:c>
      <x:c r="T56" s="5" t="str">
        <x:v>UX·개발·QA</x:v>
      </x:c>
      <x:c r="U56" s="5" t="str">
        <x:v>P1</x:v>
      </x:c>
      <x:c r="V56" s="10" t="str">
        <x:v>구현</x:v>
      </x:c>
      <x:c r="W56" s="5" t="str">
        <x:v>요청 입력을 제목·유형·내용·선택 첨부로 제한하고 단계별 안내, 한국어 동작 이름, 검토 후 저장을 제공한다.</x:v>
      </x:c>
      <x:c r="X56" s="5" t="str">
        <x:v>apps/web/src/App.tsx#RequestWizard
apps/web/src/App.tsx#Help</x:v>
      </x:c>
      <x:c r="Y56" s="5" t="str">
        <x:v>MAN-UI-005</x:v>
      </x:c>
      <x:c r="Z56" s="10" t="str">
        <x:v>미실행</x:v>
      </x:c>
      <x:c r="AA56" s="10" t="str">
        <x:v>미실행</x:v>
      </x:c>
      <x:c r="AB56" s="5" t="str"/>
      <x:c r="AC56" s="5" t="n">
        <x:v>0</x:v>
      </x:c>
      <x:c r="AD56" s="5" t="n">
        <x:v>1</x:v>
      </x:c>
      <x:c r="AE56" s="10" t="str">
        <x:v>미실행</x:v>
      </x:c>
      <x:c r="AF56" s="5" t="str"/>
      <x:c r="AG56" s="5" t="str"/>
      <x:c r="AH56" s="5" t="str"/>
      <x:c r="AI56" s="10" t="str">
        <x:v>재확인필요</x:v>
      </x:c>
      <x:c r="AJ56" s="5" t="str">
        <x:f>IF(AND(M56="적용",V56="구현",X56&lt;&gt;"",Y56&lt;&gt;"",AB56&lt;&gt;"",AC56&gt;0,AD56&gt;0,AE56="통과",AF56="",AG56&lt;&gt;"",AH56&lt;&gt;"",OR(S56="자동",S56="수동",S56="자동+수동"),IF(OR(S56="자동",S56="자동+수동"),Z56="통과",TRUE),IF(OR(S56="수동",S56="자동+수동"),AA56="통과",TRUE)),"통과",IF(OR(Z56="실패",AA56="실패",AE56="실패"),"실패","보류"))</x:f>
        <x:v>보류</x:v>
      </x:c>
      <x:c r="AK56" s="5" t="str">
        <x:v>KRDS-SEC-005</x:v>
      </x:c>
      <x:c r="AL56" s="5" t="str"/>
      <x:c r="AM56" s="5" t="str">
        <x:v>입력 v0.1 계획 주석은 original_plan_note에 보존. 최신 구현·시험·증빙은 연결 적용기록을 참조하며 전체 준수·인증을 주장하지 않음.</x:v>
      </x:c>
    </x:row>
    <x:row r="57" ht="39.599998474121094" hidden="0" customHeight="1">
      <x:c r="A57" s="5" t="str">
        <x:v>UI-006</x:v>
      </x:c>
      <x:c r="B57" s="5" t="str">
        <x:v>KRDS UI/UX</x:v>
      </x:c>
      <x:c r="C57" s="5" t="str">
        <x:v>UI 원칙</x:v>
      </x:c>
      <x:c r="D57" s="5" t="str">
        <x:v>사용자의 다양한 상황을 고려하는 서비스</x:v>
      </x:c>
      <x:c r="E57" s="5" t="str">
        <x:v>다양한 기기·입력·연결 상황을 고려</x:v>
      </x:c>
      <x:c r="F57" s="5" t="str">
        <x:v>SRC-001</x:v>
      </x:c>
      <x:c r="G57" s="5" t="str">
        <x:v>2025.08</x:v>
      </x:c>
      <x:c r="H57" s="5" t="str">
        <x:v>디자인 원칙 / 원칙 / 사용자의 다양한 상황을 고려하는 서비스</x:v>
      </x:c>
      <x:c r="I57" s="5" t="str">
        <x:v>59-60</x:v>
      </x:c>
      <x:c r="J57" s="5" t="str">
        <x:v>회사 채택안; 원문 의무수준과 별도 관리</x:v>
      </x:c>
      <x:c r="K57" s="5" t="str">
        <x:v>원문 등급 별도 확인</x:v>
      </x:c>
      <x:c r="L57" s="5" t="str">
        <x:v>MUST(안)</x:v>
      </x:c>
      <x:c r="M57" s="10" t="str">
        <x:v>적용</x:v>
      </x:c>
      <x:c r="N57" s="5" t="str">
        <x:v>업무요청 웹 샘플에 채택하는 회사 기준. 실제 이행은 구현 후 판정.</x:v>
      </x:c>
      <x:c r="O57" s="5" t="str">
        <x:v>관련 기능·적용 기관·계약 변경 시 재평가</x:v>
      </x:c>
      <x:c r="P57" s="5" t="str">
        <x:v>S01~S08 / 공통</x:v>
      </x:c>
      <x:c r="Q57" s="5" t="str">
        <x:v>작은 화면·키보드·터치·느린 요청·오프라인 안내와 복구 경로를 설계</x:v>
      </x:c>
      <x:c r="R57" s="5" t="str">
        <x:v>기기·입력·네트워크 매트릭스 점검</x:v>
      </x:c>
      <x:c r="S57" s="10" t="str">
        <x:v>자동+수동</x:v>
      </x:c>
      <x:c r="T57" s="5" t="str">
        <x:v>UX·개발·QA</x:v>
      </x:c>
      <x:c r="U57" s="5" t="str">
        <x:v>P1</x:v>
      </x:c>
      <x:c r="V57" s="10" t="str">
        <x:v>진행</x:v>
      </x:c>
      <x:c r="W57" s="5" t="str">
        <x:v>17px 기본 글자, 확대 선택, 반응형, 키보드·모션감소·오류복구를 구현했다. 실제 장애 당사자, 화면낭독기, 모바일 보조기술 전수 평가는 수행하지 않았다.</x:v>
      </x:c>
      <x:c r="X57" s="5" t="str">
        <x:v>apps/web/src/App.tsx#Preferences
apps/web/src/App.tsx#Help
apps/web/src/styles.css</x:v>
      </x:c>
      <x:c r="Y57" s="5" t="str">
        <x:v>MAN-UI-006</x:v>
      </x:c>
      <x:c r="Z57" s="10" t="str">
        <x:v>미실행</x:v>
      </x:c>
      <x:c r="AA57" s="10" t="str">
        <x:v>미실행</x:v>
      </x:c>
      <x:c r="AB57" s="5" t="str"/>
      <x:c r="AC57" s="5" t="n">
        <x:v>0</x:v>
      </x:c>
      <x:c r="AD57" s="5" t="n">
        <x:v>1</x:v>
      </x:c>
      <x:c r="AE57" s="10" t="str">
        <x:v>미실행</x:v>
      </x:c>
      <x:c r="AF57" s="5" t="str"/>
      <x:c r="AG57" s="5" t="str"/>
      <x:c r="AH57" s="5" t="str"/>
      <x:c r="AI57" s="10" t="str">
        <x:v>재확인필요</x:v>
      </x:c>
      <x:c r="AJ57" s="5" t="str">
        <x:f>IF(AND(M57="적용",V57="구현",X57&lt;&gt;"",Y57&lt;&gt;"",AB57&lt;&gt;"",AC57&gt;0,AD57&gt;0,AE57="통과",AF57="",AG57&lt;&gt;"",AH57&lt;&gt;"",OR(S57="자동",S57="수동",S57="자동+수동"),IF(OR(S57="자동",S57="자동+수동"),Z57="통과",TRUE),IF(OR(S57="수동",S57="자동+수동"),AA57="통과",TRUE)),"통과",IF(OR(Z57="실패",AA57="실패",AE57="실패"),"실패","보류"))</x:f>
        <x:v>보류</x:v>
      </x:c>
      <x:c r="AK57" s="5" t="str">
        <x:v>KRDS-SEC-006</x:v>
      </x:c>
      <x:c r="AL57" s="5" t="str"/>
      <x:c r="AM57" s="5" t="str">
        <x:v>입력 v0.1 계획 주석은 original_plan_note에 보존. 최신 구현·시험·증빙은 연결 적용기록을 참조하며 전체 준수·인증을 주장하지 않음.</x:v>
      </x:c>
    </x:row>
    <x:row r="58" ht="52.79999923706055" hidden="0" customHeight="1">
      <x:c r="A58" s="5" t="str">
        <x:v>UI-007</x:v>
      </x:c>
      <x:c r="B58" s="5" t="str">
        <x:v>KRDS UI/UX</x:v>
      </x:c>
      <x:c r="C58" s="5" t="str">
        <x:v>UI 원칙</x:v>
      </x:c>
      <x:c r="D58" s="5" t="str">
        <x:v>신뢰할 수 있는 서비스</x:v>
      </x:c>
      <x:c r="E58" s="5" t="str">
        <x:v>정확한 정보와 예측 가능한 피드백 제공</x:v>
      </x:c>
      <x:c r="F58" s="5" t="str">
        <x:v>SRC-001</x:v>
      </x:c>
      <x:c r="G58" s="5" t="str">
        <x:v>2025.08</x:v>
      </x:c>
      <x:c r="H58" s="5" t="str">
        <x:v>디자인 원칙 / 원칙 / 신뢰할 수 있는 서비스</x:v>
      </x:c>
      <x:c r="I58" s="5" t="str">
        <x:v>61-64</x:v>
      </x:c>
      <x:c r="J58" s="5" t="str">
        <x:v>회사 채택안; 원문 의무수준과 별도 관리</x:v>
      </x:c>
      <x:c r="K58" s="5" t="str">
        <x:v>원문 등급 별도 확인</x:v>
      </x:c>
      <x:c r="L58" s="5" t="str">
        <x:v>MUST(안)</x:v>
      </x:c>
      <x:c r="M58" s="10" t="str">
        <x:v>적용</x:v>
      </x:c>
      <x:c r="N58" s="5" t="str">
        <x:v>업무요청 웹 샘플에 채택하는 회사 기준. 실제 이행은 구현 후 판정.</x:v>
      </x:c>
      <x:c r="O58" s="5" t="str">
        <x:v>관련 기능·적용 기관·계약 변경 시 재평가</x:v>
      </x:c>
      <x:c r="P58" s="5" t="str">
        <x:v>S01~S08 / 공통</x:v>
      </x:c>
      <x:c r="Q58" s="5" t="str">
        <x:v>회사 운영주체, 처리상태, 문의수단, 데이터 처리안내를 일관되게 제공</x:v>
      </x:c>
      <x:c r="R58" s="5" t="str">
        <x:v>표시 정보와 실제 서버 상태의 일치 검토</x:v>
      </x:c>
      <x:c r="S58" s="10" t="str">
        <x:v>자동+수동</x:v>
      </x:c>
      <x:c r="T58" s="5" t="str">
        <x:v>UX·개발·QA</x:v>
      </x:c>
      <x:c r="U58" s="5" t="str">
        <x:v>P1</x:v>
      </x:c>
      <x:c r="V58" s="10" t="str">
        <x:v>구현</x:v>
      </x:c>
      <x:c r="W58" s="5" t="str">
        <x:v>서버 저장 성공 후에만 완료 화면을 표시하며 로딩·저장 오류·업로드 진행·취소와 상태를 텍스트 및 role=status/alert로 전달한다.</x:v>
      </x:c>
      <x:c r="X58" s="5" t="str">
        <x:v>apps/web/src/App.tsx#RequestWizard
apps/web/src/ui.tsx#Success
apps/web/src/ui.tsx#ErrorBox
apps/web/src/ui.tsx#Loading</x:v>
      </x:c>
      <x:c r="Y58" s="5" t="str">
        <x:v>MAN-UI-007</x:v>
      </x:c>
      <x:c r="Z58" s="10" t="str">
        <x:v>미실행</x:v>
      </x:c>
      <x:c r="AA58" s="10" t="str">
        <x:v>미실행</x:v>
      </x:c>
      <x:c r="AB58" s="5" t="str"/>
      <x:c r="AC58" s="5" t="n">
        <x:v>0</x:v>
      </x:c>
      <x:c r="AD58" s="5" t="n">
        <x:v>1</x:v>
      </x:c>
      <x:c r="AE58" s="10" t="str">
        <x:v>미실행</x:v>
      </x:c>
      <x:c r="AF58" s="5" t="str"/>
      <x:c r="AG58" s="5" t="str"/>
      <x:c r="AH58" s="5" t="str"/>
      <x:c r="AI58" s="10" t="str">
        <x:v>재확인필요</x:v>
      </x:c>
      <x:c r="AJ58" s="5" t="str">
        <x:f>IF(AND(M58="적용",V58="구현",X58&lt;&gt;"",Y58&lt;&gt;"",AB58&lt;&gt;"",AC58&gt;0,AD58&gt;0,AE58="통과",AF58="",AG58&lt;&gt;"",AH58&lt;&gt;"",OR(S58="자동",S58="수동",S58="자동+수동"),IF(OR(S58="자동",S58="자동+수동"),Z58="통과",TRUE),IF(OR(S58="수동",S58="자동+수동"),AA58="통과",TRUE)),"통과",IF(OR(Z58="실패",AA58="실패",AE58="실패"),"실패","보류"))</x:f>
        <x:v>보류</x:v>
      </x:c>
      <x:c r="AK58" s="5" t="str">
        <x:v>KRDS-SEC-007</x:v>
      </x:c>
      <x:c r="AL58" s="5" t="str"/>
      <x:c r="AM58" s="5" t="str">
        <x:v>입력 v0.1 계획 주석은 original_plan_note에 보존. 최신 구현·시험·증빙은 연결 적용기록을 참조하며 전체 준수·인증을 주장하지 않음.</x:v>
      </x:c>
    </x:row>
    <x:row r="59" ht="39.599998474121094" hidden="0" customHeight="1">
      <x:c r="A59" s="5" t="str">
        <x:v>UI-008</x:v>
      </x:c>
      <x:c r="B59" s="5" t="str">
        <x:v>KRDS UI/UX</x:v>
      </x:c>
      <x:c r="C59" s="5" t="str">
        <x:v>UI 스타일</x:v>
      </x:c>
      <x:c r="D59" s="5" t="str">
        <x:v>색상</x:v>
      </x:c>
      <x:c r="E59" s="5" t="str">
        <x:v>의미·상태별 색상과 대비를 토큰으로 관리</x:v>
      </x:c>
      <x:c r="F59" s="5" t="str">
        <x:v>SRC-001</x:v>
      </x:c>
      <x:c r="G59" s="5" t="str">
        <x:v>2025.08</x:v>
      </x:c>
      <x:c r="H59" s="5" t="str">
        <x:v>디자인 스타일 / 스타일 / 색상</x:v>
      </x:c>
      <x:c r="I59" s="5" t="str">
        <x:v>74-101</x:v>
      </x:c>
      <x:c r="J59" s="5" t="str">
        <x:v>회사 채택안; 원문 의무수준과 별도 관리</x:v>
      </x:c>
      <x:c r="K59" s="5" t="str">
        <x:v>원문 등급 별도 확인</x:v>
      </x:c>
      <x:c r="L59" s="5" t="str">
        <x:v>MUST(안)</x:v>
      </x:c>
      <x:c r="M59" s="10" t="str">
        <x:v>적용</x:v>
      </x:c>
      <x:c r="N59" s="5" t="str">
        <x:v>업무요청 웹 샘플에 채택하는 회사 기준. 실제 이행은 구현 후 판정.</x:v>
      </x:c>
      <x:c r="O59" s="5" t="str">
        <x:v>관련 기능·적용 기관·계약 변경 시 재평가</x:v>
      </x:c>
      <x:c r="P59" s="5" t="str">
        <x:v>S05</x:v>
      </x:c>
      <x:c r="Q59" s="5" t="str">
        <x:v>브랜드/중립/오류/성공 색을 CSS 변수로 관리하고 색 외 텍스트·아이콘을 함께 제공</x:v>
      </x:c>
      <x:c r="R59" s="5" t="str">
        <x:v>실제 전경·배경 조합의 대비 측정 및 색상 제거 점검</x:v>
      </x:c>
      <x:c r="S59" s="10" t="str">
        <x:v>자동+수동</x:v>
      </x:c>
      <x:c r="T59" s="5" t="str">
        <x:v>UX·개발·QA</x:v>
      </x:c>
      <x:c r="U59" s="5" t="str">
        <x:v>P1</x:v>
      </x:c>
      <x:c r="V59" s="10" t="str">
        <x:v>구현</x:v>
      </x:c>
      <x:c r="W59" s="5" t="str">
        <x:v>의미별 색상과 상태 배지를 토큰으로 관리하고 텍스트·아이콘을 함께 표시한다. 자동검사 결과와 수동 대비 범위는 검증 기록으로 구분한다.</x:v>
      </x:c>
      <x:c r="X59" s="5" t="str">
        <x:v>packages/ui/tokens.css
apps/web/src/styles.css
apps/web/src/ui.tsx#Badge</x:v>
      </x:c>
      <x:c r="Y59" s="5" t="str">
        <x:v>MAN-UI-008</x:v>
      </x:c>
      <x:c r="Z59" s="10" t="str">
        <x:v>미실행</x:v>
      </x:c>
      <x:c r="AA59" s="10" t="str">
        <x:v>미실행</x:v>
      </x:c>
      <x:c r="AB59" s="5" t="str"/>
      <x:c r="AC59" s="5" t="n">
        <x:v>0</x:v>
      </x:c>
      <x:c r="AD59" s="5" t="n">
        <x:v>1</x:v>
      </x:c>
      <x:c r="AE59" s="10" t="str">
        <x:v>미실행</x:v>
      </x:c>
      <x:c r="AF59" s="5" t="str"/>
      <x:c r="AG59" s="5" t="str"/>
      <x:c r="AH59" s="5" t="str"/>
      <x:c r="AI59" s="10" t="str">
        <x:v>재확인필요</x:v>
      </x:c>
      <x:c r="AJ59" s="5" t="str">
        <x:f>IF(AND(M59="적용",V59="구현",X59&lt;&gt;"",Y59&lt;&gt;"",AB59&lt;&gt;"",AC59&gt;0,AD59&gt;0,AE59="통과",AF59="",AG59&lt;&gt;"",AH59&lt;&gt;"",OR(S59="자동",S59="수동",S59="자동+수동"),IF(OR(S59="자동",S59="자동+수동"),Z59="통과",TRUE),IF(OR(S59="수동",S59="자동+수동"),AA59="통과",TRUE)),"통과",IF(OR(Z59="실패",AA59="실패",AE59="실패"),"실패","보류"))</x:f>
        <x:v>보류</x:v>
      </x:c>
      <x:c r="AK59" s="5" t="str">
        <x:v>KRDS-SEC-009</x:v>
      </x:c>
      <x:c r="AL59" s="5" t="str"/>
      <x:c r="AM59" s="5" t="str">
        <x:v>입력 v0.1 계획 주석은 original_plan_note에 보존. 최신 구현·시험·증빙은 연결 적용기록을 참조하며 전체 준수·인증을 주장하지 않음.</x:v>
      </x:c>
    </x:row>
    <x:row r="60" ht="39.599998474121094" hidden="0" customHeight="1">
      <x:c r="A60" s="5" t="str">
        <x:v>UI-009</x:v>
      </x:c>
      <x:c r="B60" s="5" t="str">
        <x:v>KRDS UI/UX</x:v>
      </x:c>
      <x:c r="C60" s="5" t="str">
        <x:v>UI 스타일</x:v>
      </x:c>
      <x:c r="D60" s="5" t="str">
        <x:v>타이포그래피</x:v>
      </x:c>
      <x:c r="E60" s="5" t="str">
        <x:v>본문 가독성과 글자 크기 조절을 보장</x:v>
      </x:c>
      <x:c r="F60" s="5" t="str">
        <x:v>SRC-001</x:v>
      </x:c>
      <x:c r="G60" s="5" t="str">
        <x:v>2025.08</x:v>
      </x:c>
      <x:c r="H60" s="5" t="str">
        <x:v>디자인 스타일 / 스타일 / 타이포그래피</x:v>
      </x:c>
      <x:c r="I60" s="5" t="str">
        <x:v>102-125</x:v>
      </x:c>
      <x:c r="J60" s="5" t="str">
        <x:v>회사 채택안; 원문 의무수준과 별도 관리</x:v>
      </x:c>
      <x:c r="K60" s="5" t="str">
        <x:v>원문 등급 별도 확인</x:v>
      </x:c>
      <x:c r="L60" s="5" t="str">
        <x:v>MUST(안)</x:v>
      </x:c>
      <x:c r="M60" s="10" t="str">
        <x:v>적용</x:v>
      </x:c>
      <x:c r="N60" s="5" t="str">
        <x:v>업무요청 웹 샘플에 채택하는 회사 기준. 실제 이행은 구현 후 판정.</x:v>
      </x:c>
      <x:c r="O60" s="5" t="str">
        <x:v>관련 기능·적용 기관·계약 변경 시 재평가</x:v>
      </x:c>
      <x:c r="P60" s="5" t="str">
        <x:v>S01~S08 / 공통</x:v>
      </x:c>
      <x:c r="Q60" s="5" t="str">
        <x:v>고딕계열 글꼴, 본문 최소16px 상당·Pretendard GOV 사용 시 기본17px 상당, line-height 1.5 이상, 상대단위 적용</x:v>
      </x:c>
      <x:c r="R60" s="5" t="str">
        <x:v>글꼴 실제 계산값과 200% 확대 시 콘텐츠·기능 보존 점검</x:v>
      </x:c>
      <x:c r="S60" s="10" t="str">
        <x:v>자동+수동</x:v>
      </x:c>
      <x:c r="T60" s="5" t="str">
        <x:v>UX·개발·QA</x:v>
      </x:c>
      <x:c r="U60" s="5" t="str">
        <x:v>P1</x:v>
      </x:c>
      <x:c r="V60" s="10" t="str">
        <x:v>구현</x:v>
      </x:c>
      <x:c r="W60" s="5" t="str">
        <x:v>시스템 한글 글꼴을 사용하며 기본 본문17px/행간1.6, 주요 본문·레이블 최소16px를 적용한다. 20px 글자 설정과 기본값 복원을 제공한다.</x:v>
      </x:c>
      <x:c r="X60" s="5" t="str">
        <x:v>packages/ui/tokens.css
apps/web/src/styles.css
apps/web/src/App.tsx#Preferences</x:v>
      </x:c>
      <x:c r="Y60" s="5" t="str">
        <x:v>MAN-UI-009</x:v>
      </x:c>
      <x:c r="Z60" s="10" t="str">
        <x:v>미실행</x:v>
      </x:c>
      <x:c r="AA60" s="10" t="str">
        <x:v>미실행</x:v>
      </x:c>
      <x:c r="AB60" s="5" t="str"/>
      <x:c r="AC60" s="5" t="n">
        <x:v>0</x:v>
      </x:c>
      <x:c r="AD60" s="5" t="n">
        <x:v>1</x:v>
      </x:c>
      <x:c r="AE60" s="10" t="str">
        <x:v>미실행</x:v>
      </x:c>
      <x:c r="AF60" s="5" t="str"/>
      <x:c r="AG60" s="5" t="str"/>
      <x:c r="AH60" s="5" t="str"/>
      <x:c r="AI60" s="10" t="str">
        <x:v>재확인필요</x:v>
      </x:c>
      <x:c r="AJ60" s="5" t="str">
        <x:f>IF(AND(M60="적용",V60="구현",X60&lt;&gt;"",Y60&lt;&gt;"",AB60&lt;&gt;"",AC60&gt;0,AD60&gt;0,AE60="통과",AF60="",AG60&lt;&gt;"",AH60&lt;&gt;"",OR(S60="자동",S60="수동",S60="자동+수동"),IF(OR(S60="자동",S60="자동+수동"),Z60="통과",TRUE),IF(OR(S60="수동",S60="자동+수동"),AA60="통과",TRUE)),"통과",IF(OR(Z60="실패",AA60="실패",AE60="실패"),"실패","보류"))</x:f>
        <x:v>보류</x:v>
      </x:c>
      <x:c r="AK60" s="5" t="str">
        <x:v>KRDS-SEC-010</x:v>
      </x:c>
      <x:c r="AL60" s="5" t="str"/>
      <x:c r="AM60" s="5" t="str">
        <x:v>입력 v0.1 계획 주석은 original_plan_note에 보존. 최신 구현·시험·증빙은 연결 적용기록을 참조하며 전체 준수·인증을 주장하지 않음.</x:v>
      </x:c>
    </x:row>
    <x:row r="61" ht="52.79999923706055" hidden="0" customHeight="1">
      <x:c r="A61" s="5" t="str">
        <x:v>UI-010</x:v>
      </x:c>
      <x:c r="B61" s="5" t="str">
        <x:v>KRDS UI/UX</x:v>
      </x:c>
      <x:c r="C61" s="5" t="str">
        <x:v>UI 스타일</x:v>
      </x:c>
      <x:c r="D61" s="5" t="str">
        <x:v>형태</x:v>
      </x:c>
      <x:c r="E61" s="5" t="str">
        <x:v>크기·모서리·테두리의 일관된 규칙 적용</x:v>
      </x:c>
      <x:c r="F61" s="5" t="str">
        <x:v>SRC-001</x:v>
      </x:c>
      <x:c r="G61" s="5" t="str">
        <x:v>2025.08</x:v>
      </x:c>
      <x:c r="H61" s="5" t="str">
        <x:v>디자인 스타일 / 스타일 / 형태</x:v>
      </x:c>
      <x:c r="I61" s="5" t="str">
        <x:v>126-138</x:v>
      </x:c>
      <x:c r="J61" s="5" t="str">
        <x:v>회사 채택안; 원문 의무수준과 별도 관리</x:v>
      </x:c>
      <x:c r="K61" s="5" t="str">
        <x:v>원문 등급 별도 확인</x:v>
      </x:c>
      <x:c r="L61" s="5" t="str">
        <x:v>MUST(안)</x:v>
      </x:c>
      <x:c r="M61" s="10" t="str">
        <x:v>적용</x:v>
      </x:c>
      <x:c r="N61" s="5" t="str">
        <x:v>업무요청 웹 샘플에 채택하는 회사 기준. 실제 이행은 구현 후 판정.</x:v>
      </x:c>
      <x:c r="O61" s="5" t="str">
        <x:v>관련 기능·적용 기관·계약 변경 시 재평가</x:v>
      </x:c>
      <x:c r="P61" s="5" t="str">
        <x:v>S05</x:v>
      </x:c>
      <x:c r="Q61" s="5" t="str">
        <x:v>버튼·입력·선택 요소의 크기, radius, border를 토큰으로 정의</x:v>
      </x:c>
      <x:c r="R61" s="5" t="str">
        <x:v>컴포넌트 갤러리에서 상태별 규격 비교</x:v>
      </x:c>
      <x:c r="S61" s="10" t="str">
        <x:v>자동+수동</x:v>
      </x:c>
      <x:c r="T61" s="5" t="str">
        <x:v>UX·개발·QA</x:v>
      </x:c>
      <x:c r="U61" s="5" t="str">
        <x:v>P1</x:v>
      </x:c>
      <x:c r="V61" s="10" t="str">
        <x:v>구현</x:v>
      </x:c>
      <x:c r="W61" s="5" t="str">
        <x:v>공통 상태·버튼·대화상자와 색상·글꼴·간격·모서리·초점 토큰을 재사용한다.</x:v>
      </x:c>
      <x:c r="X61" s="5" t="str">
        <x:v>apps/web/src/ui.tsx#Badge
apps/web/src/ui.tsx#Modal
packages/ui/tokens.css
apps/web/src/styles.css</x:v>
      </x:c>
      <x:c r="Y61" s="5" t="str">
        <x:v>SCREEN-GALLERY
MAN-UI-010</x:v>
      </x:c>
      <x:c r="Z61" s="10" t="str">
        <x:v>미실행</x:v>
      </x:c>
      <x:c r="AA61" s="10" t="str">
        <x:v>미실행</x:v>
      </x:c>
      <x:c r="AB61" s="5" t="str">
        <x:v>SCREEN-GALLERY-2026-10-20T06-15-00-647Z</x:v>
      </x:c>
      <x:c r="AC61" s="5" t="n">
        <x:v>1</x:v>
      </x:c>
      <x:c r="AD61" s="5" t="n">
        <x:v>2</x:v>
      </x:c>
      <x:c r="AE61" s="10" t="str">
        <x:v>부분확인</x:v>
      </x:c>
      <x:c r="AF61" s="5" t="str"/>
      <x:c r="AG61" s="5" t="str"/>
      <x:c r="AH61" s="5" t="str"/>
      <x:c r="AI61" s="10" t="str">
        <x:v>재확인필요</x:v>
      </x:c>
      <x:c r="AJ61" s="5" t="str">
        <x:f>IF(AND(M61="적용",V61="구현",X61&lt;&gt;"",Y61&lt;&gt;"",AB61&lt;&gt;"",AC61&gt;0,AD61&gt;0,AE61="통과",AF61="",AG61&lt;&gt;"",AH61&lt;&gt;"",OR(S61="자동",S61="수동",S61="자동+수동"),IF(OR(S61="자동",S61="자동+수동"),Z61="통과",TRUE),IF(OR(S61="수동",S61="자동+수동"),AA61="통과",TRUE)),"통과",IF(OR(Z61="실패",AA61="실패",AE61="실패"),"실패","보류"))</x:f>
        <x:v>보류</x:v>
      </x:c>
      <x:c r="AK61" s="5" t="str">
        <x:v>KRDS-SEC-011</x:v>
      </x:c>
      <x:c r="AL61" s="5" t="str"/>
      <x:c r="AM61" s="5" t="str">
        <x:v>입력 v0.1 계획 주석은 original_plan_note에 보존. 최신 구현·시험·증빙은 연결 적용기록을 참조하며 전체 준수·인증을 주장하지 않음.</x:v>
      </x:c>
    </x:row>
    <x:row r="62" ht="26.399999618530273" hidden="0" customHeight="1">
      <x:c r="A62" s="5" t="str">
        <x:v>UI-011</x:v>
      </x:c>
      <x:c r="B62" s="5" t="str">
        <x:v>KRDS UI/UX</x:v>
      </x:c>
      <x:c r="C62" s="5" t="str">
        <x:v>UI 스타일</x:v>
      </x:c>
      <x:c r="D62" s="5" t="str">
        <x:v>레이아웃</x:v>
      </x:c>
      <x:c r="E62" s="5" t="str">
        <x:v>화면 폭에 맞는 정보 계층과 간격 제공</x:v>
      </x:c>
      <x:c r="F62" s="5" t="str">
        <x:v>SRC-001</x:v>
      </x:c>
      <x:c r="G62" s="5" t="str">
        <x:v>2025.08</x:v>
      </x:c>
      <x:c r="H62" s="5" t="str">
        <x:v>디자인 스타일 / 스타일 / 레이아웃</x:v>
      </x:c>
      <x:c r="I62" s="5" t="str">
        <x:v>139-161</x:v>
      </x:c>
      <x:c r="J62" s="5" t="str">
        <x:v>회사 채택안; 원문 의무수준과 별도 관리</x:v>
      </x:c>
      <x:c r="K62" s="5" t="str">
        <x:v>원문 등급 별도 확인</x:v>
      </x:c>
      <x:c r="L62" s="5" t="str">
        <x:v>MUST(안)</x:v>
      </x:c>
      <x:c r="M62" s="10" t="str">
        <x:v>적용</x:v>
      </x:c>
      <x:c r="N62" s="5" t="str">
        <x:v>업무요청 웹 샘플에 채택하는 회사 기준. 실제 이행은 구현 후 판정.</x:v>
      </x:c>
      <x:c r="O62" s="5" t="str">
        <x:v>관련 기능·적용 기관·계약 변경 시 재평가</x:v>
      </x:c>
      <x:c r="P62" s="5" t="str">
        <x:v>S01~S08 / 공통</x:v>
      </x:c>
      <x:c r="Q62" s="5" t="str">
        <x:v>모바일 우선 그리드, 충분한 가장자리 간격, 읽기 순서와 일치하는 DOM 구성</x:v>
      </x:c>
      <x:c r="R62" s="5" t="str">
        <x:v>320 CSS px부터 데스크톱까지 재배치·수평 넘침 점검</x:v>
      </x:c>
      <x:c r="S62" s="10" t="str">
        <x:v>자동+수동</x:v>
      </x:c>
      <x:c r="T62" s="5" t="str">
        <x:v>UX·개발·QA</x:v>
      </x:c>
      <x:c r="U62" s="5" t="str">
        <x:v>P1</x:v>
      </x:c>
      <x:c r="V62" s="10" t="str">
        <x:v>구현</x:v>
      </x:c>
      <x:c r="W62" s="5" t="str">
        <x:v>248px 데스크톱 탐색, 중간 폭 재배치, 700px 이하 접기 메뉴, 단열 모바일 폼과 가로 스크롤 표를 구현한다.</x:v>
      </x:c>
      <x:c r="X62" s="5" t="str">
        <x:v>apps/web/src/styles.css
apps/web/src/App.tsx#App</x:v>
      </x:c>
      <x:c r="Y62" s="5" t="str">
        <x:v>MAN-UI-011</x:v>
      </x:c>
      <x:c r="Z62" s="10" t="str">
        <x:v>미실행</x:v>
      </x:c>
      <x:c r="AA62" s="10" t="str">
        <x:v>미실행</x:v>
      </x:c>
      <x:c r="AB62" s="5" t="str"/>
      <x:c r="AC62" s="5" t="n">
        <x:v>0</x:v>
      </x:c>
      <x:c r="AD62" s="5" t="n">
        <x:v>1</x:v>
      </x:c>
      <x:c r="AE62" s="10" t="str">
        <x:v>미실행</x:v>
      </x:c>
      <x:c r="AF62" s="5" t="str"/>
      <x:c r="AG62" s="5" t="str"/>
      <x:c r="AH62" s="5" t="str"/>
      <x:c r="AI62" s="10" t="str">
        <x:v>재확인필요</x:v>
      </x:c>
      <x:c r="AJ62" s="5" t="str">
        <x:f>IF(AND(M62="적용",V62="구현",X62&lt;&gt;"",Y62&lt;&gt;"",AB62&lt;&gt;"",AC62&gt;0,AD62&gt;0,AE62="통과",AF62="",AG62&lt;&gt;"",AH62&lt;&gt;"",OR(S62="자동",S62="수동",S62="자동+수동"),IF(OR(S62="자동",S62="자동+수동"),Z62="통과",TRUE),IF(OR(S62="수동",S62="자동+수동"),AA62="통과",TRUE)),"통과",IF(OR(Z62="실패",AA62="실패",AE62="실패"),"실패","보류"))</x:f>
        <x:v>보류</x:v>
      </x:c>
      <x:c r="AK62" s="5" t="str">
        <x:v>KRDS-SEC-012</x:v>
      </x:c>
      <x:c r="AL62" s="5" t="str"/>
      <x:c r="AM62" s="5" t="str">
        <x:v>입력 v0.1 계획 주석은 original_plan_note에 보존. 최신 구현·시험·증빙은 연결 적용기록을 참조하며 전체 준수·인증을 주장하지 않음.</x:v>
      </x:c>
    </x:row>
    <x:row r="63" ht="39.599998474121094" hidden="0" customHeight="1">
      <x:c r="A63" s="5" t="str">
        <x:v>UI-012</x:v>
      </x:c>
      <x:c r="B63" s="5" t="str">
        <x:v>KRDS UI/UX</x:v>
      </x:c>
      <x:c r="C63" s="5" t="str">
        <x:v>UI 스타일</x:v>
      </x:c>
      <x:c r="D63" s="5" t="str">
        <x:v>아이콘</x:v>
      </x:c>
      <x:c r="E63" s="5" t="str">
        <x:v>아이콘 의미와 접근 가능한 이름을 제공</x:v>
      </x:c>
      <x:c r="F63" s="5" t="str">
        <x:v>SRC-001</x:v>
      </x:c>
      <x:c r="G63" s="5" t="str">
        <x:v>2025.08</x:v>
      </x:c>
      <x:c r="H63" s="5" t="str">
        <x:v>디자인 스타일 / 스타일 / 아이콘</x:v>
      </x:c>
      <x:c r="I63" s="5" t="str">
        <x:v>162-176</x:v>
      </x:c>
      <x:c r="J63" s="5" t="str">
        <x:v>회사 채택안; 원문 의무수준과 별도 관리</x:v>
      </x:c>
      <x:c r="K63" s="5" t="str">
        <x:v>원문 등급 별도 확인</x:v>
      </x:c>
      <x:c r="L63" s="5" t="str">
        <x:v>MUST(안)</x:v>
      </x:c>
      <x:c r="M63" s="10" t="str">
        <x:v>적용</x:v>
      </x:c>
      <x:c r="N63" s="5" t="str">
        <x:v>업무요청 웹 샘플에 채택하는 회사 기준. 실제 이행은 구현 후 판정.</x:v>
      </x:c>
      <x:c r="O63" s="5" t="str">
        <x:v>관련 기능·적용 기관·계약 변경 시 재평가</x:v>
      </x:c>
      <x:c r="P63" s="5" t="str">
        <x:v>S01~S08 / 공통</x:v>
      </x:c>
      <x:c r="Q63" s="5" t="str">
        <x:v>장식 아이콘은 보조기술에서 제외하고 행동 아이콘에는 명확한 버튼 이름 제공</x:v>
      </x:c>
      <x:c r="R63" s="5" t="str">
        <x:v>접근성 트리의 이름·역할 확인 및 아이콘 단독 이해도 검토</x:v>
      </x:c>
      <x:c r="S63" s="10" t="str">
        <x:v>자동+수동</x:v>
      </x:c>
      <x:c r="T63" s="5" t="str">
        <x:v>UX·개발·QA</x:v>
      </x:c>
      <x:c r="U63" s="5" t="str">
        <x:v>P1</x:v>
      </x:c>
      <x:c r="V63" s="10" t="str">
        <x:v>구현</x:v>
      </x:c>
      <x:c r="W63" s="5" t="str">
        <x:v>Lucide 아이콘과 가시적인 한국어 이름을 병행한다. 아이콘 전용 버튼은 aria-label을 제공하며 복사 버튼 접근명에 보이는 항목 복사 문구를 포함한다.</x:v>
      </x:c>
      <x:c r="X63" s="5" t="str">
        <x:v>apps/web/src/App.tsx#App
apps/web/src/ui.tsx#Badge
apps/web/src/StandardsBrowser.tsx#StandardsBrowser</x:v>
      </x:c>
      <x:c r="Y63" s="5" t="str">
        <x:v>MAN-UI-012</x:v>
      </x:c>
      <x:c r="Z63" s="10" t="str">
        <x:v>미실행</x:v>
      </x:c>
      <x:c r="AA63" s="10" t="str">
        <x:v>미실행</x:v>
      </x:c>
      <x:c r="AB63" s="5" t="str"/>
      <x:c r="AC63" s="5" t="n">
        <x:v>0</x:v>
      </x:c>
      <x:c r="AD63" s="5" t="n">
        <x:v>1</x:v>
      </x:c>
      <x:c r="AE63" s="10" t="str">
        <x:v>미실행</x:v>
      </x:c>
      <x:c r="AF63" s="5" t="str"/>
      <x:c r="AG63" s="5" t="str"/>
      <x:c r="AH63" s="5" t="str"/>
      <x:c r="AI63" s="10" t="str">
        <x:v>재확인필요</x:v>
      </x:c>
      <x:c r="AJ63" s="5" t="str">
        <x:f>IF(AND(M63="적용",V63="구현",X63&lt;&gt;"",Y63&lt;&gt;"",AB63&lt;&gt;"",AC63&gt;0,AD63&gt;0,AE63="통과",AF63="",AG63&lt;&gt;"",AH63&lt;&gt;"",OR(S63="자동",S63="수동",S63="자동+수동"),IF(OR(S63="자동",S63="자동+수동"),Z63="통과",TRUE),IF(OR(S63="수동",S63="자동+수동"),AA63="통과",TRUE)),"통과",IF(OR(Z63="실패",AA63="실패",AE63="실패"),"실패","보류"))</x:f>
        <x:v>보류</x:v>
      </x:c>
      <x:c r="AK63" s="5" t="str">
        <x:v>KRDS-SEC-013</x:v>
      </x:c>
      <x:c r="AL63" s="5" t="str"/>
      <x:c r="AM63" s="5" t="str">
        <x:v>입력 v0.1 계획 주석은 original_plan_note에 보존. 최신 구현·시험·증빙은 연결 적용기록을 참조하며 전체 준수·인증을 주장하지 않음.</x:v>
      </x:c>
    </x:row>
    <x:row r="64" ht="26.399999618530273" hidden="0" customHeight="1">
      <x:c r="A64" s="5" t="str">
        <x:v>UI-013</x:v>
      </x:c>
      <x:c r="B64" s="5" t="str">
        <x:v>KRDS UI/UX</x:v>
      </x:c>
      <x:c r="C64" s="5" t="str">
        <x:v>UI 스타일</x:v>
      </x:c>
      <x:c r="D64" s="5" t="str">
        <x:v>엘리베이션</x:v>
      </x:c>
      <x:c r="E64" s="5" t="str">
        <x:v>층위 표현이 콘텐츠 식별을 방해하지 않게 함</x:v>
      </x:c>
      <x:c r="F64" s="5" t="str">
        <x:v>SRC-001</x:v>
      </x:c>
      <x:c r="G64" s="5" t="str">
        <x:v>2025.08</x:v>
      </x:c>
      <x:c r="H64" s="5" t="str">
        <x:v>디자인 스타일 / 스타일 / 엘리베이션</x:v>
      </x:c>
      <x:c r="I64" s="5" t="str">
        <x:v>177-191</x:v>
      </x:c>
      <x:c r="J64" s="5" t="str">
        <x:v>회사 채택안; 원문 의무수준과 별도 관리</x:v>
      </x:c>
      <x:c r="K64" s="5" t="str">
        <x:v>원문 등급 별도 확인</x:v>
      </x:c>
      <x:c r="L64" s="5" t="str">
        <x:v>MUST(안)</x:v>
      </x:c>
      <x:c r="M64" s="10" t="str">
        <x:v>적용</x:v>
      </x:c>
      <x:c r="N64" s="5" t="str">
        <x:v>업무요청 웹 샘플에 채택하는 회사 기준. 실제 이행은 구현 후 판정.</x:v>
      </x:c>
      <x:c r="O64" s="5" t="str">
        <x:v>관련 기능·적용 기관·계약 변경 시 재평가</x:v>
      </x:c>
      <x:c r="P64" s="5" t="str">
        <x:v>S01~S08 / 공통</x:v>
      </x:c>
      <x:c r="Q64" s="5" t="str">
        <x:v>모달·팝오버·고정영역의 계층과 그림자를 토큰화하고 고대비 모드에서는 테두리 보완</x:v>
      </x:c>
      <x:c r="R64" s="5" t="str">
        <x:v>중첩 요소·초점 가림·강제 색상 모드 점검</x:v>
      </x:c>
      <x:c r="S64" s="10" t="str">
        <x:v>자동+수동</x:v>
      </x:c>
      <x:c r="T64" s="5" t="str">
        <x:v>UX·개발·QA</x:v>
      </x:c>
      <x:c r="U64" s="5" t="str">
        <x:v>P1</x:v>
      </x:c>
      <x:c r="V64" s="10" t="str">
        <x:v>구현</x:v>
      </x:c>
      <x:c r="W64" s="5" t="str">
        <x:v>카드 그림자와 모달 층위를 정의하고 dialog backdrop으로 배경과 분리한다. 그림자가 없어도 테두리와 제목으로 정보를 구분한다.</x:v>
      </x:c>
      <x:c r="X64" s="5" t="str">
        <x:v>apps/web/src/styles.css
apps/web/src/ui.tsx#Modal</x:v>
      </x:c>
      <x:c r="Y64" s="5" t="str">
        <x:v>MAN-UI-013</x:v>
      </x:c>
      <x:c r="Z64" s="10" t="str">
        <x:v>미실행</x:v>
      </x:c>
      <x:c r="AA64" s="10" t="str">
        <x:v>미실행</x:v>
      </x:c>
      <x:c r="AB64" s="5" t="str"/>
      <x:c r="AC64" s="5" t="n">
        <x:v>0</x:v>
      </x:c>
      <x:c r="AD64" s="5" t="n">
        <x:v>1</x:v>
      </x:c>
      <x:c r="AE64" s="10" t="str">
        <x:v>미실행</x:v>
      </x:c>
      <x:c r="AF64" s="5" t="str"/>
      <x:c r="AG64" s="5" t="str"/>
      <x:c r="AH64" s="5" t="str"/>
      <x:c r="AI64" s="10" t="str">
        <x:v>재확인필요</x:v>
      </x:c>
      <x:c r="AJ64" s="5" t="str">
        <x:f>IF(AND(M64="적용",V64="구현",X64&lt;&gt;"",Y64&lt;&gt;"",AB64&lt;&gt;"",AC64&gt;0,AD64&gt;0,AE64="통과",AF64="",AG64&lt;&gt;"",AH64&lt;&gt;"",OR(S64="자동",S64="수동",S64="자동+수동"),IF(OR(S64="자동",S64="자동+수동"),Z64="통과",TRUE),IF(OR(S64="수동",S64="자동+수동"),AA64="통과",TRUE)),"통과",IF(OR(Z64="실패",AA64="실패",AE64="실패"),"실패","보류"))</x:f>
        <x:v>보류</x:v>
      </x:c>
      <x:c r="AK64" s="5" t="str">
        <x:v>KRDS-SEC-014</x:v>
      </x:c>
      <x:c r="AL64" s="5" t="str"/>
      <x:c r="AM64" s="5" t="str">
        <x:v>입력 v0.1 계획 주석은 original_plan_note에 보존. 최신 구현·시험·증빙은 연결 적용기록을 참조하며 전체 준수·인증을 주장하지 않음.</x:v>
      </x:c>
    </x:row>
    <x:row r="65" ht="26.399999618530273" hidden="0" customHeight="1">
      <x:c r="A65" s="5" t="str">
        <x:v>UI-014</x:v>
      </x:c>
      <x:c r="B65" s="5" t="str">
        <x:v>KRDS UI/UX</x:v>
      </x:c>
      <x:c r="C65" s="5" t="str">
        <x:v>UI 스타일</x:v>
      </x:c>
      <x:c r="D65" s="5" t="str">
        <x:v>선명한 화면 모드</x:v>
      </x:c>
      <x:c r="E65" s="5" t="str">
        <x:v>선명한 모드에서도 모든 정보와 기능을 유지</x:v>
      </x:c>
      <x:c r="F65" s="5" t="str">
        <x:v>SRC-001</x:v>
      </x:c>
      <x:c r="G65" s="5" t="str">
        <x:v>2025.08</x:v>
      </x:c>
      <x:c r="H65" s="5" t="str">
        <x:v>디자인 스타일 / 스타일 / 선명한 화면 모드</x:v>
      </x:c>
      <x:c r="I65" s="5" t="str">
        <x:v>192-204</x:v>
      </x:c>
      <x:c r="J65" s="5" t="str">
        <x:v>회사 채택안; 원문 의무수준과 별도 관리</x:v>
      </x:c>
      <x:c r="K65" s="5" t="str">
        <x:v>원문 등급 별도 확인</x:v>
      </x:c>
      <x:c r="L65" s="5" t="str">
        <x:v>MUST(안)</x:v>
      </x:c>
      <x:c r="M65" s="10" t="str">
        <x:v>적용</x:v>
      </x:c>
      <x:c r="N65" s="5" t="str">
        <x:v>업무요청 웹 샘플에 채택하는 회사 기준. 실제 이행은 구현 후 판정.</x:v>
      </x:c>
      <x:c r="O65" s="5" t="str">
        <x:v>관련 기능·적용 기관·계약 변경 시 재평가</x:v>
      </x:c>
      <x:c r="P65" s="5" t="str">
        <x:v>S01~S08 / 공통</x:v>
      </x:c>
      <x:c r="Q65" s="5" t="str">
        <x:v>일반/선명한 모드를 공통 토큰으로 전환하고 본문15:1·헤딩/레이블/아이콘7:1·보조수단4.5:1 기준을 역할별 채택</x:v>
      </x:c>
      <x:c r="R65" s="5" t="str">
        <x:v>각 역할의 실제 대비를 계산하고 페이지 전환 후 모드 유지 확인</x:v>
      </x:c>
      <x:c r="S65" s="10" t="str">
        <x:v>자동+수동</x:v>
      </x:c>
      <x:c r="T65" s="5" t="str">
        <x:v>UX·개발·QA</x:v>
      </x:c>
      <x:c r="U65" s="5" t="str">
        <x:v>P1</x:v>
      </x:c>
      <x:c r="V65" s="10" t="str">
        <x:v>계획</x:v>
      </x:c>
      <x:c r="W65" s="5" t="str">
        <x:v>별도의 선명한 화면 모드를 제공하지 않는다. 기본 화면 접근성·시스템 forced-colors 대응만 구현했으며, KRDS 역할별 강화 대비15:1/7:1/4.5:1 테마는 구현·실측하지 않았다.</x:v>
      </x:c>
      <x:c r="X65" s="5" t="str"/>
      <x:c r="Y65" s="5" t="str">
        <x:v>MAN-UI-014</x:v>
      </x:c>
      <x:c r="Z65" s="10" t="str">
        <x:v>미실행</x:v>
      </x:c>
      <x:c r="AA65" s="10" t="str">
        <x:v>미실행</x:v>
      </x:c>
      <x:c r="AB65" s="5" t="str"/>
      <x:c r="AC65" s="5" t="n">
        <x:v>0</x:v>
      </x:c>
      <x:c r="AD65" s="5" t="n">
        <x:v>1</x:v>
      </x:c>
      <x:c r="AE65" s="10" t="str">
        <x:v>미실행</x:v>
      </x:c>
      <x:c r="AF65" s="5" t="str"/>
      <x:c r="AG65" s="5" t="str"/>
      <x:c r="AH65" s="5" t="str"/>
      <x:c r="AI65" s="10" t="str">
        <x:v>재확인필요</x:v>
      </x:c>
      <x:c r="AJ65" s="5" t="str">
        <x:f>IF(AND(M65="적용",V65="구현",X65&lt;&gt;"",Y65&lt;&gt;"",AB65&lt;&gt;"",AC65&gt;0,AD65&gt;0,AE65="통과",AF65="",AG65&lt;&gt;"",AH65&lt;&gt;"",OR(S65="자동",S65="수동",S65="자동+수동"),IF(OR(S65="자동",S65="자동+수동"),Z65="통과",TRUE),IF(OR(S65="수동",S65="자동+수동"),AA65="통과",TRUE)),"통과",IF(OR(Z65="실패",AA65="실패",AE65="실패"),"실패","보류"))</x:f>
        <x:v>보류</x:v>
      </x:c>
      <x:c r="AK65" s="5" t="str">
        <x:v>KRDS-SEC-015</x:v>
      </x:c>
      <x:c r="AL65" s="5" t="str"/>
      <x:c r="AM65" s="5" t="str">
        <x:v>입력 v0.1 계획 주석은 original_plan_note에 보존. 최신 구현·시험·증빙은 연결 적용기록을 참조하며 전체 준수·인증을 주장하지 않음.</x:v>
      </x:c>
    </x:row>
    <x:row r="66" ht="52.79999923706055" hidden="0" customHeight="1">
      <x:c r="A66" s="5" t="str">
        <x:v>UI-015</x:v>
      </x:c>
      <x:c r="B66" s="5" t="str">
        <x:v>KRDS UI/UX</x:v>
      </x:c>
      <x:c r="C66" s="5" t="str">
        <x:v>UI 스타일</x:v>
      </x:c>
      <x:c r="D66" s="5" t="str">
        <x:v>디자인 토큰</x:v>
      </x:c>
      <x:c r="E66" s="5" t="str">
        <x:v>스타일 값을 재사용 가능한 변수로 관리</x:v>
      </x:c>
      <x:c r="F66" s="5" t="str">
        <x:v>SRC-001</x:v>
      </x:c>
      <x:c r="G66" s="5" t="str">
        <x:v>2025.08</x:v>
      </x:c>
      <x:c r="H66" s="5" t="str">
        <x:v>디자인 스타일 / 스타일 / 디자인 토큰</x:v>
      </x:c>
      <x:c r="I66" s="5" t="str">
        <x:v>205-219</x:v>
      </x:c>
      <x:c r="J66" s="5" t="str">
        <x:v>회사 채택안; 원문 의무수준과 별도 관리</x:v>
      </x:c>
      <x:c r="K66" s="5" t="str">
        <x:v>원문 등급 별도 확인</x:v>
      </x:c>
      <x:c r="L66" s="5" t="str">
        <x:v>MUST(안)</x:v>
      </x:c>
      <x:c r="M66" s="10" t="str">
        <x:v>적용</x:v>
      </x:c>
      <x:c r="N66" s="5" t="str">
        <x:v>업무요청 웹 샘플에 채택하는 회사 기준. 실제 이행은 구현 후 판정.</x:v>
      </x:c>
      <x:c r="O66" s="5" t="str">
        <x:v>관련 기능·적용 기관·계약 변경 시 재평가</x:v>
      </x:c>
      <x:c r="P66" s="5" t="str">
        <x:v>S01~S08 / 공통</x:v>
      </x:c>
      <x:c r="Q66" s="5" t="str">
        <x:v>원시 토큰·의미 토큰·컴포넌트 토큰을 분리하고 직접 색상값 사용을 제한</x:v>
      </x:c>
      <x:c r="R66" s="5" t="str">
        <x:v>토큰 정의와 컴포넌트 참조를 정적 검사</x:v>
      </x:c>
      <x:c r="S66" s="10" t="str">
        <x:v>자동+수동</x:v>
      </x:c>
      <x:c r="T66" s="5" t="str">
        <x:v>UX·개발·QA</x:v>
      </x:c>
      <x:c r="U66" s="5" t="str">
        <x:v>P1</x:v>
      </x:c>
      <x:c r="V66" s="10" t="str">
        <x:v>구현</x:v>
      </x:c>
      <x:c r="W66" s="5" t="str">
        <x:v>공통 상태·버튼·대화상자와 색상·글꼴·간격·모서리·초점 토큰을 재사용한다.</x:v>
      </x:c>
      <x:c r="X66" s="5" t="str">
        <x:v>apps/web/src/ui.tsx#Badge
apps/web/src/ui.tsx#Modal
packages/ui/tokens.css
apps/web/src/styles.css</x:v>
      </x:c>
      <x:c r="Y66" s="5" t="str">
        <x:v>MAN-UI-015</x:v>
      </x:c>
      <x:c r="Z66" s="10" t="str">
        <x:v>미실행</x:v>
      </x:c>
      <x:c r="AA66" s="10" t="str">
        <x:v>미실행</x:v>
      </x:c>
      <x:c r="AB66" s="5" t="str"/>
      <x:c r="AC66" s="5" t="n">
        <x:v>0</x:v>
      </x:c>
      <x:c r="AD66" s="5" t="n">
        <x:v>1</x:v>
      </x:c>
      <x:c r="AE66" s="10" t="str">
        <x:v>미실행</x:v>
      </x:c>
      <x:c r="AF66" s="5" t="str"/>
      <x:c r="AG66" s="5" t="str"/>
      <x:c r="AH66" s="5" t="str"/>
      <x:c r="AI66" s="10" t="str">
        <x:v>재확인필요</x:v>
      </x:c>
      <x:c r="AJ66" s="5" t="str">
        <x:f>IF(AND(M66="적용",V66="구현",X66&lt;&gt;"",Y66&lt;&gt;"",AB66&lt;&gt;"",AC66&gt;0,AD66&gt;0,AE66="통과",AF66="",AG66&lt;&gt;"",AH66&lt;&gt;"",OR(S66="자동",S66="수동",S66="자동+수동"),IF(OR(S66="자동",S66="자동+수동"),Z66="통과",TRUE),IF(OR(S66="수동",S66="자동+수동"),AA66="통과",TRUE)),"통과",IF(OR(Z66="실패",AA66="실패",AE66="실패"),"실패","보류"))</x:f>
        <x:v>보류</x:v>
      </x:c>
      <x:c r="AK66" s="5" t="str">
        <x:v>KRDS-SEC-016</x:v>
      </x:c>
      <x:c r="AL66" s="5" t="str"/>
      <x:c r="AM66" s="5" t="str">
        <x:v>입력 v0.1 계획 주석은 original_plan_note에 보존. 최신 구현·시험·증빙은 연결 적용기록을 참조하며 전체 준수·인증을 주장하지 않음.</x:v>
      </x:c>
    </x:row>
    <x:row r="67" ht="26.399999618530273" hidden="0" customHeight="1">
      <x:c r="A67" s="5" t="str">
        <x:v>UI-016</x:v>
      </x:c>
      <x:c r="B67" s="5" t="str">
        <x:v>KRDS UI/UX</x:v>
      </x:c>
      <x:c r="C67" s="5" t="str">
        <x:v>UI 컴포넌트</x:v>
      </x:c>
      <x:c r="D67" s="5" t="str">
        <x:v>공식 배너</x:v>
      </x:c>
      <x:c r="E67" s="5" t="str">
        <x:v>회사 샘플에 정부 공식 배너를 표시하지 않음</x:v>
      </x:c>
      <x:c r="F67" s="5" t="str">
        <x:v>SRC-001</x:v>
      </x:c>
      <x:c r="G67" s="5" t="str">
        <x:v>2025.08</x:v>
      </x:c>
      <x:c r="H67" s="5" t="str">
        <x:v>컴포넌트 / 아이덴티티 / 공식 배너</x:v>
      </x:c>
      <x:c r="I67" s="5" t="str">
        <x:v>220-226</x:v>
      </x:c>
      <x:c r="J67" s="5" t="str">
        <x:v>회사 채택안; 원문 의무수준과 별도 관리</x:v>
      </x:c>
      <x:c r="K67" s="5" t="str">
        <x:v>원문 등급 별도 확인</x:v>
      </x:c>
      <x:c r="L67" s="5" t="str">
        <x:v>대상외</x:v>
      </x:c>
      <x:c r="M67" s="10" t="str">
        <x:v>해당없음</x:v>
      </x:c>
      <x:c r="N67" s="5" t="str">
        <x:v>현재 회사 자체 브랜드 웹 샘플 범위와 맞지 않음. 근거를 유지하고 범위 변경 시 재평가.</x:v>
      </x:c>
      <x:c r="O67" s="5" t="str">
        <x:v>현재 회사 자체 브랜드 웹 샘플 범위와 맞지 않음. 근거를 유지하고 범위 변경 시 재평가.</x:v>
      </x:c>
      <x:c r="P67" s="5" t="str">
        <x:v>S01~S08 / 공통</x:v>
      </x:c>
      <x:c r="Q67" s="5" t="str">
        <x:v>정부 공식서비스임을 나타내는 문구·정부상징을 넣지 않고 회사 브랜드만 사용</x:v>
      </x:c>
      <x:c r="R67" s="5" t="str">
        <x:v>화면·정적 자산에서 정부 배너 및 오인 문구 부재 확인</x:v>
      </x:c>
      <x:c r="S67" s="10" t="str">
        <x:v>수동</x:v>
      </x:c>
      <x:c r="T67" s="5" t="str">
        <x:v>UX·개발·QA</x:v>
      </x:c>
      <x:c r="U67" s="5" t="str">
        <x:v>P0</x:v>
      </x:c>
      <x:c r="V67" s="10" t="str">
        <x:v>해당없음</x:v>
      </x:c>
      <x:c r="W67" s="5" t="str">
        <x:v>가상 회사 브랜드 FlowCore만 표시하며 정부 배너·운영기관 로고는 사용하지 않는다. 실제 공공 서비스 전환 시 권한과 자산 규칙을 재검토한다.</x:v>
      </x:c>
      <x:c r="X67" s="5" t="str">
        <x:v>apps/web/src/App.tsx#App</x:v>
      </x:c>
      <x:c r="Y67" s="5" t="str">
        <x:v>MAN-UI-016</x:v>
      </x:c>
      <x:c r="Z67" s="10" t="str">
        <x:v>미실행</x:v>
      </x:c>
      <x:c r="AA67" s="10" t="str">
        <x:v>미실행</x:v>
      </x:c>
      <x:c r="AB67" s="5" t="str"/>
      <x:c r="AC67" s="5" t="n">
        <x:v>0</x:v>
      </x:c>
      <x:c r="AD67" s="5" t="n">
        <x:v>1</x:v>
      </x:c>
      <x:c r="AE67" s="10" t="str">
        <x:v>해당없음</x:v>
      </x:c>
      <x:c r="AF67" s="5" t="str"/>
      <x:c r="AG67" s="5" t="str"/>
      <x:c r="AH67" s="5" t="str"/>
      <x:c r="AI67" s="10" t="str">
        <x:v>재확인필요</x:v>
      </x:c>
      <x:c r="AJ67" s="5" t="str">
        <x:f>IF(AND(M67="적용",V67="구현",X67&lt;&gt;"",Y67&lt;&gt;"",AB67&lt;&gt;"",AC67&gt;0,AD67&gt;0,AE67="통과",AF67="",AG67&lt;&gt;"",AH67&lt;&gt;"",OR(S67="자동",S67="수동",S67="자동+수동"),IF(OR(S67="자동",S67="자동+수동"),Z67="통과",TRUE),IF(OR(S67="수동",S67="자동+수동"),AA67="통과",TRUE)),"통과",IF(OR(Z67="실패",AA67="실패",AE67="실패"),"실패","보류"))</x:f>
        <x:v>보류</x:v>
      </x:c>
      <x:c r="AK67" s="5" t="str">
        <x:v>KRDS-SEC-017</x:v>
      </x:c>
      <x:c r="AL67" s="5" t="str"/>
      <x:c r="AM67" s="5" t="str">
        <x:v>입력 v0.1 계획 주석은 original_plan_note에 보존. 최신 구현·시험·증빙은 연결 적용기록을 참조하며 전체 준수·인증을 주장하지 않음.</x:v>
      </x:c>
    </x:row>
    <x:row r="68" ht="26.399999618530273" hidden="0" customHeight="1">
      <x:c r="A68" s="5" t="str">
        <x:v>UI-017</x:v>
      </x:c>
      <x:c r="B68" s="5" t="str">
        <x:v>KRDS UI/UX</x:v>
      </x:c>
      <x:c r="C68" s="5" t="str">
        <x:v>UI 컴포넌트</x:v>
      </x:c>
      <x:c r="D68" s="5" t="str">
        <x:v>운영기관 식별자</x:v>
      </x:c>
      <x:c r="E68" s="5" t="str">
        <x:v>회사 샘플에 정부 운영기관 식별자를 사용하지 않음</x:v>
      </x:c>
      <x:c r="F68" s="5" t="str">
        <x:v>SRC-001</x:v>
      </x:c>
      <x:c r="G68" s="5" t="str">
        <x:v>2025.08</x:v>
      </x:c>
      <x:c r="H68" s="5" t="str">
        <x:v>컴포넌트 / 아이덴티티 / 운영기관 식별자</x:v>
      </x:c>
      <x:c r="I68" s="5" t="str">
        <x:v>227-232</x:v>
      </x:c>
      <x:c r="J68" s="5" t="str">
        <x:v>회사 채택안; 원문 의무수준과 별도 관리</x:v>
      </x:c>
      <x:c r="K68" s="5" t="str">
        <x:v>원문 등급 별도 확인</x:v>
      </x:c>
      <x:c r="L68" s="5" t="str">
        <x:v>대상외</x:v>
      </x:c>
      <x:c r="M68" s="10" t="str">
        <x:v>해당없음</x:v>
      </x:c>
      <x:c r="N68" s="5" t="str">
        <x:v>현재 회사 자체 브랜드 웹 샘플 범위와 맞지 않음. 근거를 유지하고 범위 변경 시 재평가.</x:v>
      </x:c>
      <x:c r="O68" s="5" t="str">
        <x:v>현재 회사 자체 브랜드 웹 샘플 범위와 맞지 않음. 근거를 유지하고 범위 변경 시 재평가.</x:v>
      </x:c>
      <x:c r="P68" s="5" t="str">
        <x:v>S01~S08 / 공통</x:v>
      </x:c>
      <x:c r="Q68" s="5" t="str">
        <x:v>회사 정보는 일반 푸터로 표시; 공공 프로젝트 프로필에서만 운영기관 식별자 검토</x:v>
      </x:c>
      <x:c r="R68" s="5" t="str">
        <x:v>정부서비스로 오인할 식별자·상위기관 로고 부재 확인</x:v>
      </x:c>
      <x:c r="S68" s="10" t="str">
        <x:v>수동</x:v>
      </x:c>
      <x:c r="T68" s="5" t="str">
        <x:v>UX·개발·QA</x:v>
      </x:c>
      <x:c r="U68" s="5" t="str">
        <x:v>P0</x:v>
      </x:c>
      <x:c r="V68" s="10" t="str">
        <x:v>해당없음</x:v>
      </x:c>
      <x:c r="W68" s="5" t="str">
        <x:v>가상 회사 브랜드 FlowCore만 표시하며 정부 배너·운영기관 로고는 사용하지 않는다. 실제 공공 서비스 전환 시 권한과 자산 규칙을 재검토한다.</x:v>
      </x:c>
      <x:c r="X68" s="5" t="str">
        <x:v>apps/web/src/App.tsx#App</x:v>
      </x:c>
      <x:c r="Y68" s="5" t="str">
        <x:v>MAN-UI-017</x:v>
      </x:c>
      <x:c r="Z68" s="10" t="str">
        <x:v>미실행</x:v>
      </x:c>
      <x:c r="AA68" s="10" t="str">
        <x:v>미실행</x:v>
      </x:c>
      <x:c r="AB68" s="5" t="str"/>
      <x:c r="AC68" s="5" t="n">
        <x:v>0</x:v>
      </x:c>
      <x:c r="AD68" s="5" t="n">
        <x:v>1</x:v>
      </x:c>
      <x:c r="AE68" s="10" t="str">
        <x:v>해당없음</x:v>
      </x:c>
      <x:c r="AF68" s="5" t="str"/>
      <x:c r="AG68" s="5" t="str"/>
      <x:c r="AH68" s="5" t="str"/>
      <x:c r="AI68" s="10" t="str">
        <x:v>재확인필요</x:v>
      </x:c>
      <x:c r="AJ68" s="5" t="str">
        <x:f>IF(AND(M68="적용",V68="구현",X68&lt;&gt;"",Y68&lt;&gt;"",AB68&lt;&gt;"",AC68&gt;0,AD68&gt;0,AE68="통과",AF68="",AG68&lt;&gt;"",AH68&lt;&gt;"",OR(S68="자동",S68="수동",S68="자동+수동"),IF(OR(S68="자동",S68="자동+수동"),Z68="통과",TRUE),IF(OR(S68="수동",S68="자동+수동"),AA68="통과",TRUE)),"통과",IF(OR(Z68="실패",AA68="실패",AE68="실패"),"실패","보류"))</x:f>
        <x:v>보류</x:v>
      </x:c>
      <x:c r="AK68" s="5" t="str">
        <x:v>KRDS-SEC-018</x:v>
      </x:c>
      <x:c r="AL68" s="5" t="str"/>
      <x:c r="AM68" s="5" t="str">
        <x:v>입력 v0.1 계획 주석은 original_plan_note에 보존. 최신 구현·시험·증빙은 연결 적용기록을 참조하며 전체 준수·인증을 주장하지 않음.</x:v>
      </x:c>
    </x:row>
    <x:row r="69" ht="26.399999618530273" hidden="0" customHeight="1">
      <x:c r="A69" s="5" t="str">
        <x:v>UI-018</x:v>
      </x:c>
      <x:c r="B69" s="5" t="str">
        <x:v>KRDS UI/UX</x:v>
      </x:c>
      <x:c r="C69" s="5" t="str">
        <x:v>UI 컴포넌트</x:v>
      </x:c>
      <x:c r="D69" s="5" t="str">
        <x:v>헤더</x:v>
      </x:c>
      <x:c r="E69" s="5" t="str">
        <x:v>일관된 탐색과 서비스 식별 제공</x:v>
      </x:c>
      <x:c r="F69" s="5" t="str">
        <x:v>SRC-001</x:v>
      </x:c>
      <x:c r="G69" s="5" t="str">
        <x:v>2025.08</x:v>
      </x:c>
      <x:c r="H69" s="5" t="str">
        <x:v>컴포넌트 / 아이덴티티 / 헤더</x:v>
      </x:c>
      <x:c r="I69" s="5" t="str">
        <x:v>233-245</x:v>
      </x:c>
      <x:c r="J69" s="5" t="str">
        <x:v>회사 채택안; 원문 의무수준과 별도 관리</x:v>
      </x:c>
      <x:c r="K69" s="5" t="str">
        <x:v>원문 등급 별도 확인</x:v>
      </x:c>
      <x:c r="L69" s="5" t="str">
        <x:v>MUST(안)</x:v>
      </x:c>
      <x:c r="M69" s="10" t="str">
        <x:v>적용</x:v>
      </x:c>
      <x:c r="N69" s="5" t="str">
        <x:v>업무요청 웹 샘플에 채택하는 회사 기준. 실제 이행은 구현 후 판정.</x:v>
      </x:c>
      <x:c r="O69" s="5" t="str">
        <x:v>관련 기능·적용 기관·계약 변경 시 재평가</x:v>
      </x:c>
      <x:c r="P69" s="5" t="str">
        <x:v>S01, S05</x:v>
      </x:c>
      <x:c r="Q69" s="5" t="str">
        <x:v>회사 로고·주요 메뉴·검색·로그인 상태를 일관되게 배치하고 좁은 화면에서 축약</x:v>
      </x:c>
      <x:c r="R69" s="5" t="str">
        <x:v>모든 경로의 헤더·키보드 메뉴·고정영역 가림 점검</x:v>
      </x:c>
      <x:c r="S69" s="10" t="str">
        <x:v>자동+수동</x:v>
      </x:c>
      <x:c r="T69" s="5" t="str">
        <x:v>UX·개발·QA</x:v>
      </x:c>
      <x:c r="U69" s="5" t="str">
        <x:v>P1</x:v>
      </x:c>
      <x:c r="V69" s="10" t="str">
        <x:v>구현</x:v>
      </x:c>
      <x:c r="W69" s="5" t="str">
        <x:v>고정된 서비스 이름과 주요·자료 탐색 메뉴를 공통 App shell에 배치하고 현재 항목 aria-current 및 시각 상태를 제공한다.</x:v>
      </x:c>
      <x:c r="X69" s="5" t="str">
        <x:v>apps/web/src/App.tsx#App</x:v>
      </x:c>
      <x:c r="Y69" s="5" t="str">
        <x:v>MAN-UI-018</x:v>
      </x:c>
      <x:c r="Z69" s="10" t="str">
        <x:v>미실행</x:v>
      </x:c>
      <x:c r="AA69" s="10" t="str">
        <x:v>미실행</x:v>
      </x:c>
      <x:c r="AB69" s="5" t="str"/>
      <x:c r="AC69" s="5" t="n">
        <x:v>0</x:v>
      </x:c>
      <x:c r="AD69" s="5" t="n">
        <x:v>1</x:v>
      </x:c>
      <x:c r="AE69" s="10" t="str">
        <x:v>미실행</x:v>
      </x:c>
      <x:c r="AF69" s="5" t="str"/>
      <x:c r="AG69" s="5" t="str"/>
      <x:c r="AH69" s="5" t="str"/>
      <x:c r="AI69" s="10" t="str">
        <x:v>재확인필요</x:v>
      </x:c>
      <x:c r="AJ69" s="5" t="str">
        <x:f>IF(AND(M69="적용",V69="구현",X69&lt;&gt;"",Y69&lt;&gt;"",AB69&lt;&gt;"",AC69&gt;0,AD69&gt;0,AE69="통과",AF69="",AG69&lt;&gt;"",AH69&lt;&gt;"",OR(S69="자동",S69="수동",S69="자동+수동"),IF(OR(S69="자동",S69="자동+수동"),Z69="통과",TRUE),IF(OR(S69="수동",S69="자동+수동"),AA69="통과",TRUE)),"통과",IF(OR(Z69="실패",AA69="실패",AE69="실패"),"실패","보류"))</x:f>
        <x:v>보류</x:v>
      </x:c>
      <x:c r="AK69" s="5" t="str">
        <x:v>KRDS-SEC-019</x:v>
      </x:c>
      <x:c r="AL69" s="5" t="str"/>
      <x:c r="AM69" s="5" t="str">
        <x:v>입력 v0.1 계획 주석은 original_plan_note에 보존. 최신 구현·시험·증빙은 연결 적용기록을 참조하며 전체 준수·인증을 주장하지 않음.</x:v>
      </x:c>
    </x:row>
    <x:row r="70" ht="39.599998474121094" hidden="0" customHeight="1">
      <x:c r="A70" s="5" t="str">
        <x:v>UI-019</x:v>
      </x:c>
      <x:c r="B70" s="5" t="str">
        <x:v>KRDS UI/UX</x:v>
      </x:c>
      <x:c r="C70" s="5" t="str">
        <x:v>UI 컴포넌트</x:v>
      </x:c>
      <x:c r="D70" s="5" t="str">
        <x:v>푸터</x:v>
      </x:c>
      <x:c r="E70" s="5" t="str">
        <x:v>운영·문의·정책 정보를 쉽게 찾게 함</x:v>
      </x:c>
      <x:c r="F70" s="5" t="str">
        <x:v>SRC-001</x:v>
      </x:c>
      <x:c r="G70" s="5" t="str">
        <x:v>2025.08</x:v>
      </x:c>
      <x:c r="H70" s="5" t="str">
        <x:v>컴포넌트 / 아이덴티티 / 푸터</x:v>
      </x:c>
      <x:c r="I70" s="5" t="str">
        <x:v>246-253</x:v>
      </x:c>
      <x:c r="J70" s="5" t="str">
        <x:v>회사 채택안; 원문 의무수준과 별도 관리</x:v>
      </x:c>
      <x:c r="K70" s="5" t="str">
        <x:v>원문 등급 별도 확인</x:v>
      </x:c>
      <x:c r="L70" s="5" t="str">
        <x:v>MUST(안)</x:v>
      </x:c>
      <x:c r="M70" s="10" t="str">
        <x:v>적용</x:v>
      </x:c>
      <x:c r="N70" s="5" t="str">
        <x:v>업무요청 웹 샘플에 채택하는 회사 기준. 실제 이행은 구현 후 판정.</x:v>
      </x:c>
      <x:c r="O70" s="5" t="str">
        <x:v>관련 기능·적용 기관·계약 변경 시 재평가</x:v>
      </x:c>
      <x:c r="P70" s="5" t="str">
        <x:v>S01~S08 / 공통</x:v>
      </x:c>
      <x:c r="Q70" s="5" t="str">
        <x:v>footer 랜드마크에 회사 정보와 문의 링크, 시각적으로 구분한 개인정보 처리방침 제공</x:v>
      </x:c>
      <x:c r="R70" s="5" t="str">
        <x:v>본문이 짧거나 긴 화면에서 위치·링크·보조기술 확인</x:v>
      </x:c>
      <x:c r="S70" s="10" t="str">
        <x:v>자동+수동</x:v>
      </x:c>
      <x:c r="T70" s="5" t="str">
        <x:v>UX·개발·QA</x:v>
      </x:c>
      <x:c r="U70" s="5" t="str">
        <x:v>P1</x:v>
      </x:c>
      <x:c r="V70" s="10" t="str">
        <x:v>구현</x:v>
      </x:c>
      <x:c r="W70" s="5" t="str">
        <x:v>푸터의 개인정보 처리방침을 굵은 텍스트로 구분하고 실제 샘플 데이터 처리 안내와 접근성 도움말 페이지에 연결한다.</x:v>
      </x:c>
      <x:c r="X70" s="5" t="str">
        <x:v>apps/web/src/App.tsx#App
apps/web/src/App.tsx#Privacy
apps/web/src/styles.css</x:v>
      </x:c>
      <x:c r="Y70" s="5" t="str">
        <x:v>MAN-UI-019</x:v>
      </x:c>
      <x:c r="Z70" s="10" t="str">
        <x:v>미실행</x:v>
      </x:c>
      <x:c r="AA70" s="10" t="str">
        <x:v>미실행</x:v>
      </x:c>
      <x:c r="AB70" s="5" t="str"/>
      <x:c r="AC70" s="5" t="n">
        <x:v>0</x:v>
      </x:c>
      <x:c r="AD70" s="5" t="n">
        <x:v>1</x:v>
      </x:c>
      <x:c r="AE70" s="10" t="str">
        <x:v>미실행</x:v>
      </x:c>
      <x:c r="AF70" s="5" t="str"/>
      <x:c r="AG70" s="5" t="str"/>
      <x:c r="AH70" s="5" t="str"/>
      <x:c r="AI70" s="10" t="str">
        <x:v>재확인필요</x:v>
      </x:c>
      <x:c r="AJ70" s="5" t="str">
        <x:f>IF(AND(M70="적용",V70="구현",X70&lt;&gt;"",Y70&lt;&gt;"",AB70&lt;&gt;"",AC70&gt;0,AD70&gt;0,AE70="통과",AF70="",AG70&lt;&gt;"",AH70&lt;&gt;"",OR(S70="자동",S70="수동",S70="자동+수동"),IF(OR(S70="자동",S70="자동+수동"),Z70="통과",TRUE),IF(OR(S70="수동",S70="자동+수동"),AA70="통과",TRUE)),"통과",IF(OR(Z70="실패",AA70="실패",AE70="실패"),"실패","보류"))</x:f>
        <x:v>보류</x:v>
      </x:c>
      <x:c r="AK70" s="5" t="str">
        <x:v>KRDS-SEC-020</x:v>
      </x:c>
      <x:c r="AL70" s="5" t="str"/>
      <x:c r="AM70" s="5" t="str">
        <x:v>입력 v0.1 계획 주석은 original_plan_note에 보존. 최신 구현·시험·증빙은 연결 적용기록을 참조하며 전체 준수·인증을 주장하지 않음.</x:v>
      </x:c>
    </x:row>
    <x:row r="71" ht="26.399999618530273" hidden="0" customHeight="1">
      <x:c r="A71" s="5" t="str">
        <x:v>UI-020</x:v>
      </x:c>
      <x:c r="B71" s="5" t="str">
        <x:v>KRDS UI/UX</x:v>
      </x:c>
      <x:c r="C71" s="5" t="str">
        <x:v>UI 컴포넌트</x:v>
      </x:c>
      <x:c r="D71" s="5" t="str">
        <x:v>건너뛰기 링크</x:v>
      </x:c>
      <x:c r="E71" s="5" t="str">
        <x:v>반복 영역을 건너 본문으로 이동</x:v>
      </x:c>
      <x:c r="F71" s="5" t="str">
        <x:v>SRC-001</x:v>
      </x:c>
      <x:c r="G71" s="5" t="str">
        <x:v>2025.08</x:v>
      </x:c>
      <x:c r="H71" s="5" t="str">
        <x:v>컴포넌트 / 탐색 / 건너뛰기 링크</x:v>
      </x:c>
      <x:c r="I71" s="5" t="str">
        <x:v>254-262</x:v>
      </x:c>
      <x:c r="J71" s="5" t="str">
        <x:v>회사 채택안; 원문 의무수준과 별도 관리</x:v>
      </x:c>
      <x:c r="K71" s="5" t="str">
        <x:v>원문 등급 별도 확인</x:v>
      </x:c>
      <x:c r="L71" s="5" t="str">
        <x:v>MUST(안)</x:v>
      </x:c>
      <x:c r="M71" s="10" t="str">
        <x:v>적용</x:v>
      </x:c>
      <x:c r="N71" s="5" t="str">
        <x:v>업무요청 웹 샘플에 채택하는 회사 기준. 실제 이행은 구현 후 판정.</x:v>
      </x:c>
      <x:c r="O71" s="5" t="str">
        <x:v>관련 기능·적용 기관·계약 변경 시 재평가</x:v>
      </x:c>
      <x:c r="P71" s="5" t="str">
        <x:v>S01~S08 / 공통</x:v>
      </x:c>
      <x:c r="Q71" s="5" t="str">
        <x:v>문서 첫 포커스 위치에 본문 바로가기 제공하고 실행 시 main으로 초점 이동</x:v>
      </x:c>
      <x:c r="R71" s="5" t="str">
        <x:v>Tab 첫 진입과 Enter 후 실제 초점·스크롤 위치 확인</x:v>
      </x:c>
      <x:c r="S71" s="10" t="str">
        <x:v>자동+수동</x:v>
      </x:c>
      <x:c r="T71" s="5" t="str">
        <x:v>UX·개발·QA</x:v>
      </x:c>
      <x:c r="U71" s="5" t="str">
        <x:v>P0</x:v>
      </x:c>
      <x:c r="V71" s="10" t="str">
        <x:v>구현</x:v>
      </x:c>
      <x:c r="W71" s="5" t="str">
        <x:v>문서 첫 링크에 본문 바로가기를 제공하고 #main-content로 이동한다. 화면 전환 후 제목에 프로그램 초점을 옮긴다.</x:v>
      </x:c>
      <x:c r="X71" s="5" t="str">
        <x:v>apps/web/src/App.tsx#App
apps/web/src/styles.css</x:v>
      </x:c>
      <x:c r="Y71" s="5" t="str">
        <x:v>MAN-UI-020</x:v>
      </x:c>
      <x:c r="Z71" s="10" t="str">
        <x:v>미실행</x:v>
      </x:c>
      <x:c r="AA71" s="10" t="str">
        <x:v>미실행</x:v>
      </x:c>
      <x:c r="AB71" s="5" t="str"/>
      <x:c r="AC71" s="5" t="n">
        <x:v>0</x:v>
      </x:c>
      <x:c r="AD71" s="5" t="n">
        <x:v>1</x:v>
      </x:c>
      <x:c r="AE71" s="10" t="str">
        <x:v>미실행</x:v>
      </x:c>
      <x:c r="AF71" s="5" t="str"/>
      <x:c r="AG71" s="5" t="str"/>
      <x:c r="AH71" s="5" t="str"/>
      <x:c r="AI71" s="10" t="str">
        <x:v>재확인필요</x:v>
      </x:c>
      <x:c r="AJ71" s="5" t="str">
        <x:f>IF(AND(M71="적용",V71="구현",X71&lt;&gt;"",Y71&lt;&gt;"",AB71&lt;&gt;"",AC71&gt;0,AD71&gt;0,AE71="통과",AF71="",AG71&lt;&gt;"",AH71&lt;&gt;"",OR(S71="자동",S71="수동",S71="자동+수동"),IF(OR(S71="자동",S71="자동+수동"),Z71="통과",TRUE),IF(OR(S71="수동",S71="자동+수동"),AA71="통과",TRUE)),"통과",IF(OR(Z71="실패",AA71="실패",AE71="실패"),"실패","보류"))</x:f>
        <x:v>보류</x:v>
      </x:c>
      <x:c r="AK71" s="5" t="str">
        <x:v>KRDS-SEC-021</x:v>
      </x:c>
      <x:c r="AL71" s="5" t="str"/>
      <x:c r="AM71" s="5" t="str">
        <x:v>입력 v0.1 계획 주석은 original_plan_note에 보존. 최신 구현·시험·증빙은 연결 적용기록을 참조하며 전체 준수·인증을 주장하지 않음.</x:v>
      </x:c>
    </x:row>
    <x:row r="72" ht="26.399999618530273" hidden="0" customHeight="1">
      <x:c r="A72" s="5" t="str">
        <x:v>UI-021</x:v>
      </x:c>
      <x:c r="B72" s="5" t="str">
        <x:v>KRDS UI/UX</x:v>
      </x:c>
      <x:c r="C72" s="5" t="str">
        <x:v>UI 컴포넌트</x:v>
      </x:c>
      <x:c r="D72" s="5" t="str">
        <x:v>메인 메뉴</x:v>
      </x:c>
      <x:c r="E72" s="5" t="str">
        <x:v>직관적 레이블과 일관된 메뉴 구조</x:v>
      </x:c>
      <x:c r="F72" s="5" t="str">
        <x:v>SRC-001</x:v>
      </x:c>
      <x:c r="G72" s="5" t="str">
        <x:v>2025.08</x:v>
      </x:c>
      <x:c r="H72" s="5" t="str">
        <x:v>컴포넌트 / 탐색 / 메인 메뉴</x:v>
      </x:c>
      <x:c r="I72" s="5" t="str">
        <x:v>263-279</x:v>
      </x:c>
      <x:c r="J72" s="5" t="str">
        <x:v>회사 채택안; 원문 의무수준과 별도 관리</x:v>
      </x:c>
      <x:c r="K72" s="5" t="str">
        <x:v>원문 등급 별도 확인</x:v>
      </x:c>
      <x:c r="L72" s="5" t="str">
        <x:v>MUST(안)</x:v>
      </x:c>
      <x:c r="M72" s="10" t="str">
        <x:v>적용</x:v>
      </x:c>
      <x:c r="N72" s="5" t="str">
        <x:v>업무요청 웹 샘플에 채택하는 회사 기준. 실제 이행은 구현 후 판정.</x:v>
      </x:c>
      <x:c r="O72" s="5" t="str">
        <x:v>관련 기능·적용 기관·계약 변경 시 재평가</x:v>
      </x:c>
      <x:c r="P72" s="5" t="str">
        <x:v>S01~S08 / 공통</x:v>
      </x:c>
      <x:c r="Q72" s="5" t="str">
        <x:v>업무요청·내 요청·관리·도움말로 구성하고 클릭/키보드로 열림 상태 관리</x:v>
      </x:c>
      <x:c r="R72" s="5" t="str">
        <x:v>Tab·Enter·Escape와 화면낭독기로 탐색 확인</x:v>
      </x:c>
      <x:c r="S72" s="10" t="str">
        <x:v>자동+수동</x:v>
      </x:c>
      <x:c r="T72" s="5" t="str">
        <x:v>UX·개발·QA</x:v>
      </x:c>
      <x:c r="U72" s="5" t="str">
        <x:v>P1</x:v>
      </x:c>
      <x:c r="V72" s="10" t="str">
        <x:v>구현</x:v>
      </x:c>
      <x:c r="W72" s="5" t="str">
        <x:v>고정된 서비스 이름과 주요·자료 탐색 메뉴를 공통 App shell에 배치하고 현재 항목 aria-current 및 시각 상태를 제공한다.</x:v>
      </x:c>
      <x:c r="X72" s="5" t="str">
        <x:v>apps/web/src/App.tsx#App</x:v>
      </x:c>
      <x:c r="Y72" s="5" t="str">
        <x:v>MAN-UI-021</x:v>
      </x:c>
      <x:c r="Z72" s="10" t="str">
        <x:v>미실행</x:v>
      </x:c>
      <x:c r="AA72" s="10" t="str">
        <x:v>미실행</x:v>
      </x:c>
      <x:c r="AB72" s="5" t="str"/>
      <x:c r="AC72" s="5" t="n">
        <x:v>0</x:v>
      </x:c>
      <x:c r="AD72" s="5" t="n">
        <x:v>1</x:v>
      </x:c>
      <x:c r="AE72" s="10" t="str">
        <x:v>미실행</x:v>
      </x:c>
      <x:c r="AF72" s="5" t="str"/>
      <x:c r="AG72" s="5" t="str"/>
      <x:c r="AH72" s="5" t="str"/>
      <x:c r="AI72" s="10" t="str">
        <x:v>재확인필요</x:v>
      </x:c>
      <x:c r="AJ72" s="5" t="str">
        <x:f>IF(AND(M72="적용",V72="구현",X72&lt;&gt;"",Y72&lt;&gt;"",AB72&lt;&gt;"",AC72&gt;0,AD72&gt;0,AE72="통과",AF72="",AG72&lt;&gt;"",AH72&lt;&gt;"",OR(S72="자동",S72="수동",S72="자동+수동"),IF(OR(S72="자동",S72="자동+수동"),Z72="통과",TRUE),IF(OR(S72="수동",S72="자동+수동"),AA72="통과",TRUE)),"통과",IF(OR(Z72="실패",AA72="실패",AE72="실패"),"실패","보류"))</x:f>
        <x:v>보류</x:v>
      </x:c>
      <x:c r="AK72" s="5" t="str">
        <x:v>KRDS-SEC-022</x:v>
      </x:c>
      <x:c r="AL72" s="5" t="str"/>
      <x:c r="AM72" s="5" t="str">
        <x:v>입력 v0.1 계획 주석은 original_plan_note에 보존. 최신 구현·시험·증빙은 연결 적용기록을 참조하며 전체 준수·인증을 주장하지 않음.</x:v>
      </x:c>
    </x:row>
    <x:row r="73" ht="26.399999618530273" hidden="0" customHeight="1">
      <x:c r="A73" s="5" t="str">
        <x:v>UI-022</x:v>
      </x:c>
      <x:c r="B73" s="5" t="str">
        <x:v>KRDS UI/UX</x:v>
      </x:c>
      <x:c r="C73" s="5" t="str">
        <x:v>UI 컴포넌트</x:v>
      </x:c>
      <x:c r="D73" s="5" t="str">
        <x:v>브레드크럼</x:v>
      </x:c>
      <x:c r="E73" s="5" t="str">
        <x:v>현재 위치와 상위 경로 식별</x:v>
      </x:c>
      <x:c r="F73" s="5" t="str">
        <x:v>SRC-001</x:v>
      </x:c>
      <x:c r="G73" s="5" t="str">
        <x:v>2025.08</x:v>
      </x:c>
      <x:c r="H73" s="5" t="str">
        <x:v>컴포넌트 / 탐색 / 브레드크럼</x:v>
      </x:c>
      <x:c r="I73" s="5" t="str">
        <x:v>280-292</x:v>
      </x:c>
      <x:c r="J73" s="5" t="str">
        <x:v>회사 채택안; 원문 의무수준과 별도 관리</x:v>
      </x:c>
      <x:c r="K73" s="5" t="str">
        <x:v>원문 등급 별도 확인</x:v>
      </x:c>
      <x:c r="L73" s="5" t="str">
        <x:v>MUST(안)</x:v>
      </x:c>
      <x:c r="M73" s="10" t="str">
        <x:v>적용</x:v>
      </x:c>
      <x:c r="N73" s="5" t="str">
        <x:v>업무요청 웹 샘플에 채택하는 회사 기준. 실제 이행은 구현 후 판정.</x:v>
      </x:c>
      <x:c r="O73" s="5" t="str">
        <x:v>관련 기능·적용 기관·계약 변경 시 재평가</x:v>
      </x:c>
      <x:c r="P73" s="5" t="str">
        <x:v>S03</x:v>
      </x:c>
      <x:c r="Q73" s="5" t="str">
        <x:v>홈/업무요청/상세의 계층을 nav와 목록으로 표현하고 현재 위치 알림</x:v>
      </x:c>
      <x:c r="R73" s="5" t="str">
        <x:v>상세화면의 경로·링크 이름·현재 위치 확인</x:v>
      </x:c>
      <x:c r="S73" s="10" t="str">
        <x:v>자동+수동</x:v>
      </x:c>
      <x:c r="T73" s="5" t="str">
        <x:v>UX·개발·QA</x:v>
      </x:c>
      <x:c r="U73" s="5" t="str">
        <x:v>P1</x:v>
      </x:c>
      <x:c r="V73" s="10" t="str">
        <x:v>구현</x:v>
      </x:c>
      <x:c r="W73" s="5" t="str">
        <x:v>헤더에 nav/ol로 상위 서비스·요청 목록·현재 화면의 semantic breadcrumb를 제공한다. 현재 위치에는 aria-current=page를 적용하고 상위 경로는 실제 링크로 제공한다.</x:v>
      </x:c>
      <x:c r="X73" s="5" t="str">
        <x:v>apps/web/src/App.tsx#App</x:v>
      </x:c>
      <x:c r="Y73" s="5" t="str">
        <x:v>MAN-UI-022</x:v>
      </x:c>
      <x:c r="Z73" s="10" t="str">
        <x:v>미실행</x:v>
      </x:c>
      <x:c r="AA73" s="10" t="str">
        <x:v>미실행</x:v>
      </x:c>
      <x:c r="AB73" s="5" t="str"/>
      <x:c r="AC73" s="5" t="n">
        <x:v>0</x:v>
      </x:c>
      <x:c r="AD73" s="5" t="n">
        <x:v>1</x:v>
      </x:c>
      <x:c r="AE73" s="10" t="str">
        <x:v>미실행</x:v>
      </x:c>
      <x:c r="AF73" s="5" t="str"/>
      <x:c r="AG73" s="5" t="str"/>
      <x:c r="AH73" s="5" t="str"/>
      <x:c r="AI73" s="10" t="str">
        <x:v>재확인필요</x:v>
      </x:c>
      <x:c r="AJ73" s="5" t="str">
        <x:f>IF(AND(M73="적용",V73="구현",X73&lt;&gt;"",Y73&lt;&gt;"",AB73&lt;&gt;"",AC73&gt;0,AD73&gt;0,AE73="통과",AF73="",AG73&lt;&gt;"",AH73&lt;&gt;"",OR(S73="자동",S73="수동",S73="자동+수동"),IF(OR(S73="자동",S73="자동+수동"),Z73="통과",TRUE),IF(OR(S73="수동",S73="자동+수동"),AA73="통과",TRUE)),"통과",IF(OR(Z73="실패",AA73="실패",AE73="실패"),"실패","보류"))</x:f>
        <x:v>보류</x:v>
      </x:c>
      <x:c r="AK73" s="5" t="str">
        <x:v>KRDS-SEC-023</x:v>
      </x:c>
      <x:c r="AL73" s="5" t="str"/>
      <x:c r="AM73" s="5" t="str">
        <x:v>입력 v0.1 계획 주석은 original_plan_note에 보존. 최신 구현·시험·증빙은 연결 적용기록을 참조하며 전체 준수·인증을 주장하지 않음.</x:v>
      </x:c>
    </x:row>
    <x:row r="74" ht="26.399999618530273" hidden="0" customHeight="1">
      <x:c r="A74" s="5" t="str">
        <x:v>UI-023</x:v>
      </x:c>
      <x:c r="B74" s="5" t="str">
        <x:v>KRDS UI/UX</x:v>
      </x:c>
      <x:c r="C74" s="5" t="str">
        <x:v>UI 컴포넌트</x:v>
      </x:c>
      <x:c r="D74" s="5" t="str">
        <x:v>사이드 메뉴</x:v>
      </x:c>
      <x:c r="E74" s="5" t="str">
        <x:v>관리 영역 하위 메뉴의 현재 위치 표시</x:v>
      </x:c>
      <x:c r="F74" s="5" t="str">
        <x:v>SRC-001</x:v>
      </x:c>
      <x:c r="G74" s="5" t="str">
        <x:v>2025.08</x:v>
      </x:c>
      <x:c r="H74" s="5" t="str">
        <x:v>컴포넌트 / 탐색 / 사이드 메뉴</x:v>
      </x:c>
      <x:c r="I74" s="5" t="str">
        <x:v>293-307</x:v>
      </x:c>
      <x:c r="J74" s="5" t="str">
        <x:v>회사 채택안; 원문 의무수준과 별도 관리</x:v>
      </x:c>
      <x:c r="K74" s="5" t="str">
        <x:v>원문 등급 별도 확인</x:v>
      </x:c>
      <x:c r="L74" s="5" t="str">
        <x:v>MUST(안)</x:v>
      </x:c>
      <x:c r="M74" s="10" t="str">
        <x:v>조건부</x:v>
      </x:c>
      <x:c r="N74" s="5" t="str">
        <x:v>해당 기능 또는 서비스 조건이 실제 범위에 포함될 때 적용.</x:v>
      </x:c>
      <x:c r="O74" s="5" t="str">
        <x:v>해당 기능 또는 서비스 조건이 실제 범위에 포함될 때 적용.</x:v>
      </x:c>
      <x:c r="P74" s="5" t="str">
        <x:v>S01, S04, S06</x:v>
      </x:c>
      <x:c r="Q74" s="5" t="str">
        <x:v>관리자 화면이 복수 섹션일 때 최대 2수준 메뉴와 현재 항목 표시</x:v>
      </x:c>
      <x:c r="R74" s="5" t="str">
        <x:v>선택 상태와 키보드 순서, 작은 화면 대체 탐색 점검</x:v>
      </x:c>
      <x:c r="S74" s="10" t="str">
        <x:v>자동+수동</x:v>
      </x:c>
      <x:c r="T74" s="5" t="str">
        <x:v>UX·개발·QA</x:v>
      </x:c>
      <x:c r="U74" s="5" t="str">
        <x:v>P2</x:v>
      </x:c>
      <x:c r="V74" s="10" t="str">
        <x:v>진행</x:v>
      </x:c>
      <x:c r="W74" s="5" t="str">
        <x:v>주요·자료의 사이드 탐색과 현재 항목을 표시한다. 별도의 관리자 다단계 하위 메뉴는 아직 없다.</x:v>
      </x:c>
      <x:c r="X74" s="5" t="str">
        <x:v>apps/web/src/App.tsx#App</x:v>
      </x:c>
      <x:c r="Y74" s="5" t="str">
        <x:v>MAN-UI-023</x:v>
      </x:c>
      <x:c r="Z74" s="10" t="str">
        <x:v>미실행</x:v>
      </x:c>
      <x:c r="AA74" s="10" t="str">
        <x:v>미실행</x:v>
      </x:c>
      <x:c r="AB74" s="5" t="str"/>
      <x:c r="AC74" s="5" t="n">
        <x:v>0</x:v>
      </x:c>
      <x:c r="AD74" s="5" t="n">
        <x:v>1</x:v>
      </x:c>
      <x:c r="AE74" s="10" t="str">
        <x:v>미실행</x:v>
      </x:c>
      <x:c r="AF74" s="5" t="str"/>
      <x:c r="AG74" s="5" t="str"/>
      <x:c r="AH74" s="5" t="str"/>
      <x:c r="AI74" s="10" t="str">
        <x:v>재확인필요</x:v>
      </x:c>
      <x:c r="AJ74" s="5" t="str">
        <x:f>IF(AND(M74="적용",V74="구현",X74&lt;&gt;"",Y74&lt;&gt;"",AB74&lt;&gt;"",AC74&gt;0,AD74&gt;0,AE74="통과",AF74="",AG74&lt;&gt;"",AH74&lt;&gt;"",OR(S74="자동",S74="수동",S74="자동+수동"),IF(OR(S74="자동",S74="자동+수동"),Z74="통과",TRUE),IF(OR(S74="수동",S74="자동+수동"),AA74="통과",TRUE)),"통과",IF(OR(Z74="실패",AA74="실패",AE74="실패"),"실패","보류"))</x:f>
        <x:v>보류</x:v>
      </x:c>
      <x:c r="AK74" s="5" t="str">
        <x:v>KRDS-SEC-024</x:v>
      </x:c>
      <x:c r="AL74" s="5" t="str"/>
      <x:c r="AM74" s="5" t="str">
        <x:v>입력 v0.1 계획 주석은 original_plan_note에 보존. 최신 구현·시험·증빙은 연결 적용기록을 참조하며 전체 준수·인증을 주장하지 않음.</x:v>
      </x:c>
    </x:row>
    <x:row r="75" ht="26.399999618530273" hidden="0" customHeight="1">
      <x:c r="A75" s="5" t="str">
        <x:v>UI-024</x:v>
      </x:c>
      <x:c r="B75" s="5" t="str">
        <x:v>KRDS UI/UX</x:v>
      </x:c>
      <x:c r="C75" s="5" t="str">
        <x:v>UI 컴포넌트</x:v>
      </x:c>
      <x:c r="D75" s="5" t="str">
        <x:v>콘텐츠 내 탐색</x:v>
      </x:c>
      <x:c r="E75" s="5" t="str">
        <x:v>긴 문서의 섹션 탐색 제공</x:v>
      </x:c>
      <x:c r="F75" s="5" t="str">
        <x:v>SRC-001</x:v>
      </x:c>
      <x:c r="G75" s="5" t="str">
        <x:v>2025.08</x:v>
      </x:c>
      <x:c r="H75" s="5" t="str">
        <x:v>컴포넌트 / 탐색 / 콘텐츠 내 탐색</x:v>
      </x:c>
      <x:c r="I75" s="5" t="str">
        <x:v>308-316</x:v>
      </x:c>
      <x:c r="J75" s="5" t="str">
        <x:v>회사 채택안; 원문 의무수준과 별도 관리</x:v>
      </x:c>
      <x:c r="K75" s="5" t="str">
        <x:v>원문 등급 별도 확인</x:v>
      </x:c>
      <x:c r="L75" s="5" t="str">
        <x:v>MUST(안)</x:v>
      </x:c>
      <x:c r="M75" s="10" t="str">
        <x:v>조건부</x:v>
      </x:c>
      <x:c r="N75" s="5" t="str">
        <x:v>해당 기능 또는 서비스 조건이 실제 범위에 포함될 때 적용.</x:v>
      </x:c>
      <x:c r="O75" s="5" t="str">
        <x:v>해당 기능 또는 서비스 조건이 실제 범위에 포함될 때 적용.</x:v>
      </x:c>
      <x:c r="P75" s="5" t="str">
        <x:v>S01~S08 / 공통</x:v>
      </x:c>
      <x:c r="Q75" s="5" t="str">
        <x:v>장문의 도움말·정책 페이지에 제목과 일치하는 목차 링크 제공</x:v>
      </x:c>
      <x:c r="R75" s="5" t="str">
        <x:v>목차 실행 시 목표 제목으로 초점 이동 확인</x:v>
      </x:c>
      <x:c r="S75" s="10" t="str">
        <x:v>자동+수동</x:v>
      </x:c>
      <x:c r="T75" s="5" t="str">
        <x:v>UX·개발·QA</x:v>
      </x:c>
      <x:c r="U75" s="5" t="str">
        <x:v>P2</x:v>
      </x:c>
      <x:c r="V75" s="10" t="str">
        <x:v>진행</x:v>
      </x:c>
      <x:c r="W75" s="5" t="str">
        <x:v>도움말 분류 페이지 링크와 각 표준의 details 확장을 제공한다. 장문 정책의 목차/앵커 탐색은 구현하지 않았다.</x:v>
      </x:c>
      <x:c r="X75" s="5" t="str">
        <x:v>apps/web/src/App.tsx#Help
apps/web/src/StandardsBrowser.tsx#StandardsBrowser</x:v>
      </x:c>
      <x:c r="Y75" s="5" t="str">
        <x:v>MAN-UI-024</x:v>
      </x:c>
      <x:c r="Z75" s="10" t="str">
        <x:v>미실행</x:v>
      </x:c>
      <x:c r="AA75" s="10" t="str">
        <x:v>미실행</x:v>
      </x:c>
      <x:c r="AB75" s="5" t="str"/>
      <x:c r="AC75" s="5" t="n">
        <x:v>0</x:v>
      </x:c>
      <x:c r="AD75" s="5" t="n">
        <x:v>1</x:v>
      </x:c>
      <x:c r="AE75" s="10" t="str">
        <x:v>미실행</x:v>
      </x:c>
      <x:c r="AF75" s="5" t="str"/>
      <x:c r="AG75" s="5" t="str"/>
      <x:c r="AH75" s="5" t="str"/>
      <x:c r="AI75" s="10" t="str">
        <x:v>재확인필요</x:v>
      </x:c>
      <x:c r="AJ75" s="5" t="str">
        <x:f>IF(AND(M75="적용",V75="구현",X75&lt;&gt;"",Y75&lt;&gt;"",AB75&lt;&gt;"",AC75&gt;0,AD75&gt;0,AE75="통과",AF75="",AG75&lt;&gt;"",AH75&lt;&gt;"",OR(S75="자동",S75="수동",S75="자동+수동"),IF(OR(S75="자동",S75="자동+수동"),Z75="통과",TRUE),IF(OR(S75="수동",S75="자동+수동"),AA75="통과",TRUE)),"통과",IF(OR(Z75="실패",AA75="실패",AE75="실패"),"실패","보류"))</x:f>
        <x:v>보류</x:v>
      </x:c>
      <x:c r="AK75" s="5" t="str">
        <x:v>KRDS-SEC-025</x:v>
      </x:c>
      <x:c r="AL75" s="5" t="str"/>
      <x:c r="AM75" s="5" t="str">
        <x:v>입력 v0.1 계획 주석은 original_plan_note에 보존. 최신 구현·시험·증빙은 연결 적용기록을 참조하며 전체 준수·인증을 주장하지 않음.</x:v>
      </x:c>
    </x:row>
    <x:row r="76" ht="26.399999618530273" hidden="0" customHeight="1">
      <x:c r="A76" s="5" t="str">
        <x:v>UI-025</x:v>
      </x:c>
      <x:c r="B76" s="5" t="str">
        <x:v>KRDS UI/UX</x:v>
      </x:c>
      <x:c r="C76" s="5" t="str">
        <x:v>UI 컴포넌트</x:v>
      </x:c>
      <x:c r="D76" s="5" t="str">
        <x:v>페이지네이션</x:v>
      </x:c>
      <x:c r="E76" s="5" t="str">
        <x:v>목록 범위와 이동수단 제공</x:v>
      </x:c>
      <x:c r="F76" s="5" t="str">
        <x:v>SRC-001</x:v>
      </x:c>
      <x:c r="G76" s="5" t="str">
        <x:v>2025.08</x:v>
      </x:c>
      <x:c r="H76" s="5" t="str">
        <x:v>컴포넌트 / 탐색 / 페이지네이션</x:v>
      </x:c>
      <x:c r="I76" s="5" t="str">
        <x:v>317-338</x:v>
      </x:c>
      <x:c r="J76" s="5" t="str">
        <x:v>회사 채택안; 원문 의무수준과 별도 관리</x:v>
      </x:c>
      <x:c r="K76" s="5" t="str">
        <x:v>원문 등급 별도 확인</x:v>
      </x:c>
      <x:c r="L76" s="5" t="str">
        <x:v>MUST(안)</x:v>
      </x:c>
      <x:c r="M76" s="10" t="str">
        <x:v>적용</x:v>
      </x:c>
      <x:c r="N76" s="5" t="str">
        <x:v>업무요청 웹 샘플에 채택하는 회사 기준. 실제 이행은 구현 후 판정.</x:v>
      </x:c>
      <x:c r="O76" s="5" t="str">
        <x:v>관련 기능·적용 기관·계약 변경 시 재평가</x:v>
      </x:c>
      <x:c r="P76" s="5" t="str">
        <x:v>S03</x:v>
      </x:c>
      <x:c r="Q76" s="5" t="str">
        <x:v>현재 페이지·전체 건수·이전/다음과 접근 가능한 페이지 이름 제공</x:v>
      </x:c>
      <x:c r="R76" s="5" t="str">
        <x:v>첫/중간/마지막 페이지의 이동·상태·초점 보존 확인</x:v>
      </x:c>
      <x:c r="S76" s="10" t="str">
        <x:v>자동+수동</x:v>
      </x:c>
      <x:c r="T76" s="5" t="str">
        <x:v>UX·개발·QA</x:v>
      </x:c>
      <x:c r="U76" s="5" t="str">
        <x:v>P1</x:v>
      </x:c>
      <x:c r="V76" s="10" t="str">
        <x:v>구현</x:v>
      </x:c>
      <x:c r="W76" s="5" t="str">
        <x:v>요청과 표준 목록의 현재/전체 페이지, 이전·다음 버튼, 경계 비활성과 결과 수를 표시한다. 요청 페이지 조건은 URL로 유지한다.</x:v>
      </x:c>
      <x:c r="X76" s="5" t="str">
        <x:v>apps/web/src/App.tsx#RequestList
apps/web/src/StandardsBrowser.tsx#StandardsBrowser</x:v>
      </x:c>
      <x:c r="Y76" s="5" t="str">
        <x:v>MAN-UI-025</x:v>
      </x:c>
      <x:c r="Z76" s="10" t="str">
        <x:v>미실행</x:v>
      </x:c>
      <x:c r="AA76" s="10" t="str">
        <x:v>미실행</x:v>
      </x:c>
      <x:c r="AB76" s="5" t="str"/>
      <x:c r="AC76" s="5" t="n">
        <x:v>0</x:v>
      </x:c>
      <x:c r="AD76" s="5" t="n">
        <x:v>1</x:v>
      </x:c>
      <x:c r="AE76" s="10" t="str">
        <x:v>미실행</x:v>
      </x:c>
      <x:c r="AF76" s="5" t="str"/>
      <x:c r="AG76" s="5" t="str"/>
      <x:c r="AH76" s="5" t="str"/>
      <x:c r="AI76" s="10" t="str">
        <x:v>재확인필요</x:v>
      </x:c>
      <x:c r="AJ76" s="5" t="str">
        <x:f>IF(AND(M76="적용",V76="구현",X76&lt;&gt;"",Y76&lt;&gt;"",AB76&lt;&gt;"",AC76&gt;0,AD76&gt;0,AE76="통과",AF76="",AG76&lt;&gt;"",AH76&lt;&gt;"",OR(S76="자동",S76="수동",S76="자동+수동"),IF(OR(S76="자동",S76="자동+수동"),Z76="통과",TRUE),IF(OR(S76="수동",S76="자동+수동"),AA76="통과",TRUE)),"통과",IF(OR(Z76="실패",AA76="실패",AE76="실패"),"실패","보류"))</x:f>
        <x:v>보류</x:v>
      </x:c>
      <x:c r="AK76" s="5" t="str">
        <x:v>KRDS-SEC-026</x:v>
      </x:c>
      <x:c r="AL76" s="5" t="str"/>
      <x:c r="AM76" s="5" t="str">
        <x:v>입력 v0.1 계획 주석은 original_plan_note에 보존. 최신 구현·시험·증빙은 연결 적용기록을 참조하며 전체 준수·인증을 주장하지 않음.</x:v>
      </x:c>
    </x:row>
    <x:row r="77" ht="26.399999618530273" hidden="0" customHeight="1">
      <x:c r="A77" s="5" t="str">
        <x:v>UI-026</x:v>
      </x:c>
      <x:c r="B77" s="5" t="str">
        <x:v>KRDS UI/UX</x:v>
      </x:c>
      <x:c r="C77" s="5" t="str">
        <x:v>UI 컴포넌트</x:v>
      </x:c>
      <x:c r="D77" s="5" t="str">
        <x:v>탭바</x:v>
      </x:c>
      <x:c r="E77" s="5" t="str">
        <x:v>모바일 주요 탐색을 일관되게 제공</x:v>
      </x:c>
      <x:c r="F77" s="5" t="str">
        <x:v>SRC-001</x:v>
      </x:c>
      <x:c r="G77" s="5" t="str">
        <x:v>2025.08</x:v>
      </x:c>
      <x:c r="H77" s="5" t="str">
        <x:v>컴포넌트 / 탐색 / 탭바</x:v>
      </x:c>
      <x:c r="I77" s="5" t="str">
        <x:v>339-352</x:v>
      </x:c>
      <x:c r="J77" s="5" t="str">
        <x:v>회사 채택안; 원문 의무수준과 별도 관리</x:v>
      </x:c>
      <x:c r="K77" s="5" t="str">
        <x:v>원문 등급 별도 확인</x:v>
      </x:c>
      <x:c r="L77" s="5" t="str">
        <x:v>MUST(안)</x:v>
      </x:c>
      <x:c r="M77" s="10" t="str">
        <x:v>조건부</x:v>
      </x:c>
      <x:c r="N77" s="5" t="str">
        <x:v>해당 기능 또는 서비스 조건이 실제 범위에 포함될 때 적용.</x:v>
      </x:c>
      <x:c r="O77" s="5" t="str">
        <x:v>해당 기능 또는 서비스 조건이 실제 범위에 포함될 때 적용.</x:v>
      </x:c>
      <x:c r="P77" s="5" t="str">
        <x:v>S01~S08 / 공통</x:v>
      </x:c>
      <x:c r="Q77" s="5" t="str">
        <x:v>하단 탐색 채택 시 5개 이하 메뉴·아이콘과 텍스트·현재 메뉴를 제공</x:v>
      </x:c>
      <x:c r="R77" s="5" t="str">
        <x:v>작은 화면에서 내용·초점이 하단바에 가리지 않는지 확인</x:v>
      </x:c>
      <x:c r="S77" s="10" t="str">
        <x:v>자동+수동</x:v>
      </x:c>
      <x:c r="T77" s="5" t="str">
        <x:v>UX·개발·QA</x:v>
      </x:c>
      <x:c r="U77" s="5" t="str">
        <x:v>P2</x:v>
      </x:c>
      <x:c r="V77" s="10" t="str">
        <x:v>진행</x:v>
      </x:c>
      <x:c r="W77" s="5" t="str">
        <x:v>모바일 메뉴 버튼과 동일한 주 탐색을 제공한다. 고정 하단 탭바는 구현하지 않았다.</x:v>
      </x:c>
      <x:c r="X77" s="5" t="str">
        <x:v>apps/web/src/App.tsx#App
apps/web/src/styles.css</x:v>
      </x:c>
      <x:c r="Y77" s="5" t="str">
        <x:v>MAN-UI-026</x:v>
      </x:c>
      <x:c r="Z77" s="10" t="str">
        <x:v>미실행</x:v>
      </x:c>
      <x:c r="AA77" s="10" t="str">
        <x:v>미실행</x:v>
      </x:c>
      <x:c r="AB77" s="5" t="str"/>
      <x:c r="AC77" s="5" t="n">
        <x:v>0</x:v>
      </x:c>
      <x:c r="AD77" s="5" t="n">
        <x:v>1</x:v>
      </x:c>
      <x:c r="AE77" s="10" t="str">
        <x:v>미실행</x:v>
      </x:c>
      <x:c r="AF77" s="5" t="str"/>
      <x:c r="AG77" s="5" t="str"/>
      <x:c r="AH77" s="5" t="str"/>
      <x:c r="AI77" s="10" t="str">
        <x:v>재확인필요</x:v>
      </x:c>
      <x:c r="AJ77" s="5" t="str">
        <x:f>IF(AND(M77="적용",V77="구현",X77&lt;&gt;"",Y77&lt;&gt;"",AB77&lt;&gt;"",AC77&gt;0,AD77&gt;0,AE77="통과",AF77="",AG77&lt;&gt;"",AH77&lt;&gt;"",OR(S77="자동",S77="수동",S77="자동+수동"),IF(OR(S77="자동",S77="자동+수동"),Z77="통과",TRUE),IF(OR(S77="수동",S77="자동+수동"),AA77="통과",TRUE)),"통과",IF(OR(Z77="실패",AA77="실패",AE77="실패"),"실패","보류"))</x:f>
        <x:v>보류</x:v>
      </x:c>
      <x:c r="AK77" s="5" t="str">
        <x:v>KRDS-SEC-027</x:v>
      </x:c>
      <x:c r="AL77" s="5" t="str"/>
      <x:c r="AM77" s="5" t="str">
        <x:v>입력 v0.1 계획 주석은 original_plan_note에 보존. 최신 구현·시험·증빙은 연결 적용기록을 참조하며 전체 준수·인증을 주장하지 않음.</x:v>
      </x:c>
    </x:row>
    <x:row r="78" ht="39.599998474121094" hidden="0" customHeight="1">
      <x:c r="A78" s="5" t="str">
        <x:v>UI-027</x:v>
      </x:c>
      <x:c r="B78" s="5" t="str">
        <x:v>KRDS UI/UX</x:v>
      </x:c>
      <x:c r="C78" s="5" t="str">
        <x:v>UI 컴포넌트</x:v>
      </x:c>
      <x:c r="D78" s="5" t="str">
        <x:v>구조화 목록</x:v>
      </x:c>
      <x:c r="E78" s="5" t="str">
        <x:v>동일 속성의 자료를 일정한 구조로 표현</x:v>
      </x:c>
      <x:c r="F78" s="5" t="str">
        <x:v>SRC-001</x:v>
      </x:c>
      <x:c r="G78" s="5" t="str">
        <x:v>2025.08</x:v>
      </x:c>
      <x:c r="H78" s="5" t="str">
        <x:v>컴포넌트 / 레이아웃·표현 / 구조화 목록</x:v>
      </x:c>
      <x:c r="I78" s="5" t="str">
        <x:v>353-359</x:v>
      </x:c>
      <x:c r="J78" s="5" t="str">
        <x:v>회사 채택안; 원문 의무수준과 별도 관리</x:v>
      </x:c>
      <x:c r="K78" s="5" t="str">
        <x:v>원문 등급 별도 확인</x:v>
      </x:c>
      <x:c r="L78" s="5" t="str">
        <x:v>MUST(안)</x:v>
      </x:c>
      <x:c r="M78" s="10" t="str">
        <x:v>적용</x:v>
      </x:c>
      <x:c r="N78" s="5" t="str">
        <x:v>업무요청 웹 샘플에 채택하는 회사 기준. 실제 이행은 구현 후 판정.</x:v>
      </x:c>
      <x:c r="O78" s="5" t="str">
        <x:v>관련 기능·적용 기관·계약 변경 시 재평가</x:v>
      </x:c>
      <x:c r="P78" s="5" t="str">
        <x:v>S03</x:v>
      </x:c>
      <x:c r="Q78" s="5" t="str">
        <x:v>요청 카드마다 제목·상태·날짜·담당자 순서를 고정</x:v>
      </x:c>
      <x:c r="R78" s="5" t="str">
        <x:v>목록 항목과 제목·링크의 구조를 보조기술로 점검</x:v>
      </x:c>
      <x:c r="S78" s="10" t="str">
        <x:v>자동+수동</x:v>
      </x:c>
      <x:c r="T78" s="5" t="str">
        <x:v>UX·개발·QA</x:v>
      </x:c>
      <x:c r="U78" s="5" t="str">
        <x:v>P1</x:v>
      </x:c>
      <x:c r="V78" s="10" t="str">
        <x:v>구현</x:v>
      </x:c>
      <x:c r="W78" s="5" t="str">
        <x:v>요청은 caption 및 th가 있는 table, 처리 이력은 ol, 첨부·증빙은 ul, 규칙 속성은 dl로 구조화한다.</x:v>
      </x:c>
      <x:c r="X78" s="5" t="str">
        <x:v>apps/web/src/App.tsx#RequestTable
apps/web/src/App.tsx#RequestDetail
apps/web/src/StandardsBrowser.tsx#ReferenceList</x:v>
      </x:c>
      <x:c r="Y78" s="5" t="str">
        <x:v>MAN-UI-027</x:v>
      </x:c>
      <x:c r="Z78" s="10" t="str">
        <x:v>미실행</x:v>
      </x:c>
      <x:c r="AA78" s="10" t="str">
        <x:v>미실행</x:v>
      </x:c>
      <x:c r="AB78" s="5" t="str"/>
      <x:c r="AC78" s="5" t="n">
        <x:v>0</x:v>
      </x:c>
      <x:c r="AD78" s="5" t="n">
        <x:v>1</x:v>
      </x:c>
      <x:c r="AE78" s="10" t="str">
        <x:v>미실행</x:v>
      </x:c>
      <x:c r="AF78" s="5" t="str"/>
      <x:c r="AG78" s="5" t="str"/>
      <x:c r="AH78" s="5" t="str"/>
      <x:c r="AI78" s="10" t="str">
        <x:v>재확인필요</x:v>
      </x:c>
      <x:c r="AJ78" s="5" t="str">
        <x:f>IF(AND(M78="적용",V78="구현",X78&lt;&gt;"",Y78&lt;&gt;"",AB78&lt;&gt;"",AC78&gt;0,AD78&gt;0,AE78="통과",AF78="",AG78&lt;&gt;"",AH78&lt;&gt;"",OR(S78="자동",S78="수동",S78="자동+수동"),IF(OR(S78="자동",S78="자동+수동"),Z78="통과",TRUE),IF(OR(S78="수동",S78="자동+수동"),AA78="통과",TRUE)),"통과",IF(OR(Z78="실패",AA78="실패",AE78="실패"),"실패","보류"))</x:f>
        <x:v>보류</x:v>
      </x:c>
      <x:c r="AK78" s="5" t="str">
        <x:v>KRDS-SEC-028</x:v>
      </x:c>
      <x:c r="AL78" s="5" t="str"/>
      <x:c r="AM78" s="5" t="str">
        <x:v>입력 v0.1 계획 주석은 original_plan_note에 보존. 최신 구현·시험·증빙은 연결 적용기록을 참조하며 전체 준수·인증을 주장하지 않음.</x:v>
      </x:c>
    </x:row>
    <x:row r="79" ht="26.399999618530273" hidden="0" customHeight="1">
      <x:c r="A79" s="5" t="str">
        <x:v>UI-028</x:v>
      </x:c>
      <x:c r="B79" s="5" t="str">
        <x:v>KRDS UI/UX</x:v>
      </x:c>
      <x:c r="C79" s="5" t="str">
        <x:v>UI 컴포넌트</x:v>
      </x:c>
      <x:c r="D79" s="5" t="str">
        <x:v>긴급 공지</x:v>
      </x:c>
      <x:c r="E79" s="5" t="str">
        <x:v>즉시 알아야 할 공지를 적절한 우선순위로 제공</x:v>
      </x:c>
      <x:c r="F79" s="5" t="str">
        <x:v>SRC-001</x:v>
      </x:c>
      <x:c r="G79" s="5" t="str">
        <x:v>2025.08</x:v>
      </x:c>
      <x:c r="H79" s="5" t="str">
        <x:v>컴포넌트 / 레이아웃·표현 / 긴급 공지</x:v>
      </x:c>
      <x:c r="I79" s="5" t="str">
        <x:v>360-367</x:v>
      </x:c>
      <x:c r="J79" s="5" t="str">
        <x:v>회사 채택안; 원문 의무수준과 별도 관리</x:v>
      </x:c>
      <x:c r="K79" s="5" t="str">
        <x:v>원문 등급 별도 확인</x:v>
      </x:c>
      <x:c r="L79" s="5" t="str">
        <x:v>MUST(안)</x:v>
      </x:c>
      <x:c r="M79" s="10" t="str">
        <x:v>조건부</x:v>
      </x:c>
      <x:c r="N79" s="5" t="str">
        <x:v>해당 기능 또는 서비스 조건이 실제 범위에 포함될 때 적용.</x:v>
      </x:c>
      <x:c r="O79" s="5" t="str">
        <x:v>해당 기능 또는 서비스 조건이 실제 범위에 포함될 때 적용.</x:v>
      </x:c>
      <x:c r="P79" s="5" t="str">
        <x:v>S01~S08 / 공통</x:v>
      </x:c>
      <x:c r="Q79" s="5" t="str">
        <x:v>서비스 장애가 있을 때만 상단 공지, 일시·영향·대처 안내</x:v>
      </x:c>
      <x:c r="R79" s="5" t="str">
        <x:v>반복 낭독이나 과도한 초점 강제 없이 인지 가능한지 확인</x:v>
      </x:c>
      <x:c r="S79" s="10" t="str">
        <x:v>자동+수동</x:v>
      </x:c>
      <x:c r="T79" s="5" t="str">
        <x:v>UX·개발·QA</x:v>
      </x:c>
      <x:c r="U79" s="5" t="str">
        <x:v>P2</x:v>
      </x:c>
      <x:c r="V79" s="10" t="str">
        <x:v>진행</x:v>
      </x:c>
      <x:c r="W79" s="5" t="str">
        <x:v>세션 만료 전 경고와 오류 알림을 제공한다. 별도의 긴급 운영공지 발행 기능은 구현하지 않았다.</x:v>
      </x:c>
      <x:c r="X79" s="5" t="str">
        <x:v>apps/web/src/App.tsx#App
apps/web/src/ui.tsx#ErrorBox</x:v>
      </x:c>
      <x:c r="Y79" s="5" t="str">
        <x:v>MAN-UI-028</x:v>
      </x:c>
      <x:c r="Z79" s="10" t="str">
        <x:v>미실행</x:v>
      </x:c>
      <x:c r="AA79" s="10" t="str">
        <x:v>미실행</x:v>
      </x:c>
      <x:c r="AB79" s="5" t="str"/>
      <x:c r="AC79" s="5" t="n">
        <x:v>0</x:v>
      </x:c>
      <x:c r="AD79" s="5" t="n">
        <x:v>1</x:v>
      </x:c>
      <x:c r="AE79" s="10" t="str">
        <x:v>미실행</x:v>
      </x:c>
      <x:c r="AF79" s="5" t="str"/>
      <x:c r="AG79" s="5" t="str"/>
      <x:c r="AH79" s="5" t="str"/>
      <x:c r="AI79" s="10" t="str">
        <x:v>재확인필요</x:v>
      </x:c>
      <x:c r="AJ79" s="5" t="str">
        <x:f>IF(AND(M79="적용",V79="구현",X79&lt;&gt;"",Y79&lt;&gt;"",AB79&lt;&gt;"",AC79&gt;0,AD79&gt;0,AE79="통과",AF79="",AG79&lt;&gt;"",AH79&lt;&gt;"",OR(S79="자동",S79="수동",S79="자동+수동"),IF(OR(S79="자동",S79="자동+수동"),Z79="통과",TRUE),IF(OR(S79="수동",S79="자동+수동"),AA79="통과",TRUE)),"통과",IF(OR(Z79="실패",AA79="실패",AE79="실패"),"실패","보류"))</x:f>
        <x:v>보류</x:v>
      </x:c>
      <x:c r="AK79" s="5" t="str">
        <x:v>KRDS-SEC-029</x:v>
      </x:c>
      <x:c r="AL79" s="5" t="str"/>
      <x:c r="AM79" s="5" t="str">
        <x:v>입력 v0.1 계획 주석은 original_plan_note에 보존. 최신 구현·시험·증빙은 연결 적용기록을 참조하며 전체 준수·인증을 주장하지 않음.</x:v>
      </x:c>
    </x:row>
    <x:row r="80" ht="26.399999618530273" hidden="0" customHeight="1">
      <x:c r="A80" s="5" t="str">
        <x:v>UI-029</x:v>
      </x:c>
      <x:c r="B80" s="5" t="str">
        <x:v>KRDS UI/UX</x:v>
      </x:c>
      <x:c r="C80" s="5" t="str">
        <x:v>UI 컴포넌트</x:v>
      </x:c>
      <x:c r="D80" s="5" t="str">
        <x:v>달력</x:v>
      </x:c>
      <x:c r="E80" s="5" t="str">
        <x:v>달력 선택과 직접 입력을 함께 지원</x:v>
      </x:c>
      <x:c r="F80" s="5" t="str">
        <x:v>SRC-001</x:v>
      </x:c>
      <x:c r="G80" s="5" t="str">
        <x:v>2025.08</x:v>
      </x:c>
      <x:c r="H80" s="5" t="str">
        <x:v>컴포넌트 / 레이아웃·표현 / 달력</x:v>
      </x:c>
      <x:c r="I80" s="5" t="str">
        <x:v>368-378</x:v>
      </x:c>
      <x:c r="J80" s="5" t="str">
        <x:v>회사 채택안; 원문 의무수준과 별도 관리</x:v>
      </x:c>
      <x:c r="K80" s="5" t="str">
        <x:v>원문 등급 별도 확인</x:v>
      </x:c>
      <x:c r="L80" s="5" t="str">
        <x:v>MUST(안)</x:v>
      </x:c>
      <x:c r="M80" s="10" t="str">
        <x:v>조건부</x:v>
      </x:c>
      <x:c r="N80" s="5" t="str">
        <x:v>해당 기능 또는 서비스 조건이 실제 범위에 포함될 때 적용.</x:v>
      </x:c>
      <x:c r="O80" s="5" t="str">
        <x:v>해당 기능 또는 서비스 조건이 실제 범위에 포함될 때 적용.</x:v>
      </x:c>
      <x:c r="P80" s="5" t="str">
        <x:v>S05</x:v>
      </x:c>
      <x:c r="Q80" s="5" t="str">
        <x:v>사용 시 날짜 텍스트 입력을 기본으로 유지하고 팝업 달력에 키보드 조작 제공</x:v>
      </x:c>
      <x:c r="R80" s="5" t="str">
        <x:v>날짜 이동·선택·닫기·초점 복귀와 날짜 형식 안내 확인</x:v>
      </x:c>
      <x:c r="S80" s="10" t="str">
        <x:v>자동+수동</x:v>
      </x:c>
      <x:c r="T80" s="5" t="str">
        <x:v>UX·개발·QA</x:v>
      </x:c>
      <x:c r="U80" s="5" t="str">
        <x:v>P1</x:v>
      </x:c>
      <x:c r="V80" s="10" t="str">
        <x:v>계획</x:v>
      </x:c>
      <x:c r="W80" s="5" t="str">
        <x:v>달력이나 업무 날짜 직접 입력 필드는 샘플에 도입하지 않았다. 날짜 기능 도입 시 직접입력·형식 안내와 달력 키보드 조작을 재평가한다.</x:v>
      </x:c>
      <x:c r="X80" s="5" t="str"/>
      <x:c r="Y80" s="5" t="str">
        <x:v>MAN-UI-029</x:v>
      </x:c>
      <x:c r="Z80" s="10" t="str">
        <x:v>미실행</x:v>
      </x:c>
      <x:c r="AA80" s="10" t="str">
        <x:v>미실행</x:v>
      </x:c>
      <x:c r="AB80" s="5" t="str"/>
      <x:c r="AC80" s="5" t="n">
        <x:v>0</x:v>
      </x:c>
      <x:c r="AD80" s="5" t="n">
        <x:v>1</x:v>
      </x:c>
      <x:c r="AE80" s="10" t="str">
        <x:v>미실행</x:v>
      </x:c>
      <x:c r="AF80" s="5" t="str"/>
      <x:c r="AG80" s="5" t="str"/>
      <x:c r="AH80" s="5" t="str"/>
      <x:c r="AI80" s="10" t="str">
        <x:v>재확인필요</x:v>
      </x:c>
      <x:c r="AJ80" s="5" t="str">
        <x:f>IF(AND(M80="적용",V80="구현",X80&lt;&gt;"",Y80&lt;&gt;"",AB80&lt;&gt;"",AC80&gt;0,AD80&gt;0,AE80="통과",AF80="",AG80&lt;&gt;"",AH80&lt;&gt;"",OR(S80="자동",S80="수동",S80="자동+수동"),IF(OR(S80="자동",S80="자동+수동"),Z80="통과",TRUE),IF(OR(S80="수동",S80="자동+수동"),AA80="통과",TRUE)),"통과",IF(OR(Z80="실패",AA80="실패",AE80="실패"),"실패","보류"))</x:f>
        <x:v>보류</x:v>
      </x:c>
      <x:c r="AK80" s="5" t="str">
        <x:v>KRDS-SEC-030</x:v>
      </x:c>
      <x:c r="AL80" s="5" t="str"/>
      <x:c r="AM80" s="5" t="str">
        <x:v>입력 v0.1 계획 주석은 original_plan_note에 보존. 최신 구현·시험·증빙은 연결 적용기록을 참조하며 전체 준수·인증을 주장하지 않음.</x:v>
      </x:c>
    </x:row>
    <x:row r="81" ht="26.399999618530273" hidden="0" customHeight="1">
      <x:c r="A81" s="5" t="str">
        <x:v>UI-030</x:v>
      </x:c>
      <x:c r="B81" s="5" t="str">
        <x:v>KRDS UI/UX</x:v>
      </x:c>
      <x:c r="C81" s="5" t="str">
        <x:v>UI 컴포넌트</x:v>
      </x:c>
      <x:c r="D81" s="5" t="str">
        <x:v>디스클로저</x:v>
      </x:c>
      <x:c r="E81" s="5" t="str">
        <x:v>추가 정보의 펼침 상태를 명확히 표현</x:v>
      </x:c>
      <x:c r="F81" s="5" t="str">
        <x:v>SRC-001</x:v>
      </x:c>
      <x:c r="G81" s="5" t="str">
        <x:v>2025.08</x:v>
      </x:c>
      <x:c r="H81" s="5" t="str">
        <x:v>컴포넌트 / 레이아웃·표현 / 디스클로저</x:v>
      </x:c>
      <x:c r="I81" s="5" t="str">
        <x:v>379-386</x:v>
      </x:c>
      <x:c r="J81" s="5" t="str">
        <x:v>회사 채택안; 원문 의무수준과 별도 관리</x:v>
      </x:c>
      <x:c r="K81" s="5" t="str">
        <x:v>원문 등급 별도 확인</x:v>
      </x:c>
      <x:c r="L81" s="5" t="str">
        <x:v>MUST(안)</x:v>
      </x:c>
      <x:c r="M81" s="10" t="str">
        <x:v>적용</x:v>
      </x:c>
      <x:c r="N81" s="5" t="str">
        <x:v>업무요청 웹 샘플에 채택하는 회사 기준. 실제 이행은 구현 후 판정.</x:v>
      </x:c>
      <x:c r="O81" s="5" t="str">
        <x:v>관련 기능·적용 기관·계약 변경 시 재평가</x:v>
      </x:c>
      <x:c r="P81" s="5" t="str">
        <x:v>S01~S08 / 공통</x:v>
      </x:c>
      <x:c r="Q81" s="5" t="str">
        <x:v>기본 details/summary 또는 버튼과 aria-expanded로 보충정보 표시</x:v>
      </x:c>
      <x:c r="R81" s="5" t="str">
        <x:v>Enter/Space 작동, 펼침 상태와 숨긴 콘텐츠 접근 확인</x:v>
      </x:c>
      <x:c r="S81" s="10" t="str">
        <x:v>자동+수동</x:v>
      </x:c>
      <x:c r="T81" s="5" t="str">
        <x:v>UX·개발·QA</x:v>
      </x:c>
      <x:c r="U81" s="5" t="str">
        <x:v>P1</x:v>
      </x:c>
      <x:c r="V81" s="10" t="str">
        <x:v>구현</x:v>
      </x:c>
      <x:c r="W81" s="5" t="str">
        <x:v>각 표준에 HTML details/summary를 사용하여 출처·구현·시험·증빙을 키보드로 펼치고 닫을 수 있다. 펼침 상태는 브라우저의 네이티브 접근성 의미로 전달한다.</x:v>
      </x:c>
      <x:c r="X81" s="5" t="str">
        <x:v>apps/web/src/StandardsBrowser.tsx#StandardsBrowser</x:v>
      </x:c>
      <x:c r="Y81" s="5" t="str">
        <x:v>MAN-UI-030</x:v>
      </x:c>
      <x:c r="Z81" s="10" t="str">
        <x:v>미실행</x:v>
      </x:c>
      <x:c r="AA81" s="10" t="str">
        <x:v>미실행</x:v>
      </x:c>
      <x:c r="AB81" s="5" t="str"/>
      <x:c r="AC81" s="5" t="n">
        <x:v>0</x:v>
      </x:c>
      <x:c r="AD81" s="5" t="n">
        <x:v>1</x:v>
      </x:c>
      <x:c r="AE81" s="10" t="str">
        <x:v>미실행</x:v>
      </x:c>
      <x:c r="AF81" s="5" t="str"/>
      <x:c r="AG81" s="5" t="str"/>
      <x:c r="AH81" s="5" t="str"/>
      <x:c r="AI81" s="10" t="str">
        <x:v>재확인필요</x:v>
      </x:c>
      <x:c r="AJ81" s="5" t="str">
        <x:f>IF(AND(M81="적용",V81="구현",X81&lt;&gt;"",Y81&lt;&gt;"",AB81&lt;&gt;"",AC81&gt;0,AD81&gt;0,AE81="통과",AF81="",AG81&lt;&gt;"",AH81&lt;&gt;"",OR(S81="자동",S81="수동",S81="자동+수동"),IF(OR(S81="자동",S81="자동+수동"),Z81="통과",TRUE),IF(OR(S81="수동",S81="자동+수동"),AA81="통과",TRUE)),"통과",IF(OR(Z81="실패",AA81="실패",AE81="실패"),"실패","보류"))</x:f>
        <x:v>보류</x:v>
      </x:c>
      <x:c r="AK81" s="5" t="str">
        <x:v>KRDS-SEC-031</x:v>
      </x:c>
      <x:c r="AL81" s="5" t="str"/>
      <x:c r="AM81" s="5" t="str">
        <x:v>입력 v0.1 계획 주석은 original_plan_note에 보존. 최신 구현·시험·증빙은 연결 적용기록을 참조하며 전체 준수·인증을 주장하지 않음.</x:v>
      </x:c>
    </x:row>
    <x:row r="82" ht="26.399999618530273" hidden="0" customHeight="1">
      <x:c r="A82" s="5" t="str">
        <x:v>UI-031</x:v>
      </x:c>
      <x:c r="B82" s="5" t="str">
        <x:v>KRDS UI/UX</x:v>
      </x:c>
      <x:c r="C82" s="5" t="str">
        <x:v>UI 컴포넌트</x:v>
      </x:c>
      <x:c r="D82" s="5" t="str">
        <x:v>모달</x:v>
      </x:c>
      <x:c r="E82" s="5" t="str">
        <x:v>모달 내 작업·닫기·초점 흐름 제공</x:v>
      </x:c>
      <x:c r="F82" s="5" t="str">
        <x:v>SRC-001</x:v>
      </x:c>
      <x:c r="G82" s="5" t="str">
        <x:v>2025.08</x:v>
      </x:c>
      <x:c r="H82" s="5" t="str">
        <x:v>컴포넌트 / 레이아웃·표현 / 모달</x:v>
      </x:c>
      <x:c r="I82" s="5" t="str">
        <x:v>387-398</x:v>
      </x:c>
      <x:c r="J82" s="5" t="str">
        <x:v>회사 채택안; 원문 의무수준과 별도 관리</x:v>
      </x:c>
      <x:c r="K82" s="5" t="str">
        <x:v>원문 등급 별도 확인</x:v>
      </x:c>
      <x:c r="L82" s="5" t="str">
        <x:v>MUST(안)</x:v>
      </x:c>
      <x:c r="M82" s="10" t="str">
        <x:v>적용</x:v>
      </x:c>
      <x:c r="N82" s="5" t="str">
        <x:v>업무요청 웹 샘플에 채택하는 회사 기준. 실제 이행은 구현 후 판정.</x:v>
      </x:c>
      <x:c r="O82" s="5" t="str">
        <x:v>관련 기능·적용 기관·계약 변경 시 재평가</x:v>
      </x:c>
      <x:c r="P82" s="5" t="str">
        <x:v>S01~S08 / 공통</x:v>
      </x:c>
      <x:c r="Q82" s="5" t="str">
        <x:v>제목을 연결한 대화상자, 내부 포커스 유지, Escape·취소, 호출 버튼으로 복귀</x:v>
      </x:c>
      <x:c r="R82" s="5" t="str">
        <x:v>키보드 순환·Escape·스크린리더·배경 비활성 점검</x:v>
      </x:c>
      <x:c r="S82" s="10" t="str">
        <x:v>자동+수동</x:v>
      </x:c>
      <x:c r="T82" s="5" t="str">
        <x:v>UX·개발·QA</x:v>
      </x:c>
      <x:c r="U82" s="5" t="str">
        <x:v>P0</x:v>
      </x:c>
      <x:c r="V82" s="10" t="str">
        <x:v>구현</x:v>
      </x:c>
      <x:c r="W82" s="5" t="str">
        <x:v>네이티브 dialog.showModal과 고유 제목 ID, 닫기 버튼, Escape, 명시적 Tab/Shift+Tab 내부 순환 및 닫은 뒤 원래 초점 복귀를 구현한다.</x:v>
      </x:c>
      <x:c r="X82" s="5" t="str">
        <x:v>apps/web/src/ui.tsx#Modal</x:v>
      </x:c>
      <x:c r="Y82" s="5" t="str">
        <x:v>MAN-UI-031</x:v>
      </x:c>
      <x:c r="Z82" s="10" t="str">
        <x:v>미실행</x:v>
      </x:c>
      <x:c r="AA82" s="10" t="str">
        <x:v>미실행</x:v>
      </x:c>
      <x:c r="AB82" s="5" t="str"/>
      <x:c r="AC82" s="5" t="n">
        <x:v>0</x:v>
      </x:c>
      <x:c r="AD82" s="5" t="n">
        <x:v>1</x:v>
      </x:c>
      <x:c r="AE82" s="10" t="str">
        <x:v>미실행</x:v>
      </x:c>
      <x:c r="AF82" s="5" t="str"/>
      <x:c r="AG82" s="5" t="str"/>
      <x:c r="AH82" s="5" t="str"/>
      <x:c r="AI82" s="10" t="str">
        <x:v>재확인필요</x:v>
      </x:c>
      <x:c r="AJ82" s="5" t="str">
        <x:f>IF(AND(M82="적용",V82="구현",X82&lt;&gt;"",Y82&lt;&gt;"",AB82&lt;&gt;"",AC82&gt;0,AD82&gt;0,AE82="통과",AF82="",AG82&lt;&gt;"",AH82&lt;&gt;"",OR(S82="자동",S82="수동",S82="자동+수동"),IF(OR(S82="자동",S82="자동+수동"),Z82="통과",TRUE),IF(OR(S82="수동",S82="자동+수동"),AA82="통과",TRUE)),"통과",IF(OR(Z82="실패",AA82="실패",AE82="실패"),"실패","보류"))</x:f>
        <x:v>보류</x:v>
      </x:c>
      <x:c r="AK82" s="5" t="str">
        <x:v>KRDS-SEC-032</x:v>
      </x:c>
      <x:c r="AL82" s="5" t="str"/>
      <x:c r="AM82" s="5" t="str">
        <x:v>입력 v0.1 계획 주석은 original_plan_note에 보존. 최신 구현·시험·증빙은 연결 적용기록을 참조하며 전체 준수·인증을 주장하지 않음.</x:v>
      </x:c>
    </x:row>
    <x:row r="83" ht="26.399999618530273" hidden="0" customHeight="1">
      <x:c r="A83" s="5" t="str">
        <x:v>UI-032</x:v>
      </x:c>
      <x:c r="B83" s="5" t="str">
        <x:v>KRDS UI/UX</x:v>
      </x:c>
      <x:c r="C83" s="5" t="str">
        <x:v>UI 컴포넌트</x:v>
      </x:c>
      <x:c r="D83" s="5" t="str">
        <x:v>배지</x:v>
      </x:c>
      <x:c r="E83" s="5" t="str">
        <x:v>상태를 텍스트와 시각 단서로 전달</x:v>
      </x:c>
      <x:c r="F83" s="5" t="str">
        <x:v>SRC-001</x:v>
      </x:c>
      <x:c r="G83" s="5" t="str">
        <x:v>2025.08</x:v>
      </x:c>
      <x:c r="H83" s="5" t="str">
        <x:v>컴포넌트 / 레이아웃·표현 / 배지</x:v>
      </x:c>
      <x:c r="I83" s="5" t="str">
        <x:v>399-404</x:v>
      </x:c>
      <x:c r="J83" s="5" t="str">
        <x:v>회사 채택안; 원문 의무수준과 별도 관리</x:v>
      </x:c>
      <x:c r="K83" s="5" t="str">
        <x:v>원문 등급 별도 확인</x:v>
      </x:c>
      <x:c r="L83" s="5" t="str">
        <x:v>MUST(안)</x:v>
      </x:c>
      <x:c r="M83" s="10" t="str">
        <x:v>적용</x:v>
      </x:c>
      <x:c r="N83" s="5" t="str">
        <x:v>업무요청 웹 샘플에 채택하는 회사 기준. 실제 이행은 구현 후 판정.</x:v>
      </x:c>
      <x:c r="O83" s="5" t="str">
        <x:v>관련 기능·적용 기관·계약 변경 시 재평가</x:v>
      </x:c>
      <x:c r="P83" s="5" t="str">
        <x:v>S05</x:v>
      </x:c>
      <x:c r="Q83" s="5" t="str">
        <x:v>접수/처리중/완료 상태를 텍스트+색+필요시 아이콘으로 표현</x:v>
      </x:c>
      <x:c r="R83" s="5" t="str">
        <x:v>색 제거 시에도 상태 구분 가능 여부 확인</x:v>
      </x:c>
      <x:c r="S83" s="10" t="str">
        <x:v>자동+수동</x:v>
      </x:c>
      <x:c r="T83" s="5" t="str">
        <x:v>UX·개발·QA</x:v>
      </x:c>
      <x:c r="U83" s="5" t="str">
        <x:v>P1</x:v>
      </x:c>
      <x:c r="V83" s="10" t="str">
        <x:v>구현</x:v>
      </x:c>
      <x:c r="W83" s="5" t="str">
        <x:v>접수·처리 중·완료·반려를 이름과 색/아이콘으로 표시한다. 표준의 적용·구현·검증 상태는 각각 분리하여 표시한다.</x:v>
      </x:c>
      <x:c r="X83" s="5" t="str">
        <x:v>apps/web/src/ui.tsx#Badge
apps/web/src/styles.css</x:v>
      </x:c>
      <x:c r="Y83" s="5" t="str">
        <x:v>MAN-UI-032</x:v>
      </x:c>
      <x:c r="Z83" s="10" t="str">
        <x:v>미실행</x:v>
      </x:c>
      <x:c r="AA83" s="10" t="str">
        <x:v>미실행</x:v>
      </x:c>
      <x:c r="AB83" s="5" t="str"/>
      <x:c r="AC83" s="5" t="n">
        <x:v>0</x:v>
      </x:c>
      <x:c r="AD83" s="5" t="n">
        <x:v>1</x:v>
      </x:c>
      <x:c r="AE83" s="10" t="str">
        <x:v>미실행</x:v>
      </x:c>
      <x:c r="AF83" s="5" t="str"/>
      <x:c r="AG83" s="5" t="str"/>
      <x:c r="AH83" s="5" t="str"/>
      <x:c r="AI83" s="10" t="str">
        <x:v>재확인필요</x:v>
      </x:c>
      <x:c r="AJ83" s="5" t="str">
        <x:f>IF(AND(M83="적용",V83="구현",X83&lt;&gt;"",Y83&lt;&gt;"",AB83&lt;&gt;"",AC83&gt;0,AD83&gt;0,AE83="통과",AF83="",AG83&lt;&gt;"",AH83&lt;&gt;"",OR(S83="자동",S83="수동",S83="자동+수동"),IF(OR(S83="자동",S83="자동+수동"),Z83="통과",TRUE),IF(OR(S83="수동",S83="자동+수동"),AA83="통과",TRUE)),"통과",IF(OR(Z83="실패",AA83="실패",AE83="실패"),"실패","보류"))</x:f>
        <x:v>보류</x:v>
      </x:c>
      <x:c r="AK83" s="5" t="str">
        <x:v>KRDS-SEC-033</x:v>
      </x:c>
      <x:c r="AL83" s="5" t="str"/>
      <x:c r="AM83" s="5" t="str">
        <x:v>입력 v0.1 계획 주석은 original_plan_note에 보존. 최신 구현·시험·증빙은 연결 적용기록을 참조하며 전체 준수·인증을 주장하지 않음.</x:v>
      </x:c>
    </x:row>
    <x:row r="84" ht="26.399999618530273" hidden="0" customHeight="1">
      <x:c r="A84" s="5" t="str">
        <x:v>UI-033</x:v>
      </x:c>
      <x:c r="B84" s="5" t="str">
        <x:v>KRDS UI/UX</x:v>
      </x:c>
      <x:c r="C84" s="5" t="str">
        <x:v>UI 컴포넌트</x:v>
      </x:c>
      <x:c r="D84" s="5" t="str">
        <x:v>아코디언</x:v>
      </x:c>
      <x:c r="E84" s="5" t="str">
        <x:v>여러 설명 영역을 예측 가능하게 확장</x:v>
      </x:c>
      <x:c r="F84" s="5" t="str">
        <x:v>SRC-001</x:v>
      </x:c>
      <x:c r="G84" s="5" t="str">
        <x:v>2025.08</x:v>
      </x:c>
      <x:c r="H84" s="5" t="str">
        <x:v>컴포넌트 / 레이아웃·표현 / 아코디언</x:v>
      </x:c>
      <x:c r="I84" s="5" t="str">
        <x:v>405-415</x:v>
      </x:c>
      <x:c r="J84" s="5" t="str">
        <x:v>회사 채택안; 원문 의무수준과 별도 관리</x:v>
      </x:c>
      <x:c r="K84" s="5" t="str">
        <x:v>원문 등급 별도 확인</x:v>
      </x:c>
      <x:c r="L84" s="5" t="str">
        <x:v>MUST(안)</x:v>
      </x:c>
      <x:c r="M84" s="10" t="str">
        <x:v>적용</x:v>
      </x:c>
      <x:c r="N84" s="5" t="str">
        <x:v>업무요청 웹 샘플에 채택하는 회사 기준. 실제 이행은 구현 후 판정.</x:v>
      </x:c>
      <x:c r="O84" s="5" t="str">
        <x:v>관련 기능·적용 기관·계약 변경 시 재평가</x:v>
      </x:c>
      <x:c r="P84" s="5" t="str">
        <x:v>S01~S08 / 공통</x:v>
      </x:c>
      <x:c r="Q84" s="5" t="str">
        <x:v>FAQ에 제목 버튼과 연결 패널, 상태 속성 제공</x:v>
      </x:c>
      <x:c r="R84" s="5" t="str">
        <x:v>각 제목의 실행·초점·확장 상태 확인</x:v>
      </x:c>
      <x:c r="S84" s="10" t="str">
        <x:v>자동+수동</x:v>
      </x:c>
      <x:c r="T84" s="5" t="str">
        <x:v>UX·개발·QA</x:v>
      </x:c>
      <x:c r="U84" s="5" t="str">
        <x:v>P1</x:v>
      </x:c>
      <x:c r="V84" s="10" t="str">
        <x:v>구현</x:v>
      </x:c>
      <x:c r="W84" s="5" t="str">
        <x:v>각 표준에 HTML details/summary를 사용하여 출처·구현·시험·증빙을 키보드로 펼치고 닫을 수 있다. 펼침 상태는 브라우저의 네이티브 접근성 의미로 전달한다.</x:v>
      </x:c>
      <x:c r="X84" s="5" t="str">
        <x:v>apps/web/src/StandardsBrowser.tsx#StandardsBrowser</x:v>
      </x:c>
      <x:c r="Y84" s="5" t="str">
        <x:v>MAN-UI-033</x:v>
      </x:c>
      <x:c r="Z84" s="10" t="str">
        <x:v>미실행</x:v>
      </x:c>
      <x:c r="AA84" s="10" t="str">
        <x:v>미실행</x:v>
      </x:c>
      <x:c r="AB84" s="5" t="str"/>
      <x:c r="AC84" s="5" t="n">
        <x:v>0</x:v>
      </x:c>
      <x:c r="AD84" s="5" t="n">
        <x:v>1</x:v>
      </x:c>
      <x:c r="AE84" s="10" t="str">
        <x:v>미실행</x:v>
      </x:c>
      <x:c r="AF84" s="5" t="str"/>
      <x:c r="AG84" s="5" t="str"/>
      <x:c r="AH84" s="5" t="str"/>
      <x:c r="AI84" s="10" t="str">
        <x:v>재확인필요</x:v>
      </x:c>
      <x:c r="AJ84" s="5" t="str">
        <x:f>IF(AND(M84="적용",V84="구현",X84&lt;&gt;"",Y84&lt;&gt;"",AB84&lt;&gt;"",AC84&gt;0,AD84&gt;0,AE84="통과",AF84="",AG84&lt;&gt;"",AH84&lt;&gt;"",OR(S84="자동",S84="수동",S84="자동+수동"),IF(OR(S84="자동",S84="자동+수동"),Z84="통과",TRUE),IF(OR(S84="수동",S84="자동+수동"),AA84="통과",TRUE)),"통과",IF(OR(Z84="실패",AA84="실패",AE84="실패"),"실패","보류"))</x:f>
        <x:v>보류</x:v>
      </x:c>
      <x:c r="AK84" s="5" t="str">
        <x:v>KRDS-SEC-034</x:v>
      </x:c>
      <x:c r="AL84" s="5" t="str"/>
      <x:c r="AM84" s="5" t="str">
        <x:v>입력 v0.1 계획 주석은 original_plan_note에 보존. 최신 구현·시험·증빙은 연결 적용기록을 참조하며 전체 준수·인증을 주장하지 않음.</x:v>
      </x:c>
    </x:row>
    <x:row r="85" ht="39.599998474121094" hidden="0" customHeight="1">
      <x:c r="A85" s="5" t="str">
        <x:v>UI-034</x:v>
      </x:c>
      <x:c r="B85" s="5" t="str">
        <x:v>KRDS UI/UX</x:v>
      </x:c>
      <x:c r="C85" s="5" t="str">
        <x:v>UI 컴포넌트</x:v>
      </x:c>
      <x:c r="D85" s="5" t="str">
        <x:v>이미지</x:v>
      </x:c>
      <x:c r="E85" s="5" t="str">
        <x:v>이미지 목적에 맞는 대체정보 제공</x:v>
      </x:c>
      <x:c r="F85" s="5" t="str">
        <x:v>SRC-001</x:v>
      </x:c>
      <x:c r="G85" s="5" t="str">
        <x:v>2025.08</x:v>
      </x:c>
      <x:c r="H85" s="5" t="str">
        <x:v>컴포넌트 / 레이아웃·표현 / 이미지</x:v>
      </x:c>
      <x:c r="I85" s="5" t="str">
        <x:v>416-423</x:v>
      </x:c>
      <x:c r="J85" s="5" t="str">
        <x:v>회사 채택안; 원문 의무수준과 별도 관리</x:v>
      </x:c>
      <x:c r="K85" s="5" t="str">
        <x:v>원문 등급 별도 확인</x:v>
      </x:c>
      <x:c r="L85" s="5" t="str">
        <x:v>MUST(안)</x:v>
      </x:c>
      <x:c r="M85" s="10" t="str">
        <x:v>적용</x:v>
      </x:c>
      <x:c r="N85" s="5" t="str">
        <x:v>업무요청 웹 샘플에 채택하는 회사 기준. 실제 이행은 구현 후 판정.</x:v>
      </x:c>
      <x:c r="O85" s="5" t="str">
        <x:v>관련 기능·적용 기관·계약 변경 시 재평가</x:v>
      </x:c>
      <x:c r="P85" s="5" t="str">
        <x:v>S04, S05</x:v>
      </x:c>
      <x:c r="Q85" s="5" t="str">
        <x:v>첨부 이미지 미리보기에는 목적에 맞는 alt, 장식 이미지에는 빈 alt 제공</x:v>
      </x:c>
      <x:c r="R85" s="5" t="str">
        <x:v>유의미한 이미지와 장식 이미지의 대체텍스트 검토</x:v>
      </x:c>
      <x:c r="S85" s="10" t="str">
        <x:v>자동+수동</x:v>
      </x:c>
      <x:c r="T85" s="5" t="str">
        <x:v>UX·개발·QA</x:v>
      </x:c>
      <x:c r="U85" s="5" t="str">
        <x:v>P0</x:v>
      </x:c>
      <x:c r="V85" s="10" t="str">
        <x:v>구현</x:v>
      </x:c>
      <x:c r="W85" s="5" t="str">
        <x:v>장식용 CSS 도형은 aria-hidden으로 제외하고 의미 있는 아이콘은 가시적 텍스트 또는 버튼 접근명으로 설명한다. 별도 래스터 이미지 콘텐츠는 도입하지 않았다.</x:v>
      </x:c>
      <x:c r="X85" s="5" t="str">
        <x:v>apps/web/src/App.tsx#Dashboard
apps/web/src/App.tsx#Login
apps/web/src/styles.css</x:v>
      </x:c>
      <x:c r="Y85" s="5" t="str">
        <x:v>MAN-UI-034</x:v>
      </x:c>
      <x:c r="Z85" s="10" t="str">
        <x:v>미실행</x:v>
      </x:c>
      <x:c r="AA85" s="10" t="str">
        <x:v>미실행</x:v>
      </x:c>
      <x:c r="AB85" s="5" t="str"/>
      <x:c r="AC85" s="5" t="n">
        <x:v>0</x:v>
      </x:c>
      <x:c r="AD85" s="5" t="n">
        <x:v>1</x:v>
      </x:c>
      <x:c r="AE85" s="10" t="str">
        <x:v>미실행</x:v>
      </x:c>
      <x:c r="AF85" s="5" t="str"/>
      <x:c r="AG85" s="5" t="str"/>
      <x:c r="AH85" s="5" t="str"/>
      <x:c r="AI85" s="10" t="str">
        <x:v>재확인필요</x:v>
      </x:c>
      <x:c r="AJ85" s="5" t="str">
        <x:f>IF(AND(M85="적용",V85="구현",X85&lt;&gt;"",Y85&lt;&gt;"",AB85&lt;&gt;"",AC85&gt;0,AD85&gt;0,AE85="통과",AF85="",AG85&lt;&gt;"",AH85&lt;&gt;"",OR(S85="자동",S85="수동",S85="자동+수동"),IF(OR(S85="자동",S85="자동+수동"),Z85="통과",TRUE),IF(OR(S85="수동",S85="자동+수동"),AA85="통과",TRUE)),"통과",IF(OR(Z85="실패",AA85="실패",AE85="실패"),"실패","보류"))</x:f>
        <x:v>보류</x:v>
      </x:c>
      <x:c r="AK85" s="5" t="str">
        <x:v>KRDS-SEC-035</x:v>
      </x:c>
      <x:c r="AL85" s="5" t="str"/>
      <x:c r="AM85" s="5" t="str">
        <x:v>입력 v0.1 계획 주석은 original_plan_note에 보존. 최신 구현·시험·증빙은 연결 적용기록을 참조하며 전체 준수·인증을 주장하지 않음.</x:v>
      </x:c>
    </x:row>
    <x:row r="86" ht="26.399999618530273" hidden="0" customHeight="1">
      <x:c r="A86" s="5" t="str">
        <x:v>UI-035</x:v>
      </x:c>
      <x:c r="B86" s="5" t="str">
        <x:v>KRDS UI/UX</x:v>
      </x:c>
      <x:c r="C86" s="5" t="str">
        <x:v>UI 컴포넌트</x:v>
      </x:c>
      <x:c r="D86" s="5" t="str">
        <x:v>캐러셀</x:v>
      </x:c>
      <x:c r="E86" s="5" t="str">
        <x:v>캐러셀 사용 시 사용자 제어를 보장</x:v>
      </x:c>
      <x:c r="F86" s="5" t="str">
        <x:v>SRC-001</x:v>
      </x:c>
      <x:c r="G86" s="5" t="str">
        <x:v>2025.08</x:v>
      </x:c>
      <x:c r="H86" s="5" t="str">
        <x:v>컴포넌트 / 레이아웃·표현 / 캐러셀</x:v>
      </x:c>
      <x:c r="I86" s="5" t="str">
        <x:v>424-444</x:v>
      </x:c>
      <x:c r="J86" s="5" t="str">
        <x:v>회사 채택안; 원문 의무수준과 별도 관리</x:v>
      </x:c>
      <x:c r="K86" s="5" t="str">
        <x:v>원문 등급 별도 확인</x:v>
      </x:c>
      <x:c r="L86" s="5" t="str">
        <x:v>MUST(안)</x:v>
      </x:c>
      <x:c r="M86" s="10" t="str">
        <x:v>조건부</x:v>
      </x:c>
      <x:c r="N86" s="5" t="str">
        <x:v>해당 기능 또는 서비스 조건이 실제 범위에 포함될 때 적용.</x:v>
      </x:c>
      <x:c r="O86" s="5" t="str">
        <x:v>해당 기능 또는 서비스 조건이 실제 범위에 포함될 때 적용.</x:v>
      </x:c>
      <x:c r="P86" s="5" t="str">
        <x:v>S01~S08 / 공통</x:v>
      </x:c>
      <x:c r="Q86" s="5" t="str">
        <x:v>기본 샘플에서는 미사용; 채택 시 이전/다음·정지·항목 상태를 제공</x:v>
      </x:c>
      <x:c r="R86" s="5" t="str">
        <x:v>자동회전 중지·키보드·터치·대체 콘텐츠 검증</x:v>
      </x:c>
      <x:c r="S86" s="10" t="str">
        <x:v>자동+수동</x:v>
      </x:c>
      <x:c r="T86" s="5" t="str">
        <x:v>UX·개발·QA</x:v>
      </x:c>
      <x:c r="U86" s="5" t="str">
        <x:v>P2</x:v>
      </x:c>
      <x:c r="V86" s="10" t="str">
        <x:v>계획</x:v>
      </x:c>
      <x:c r="W86" s="5" t="str">
        <x:v>자동 회전 캐러셀은 도입하지 않았다. 추가할 경우 정지·키보드·화면낭독기 상태 안내를 재평가한다.</x:v>
      </x:c>
      <x:c r="X86" s="5" t="str"/>
      <x:c r="Y86" s="5" t="str">
        <x:v>MAN-UI-035</x:v>
      </x:c>
      <x:c r="Z86" s="10" t="str">
        <x:v>미실행</x:v>
      </x:c>
      <x:c r="AA86" s="10" t="str">
        <x:v>미실행</x:v>
      </x:c>
      <x:c r="AB86" s="5" t="str"/>
      <x:c r="AC86" s="5" t="n">
        <x:v>0</x:v>
      </x:c>
      <x:c r="AD86" s="5" t="n">
        <x:v>1</x:v>
      </x:c>
      <x:c r="AE86" s="10" t="str">
        <x:v>미실행</x:v>
      </x:c>
      <x:c r="AF86" s="5" t="str"/>
      <x:c r="AG86" s="5" t="str"/>
      <x:c r="AH86" s="5" t="str"/>
      <x:c r="AI86" s="10" t="str">
        <x:v>재확인필요</x:v>
      </x:c>
      <x:c r="AJ86" s="5" t="str">
        <x:f>IF(AND(M86="적용",V86="구현",X86&lt;&gt;"",Y86&lt;&gt;"",AB86&lt;&gt;"",AC86&gt;0,AD86&gt;0,AE86="통과",AF86="",AG86&lt;&gt;"",AH86&lt;&gt;"",OR(S86="자동",S86="수동",S86="자동+수동"),IF(OR(S86="자동",S86="자동+수동"),Z86="통과",TRUE),IF(OR(S86="수동",S86="자동+수동"),AA86="통과",TRUE)),"통과",IF(OR(Z86="실패",AA86="실패",AE86="실패"),"실패","보류"))</x:f>
        <x:v>보류</x:v>
      </x:c>
      <x:c r="AK86" s="5" t="str">
        <x:v>KRDS-SEC-036</x:v>
      </x:c>
      <x:c r="AL86" s="5" t="str"/>
      <x:c r="AM86" s="5" t="str">
        <x:v>입력 v0.1 계획 주석은 original_plan_note에 보존. 최신 구현·시험·증빙은 연결 적용기록을 참조하며 전체 준수·인증을 주장하지 않음.</x:v>
      </x:c>
    </x:row>
    <x:row r="87" ht="39.599998474121094" hidden="0" customHeight="1">
      <x:c r="A87" s="5" t="str">
        <x:v>UI-036</x:v>
      </x:c>
      <x:c r="B87" s="5" t="str">
        <x:v>KRDS UI/UX</x:v>
      </x:c>
      <x:c r="C87" s="5" t="str">
        <x:v>UI 컴포넌트</x:v>
      </x:c>
      <x:c r="D87" s="5" t="str">
        <x:v>탭</x:v>
      </x:c>
      <x:c r="E87" s="5" t="str">
        <x:v>탭과 패널 관계·키보드 이동 제공</x:v>
      </x:c>
      <x:c r="F87" s="5" t="str">
        <x:v>SRC-001</x:v>
      </x:c>
      <x:c r="G87" s="5" t="str">
        <x:v>2025.08</x:v>
      </x:c>
      <x:c r="H87" s="5" t="str">
        <x:v>컴포넌트 / 레이아웃·표현 / 탭</x:v>
      </x:c>
      <x:c r="I87" s="5" t="str">
        <x:v>445-458</x:v>
      </x:c>
      <x:c r="J87" s="5" t="str">
        <x:v>회사 채택안; 원문 의무수준과 별도 관리</x:v>
      </x:c>
      <x:c r="K87" s="5" t="str">
        <x:v>원문 등급 별도 확인</x:v>
      </x:c>
      <x:c r="L87" s="5" t="str">
        <x:v>MUST(안)</x:v>
      </x:c>
      <x:c r="M87" s="10" t="str">
        <x:v>적용</x:v>
      </x:c>
      <x:c r="N87" s="5" t="str">
        <x:v>업무요청 웹 샘플에 채택하는 회사 기준. 실제 이행은 구현 후 판정.</x:v>
      </x:c>
      <x:c r="O87" s="5" t="str">
        <x:v>관련 기능·적용 기관·계약 변경 시 재평가</x:v>
      </x:c>
      <x:c r="P87" s="5" t="str">
        <x:v>S01~S08 / 공통</x:v>
      </x:c>
      <x:c r="Q87" s="5" t="str">
        <x:v>상세의 정보/이력 패널에 tablist/tab/tabpanel을 정확히 연결</x:v>
      </x:c>
      <x:c r="R87" s="5" t="str">
        <x:v>좌우 방향키·Home/End·선택 상태·패널 노출 확인</x:v>
      </x:c>
      <x:c r="S87" s="10" t="str">
        <x:v>자동+수동</x:v>
      </x:c>
      <x:c r="T87" s="5" t="str">
        <x:v>UX·개발·QA</x:v>
      </x:c>
      <x:c r="U87" s="5" t="str">
        <x:v>P1</x:v>
      </x:c>
      <x:c r="V87" s="10" t="str">
        <x:v>구현</x:v>
      </x:c>
      <x:c r="W87" s="5" t="str">
        <x:v>갤러리에 tablist/tab/tabpanel 관계와 aria-selected, aria-controls, roving tabindex를 구현했다. 좌우 방향키 순환·Home/End·활성 패널 이동을 제공한다. 도움말 분류는 별도의 일반 페이지 탐색 링크다.</x:v>
      </x:c>
      <x:c r="X87" s="5" t="str">
        <x:v>apps/web/src/ui.tsx#TabsExample
apps/web/src/App.tsx#Help</x:v>
      </x:c>
      <x:c r="Y87" s="5" t="str">
        <x:v>MAN-UI-036</x:v>
      </x:c>
      <x:c r="Z87" s="10" t="str">
        <x:v>미실행</x:v>
      </x:c>
      <x:c r="AA87" s="10" t="str">
        <x:v>미실행</x:v>
      </x:c>
      <x:c r="AB87" s="5" t="str"/>
      <x:c r="AC87" s="5" t="n">
        <x:v>0</x:v>
      </x:c>
      <x:c r="AD87" s="5" t="n">
        <x:v>1</x:v>
      </x:c>
      <x:c r="AE87" s="10" t="str">
        <x:v>미실행</x:v>
      </x:c>
      <x:c r="AF87" s="5" t="str"/>
      <x:c r="AG87" s="5" t="str"/>
      <x:c r="AH87" s="5" t="str"/>
      <x:c r="AI87" s="10" t="str">
        <x:v>재확인필요</x:v>
      </x:c>
      <x:c r="AJ87" s="5" t="str">
        <x:f>IF(AND(M87="적용",V87="구현",X87&lt;&gt;"",Y87&lt;&gt;"",AB87&lt;&gt;"",AC87&gt;0,AD87&gt;0,AE87="통과",AF87="",AG87&lt;&gt;"",AH87&lt;&gt;"",OR(S87="자동",S87="수동",S87="자동+수동"),IF(OR(S87="자동",S87="자동+수동"),Z87="통과",TRUE),IF(OR(S87="수동",S87="자동+수동"),AA87="통과",TRUE)),"통과",IF(OR(Z87="실패",AA87="실패",AE87="실패"),"실패","보류"))</x:f>
        <x:v>보류</x:v>
      </x:c>
      <x:c r="AK87" s="5" t="str">
        <x:v>KRDS-SEC-037</x:v>
      </x:c>
      <x:c r="AL87" s="5" t="str"/>
      <x:c r="AM87" s="5" t="str">
        <x:v>입력 v0.1 계획 주석은 original_plan_note에 보존. 최신 구현·시험·증빙은 연결 적용기록을 참조하며 전체 준수·인증을 주장하지 않음.</x:v>
      </x:c>
    </x:row>
    <x:row r="88" ht="26.399999618530273" hidden="0" customHeight="1">
      <x:c r="A88" s="5" t="str">
        <x:v>UI-037</x:v>
      </x:c>
      <x:c r="B88" s="5" t="str">
        <x:v>KRDS UI/UX</x:v>
      </x:c>
      <x:c r="C88" s="5" t="str">
        <x:v>UI 컴포넌트</x:v>
      </x:c>
      <x:c r="D88" s="5" t="str">
        <x:v>표</x:v>
      </x:c>
      <x:c r="E88" s="5" t="str">
        <x:v>데이터 구조와 정렬을 접근 가능하게 제공</x:v>
      </x:c>
      <x:c r="F88" s="5" t="str">
        <x:v>SRC-001</x:v>
      </x:c>
      <x:c r="G88" s="5" t="str">
        <x:v>2025.08</x:v>
      </x:c>
      <x:c r="H88" s="5" t="str">
        <x:v>컴포넌트 / 레이아웃·표현 / 표</x:v>
      </x:c>
      <x:c r="I88" s="5" t="str">
        <x:v>459-470</x:v>
      </x:c>
      <x:c r="J88" s="5" t="str">
        <x:v>회사 채택안; 원문 의무수준과 별도 관리</x:v>
      </x:c>
      <x:c r="K88" s="5" t="str">
        <x:v>원문 등급 별도 확인</x:v>
      </x:c>
      <x:c r="L88" s="5" t="str">
        <x:v>MUST(안)</x:v>
      </x:c>
      <x:c r="M88" s="10" t="str">
        <x:v>적용</x:v>
      </x:c>
      <x:c r="N88" s="5" t="str">
        <x:v>업무요청 웹 샘플에 채택하는 회사 기준. 실제 이행은 구현 후 판정.</x:v>
      </x:c>
      <x:c r="O88" s="5" t="str">
        <x:v>관련 기능·적용 기관·계약 변경 시 재평가</x:v>
      </x:c>
      <x:c r="P88" s="5" t="str">
        <x:v>S03</x:v>
      </x:c>
      <x:c r="Q88" s="5" t="str">
        <x:v>caption·th/scope와 정렬 버튼·aria-sort 제공, 숫자는 우측 정렬</x:v>
      </x:c>
      <x:c r="R88" s="5" t="str">
        <x:v>화면낭독기 표 탐색·정렬 상태·좁은 화면 스크롤 점검</x:v>
      </x:c>
      <x:c r="S88" s="10" t="str">
        <x:v>자동+수동</x:v>
      </x:c>
      <x:c r="T88" s="5" t="str">
        <x:v>UX·개발·QA</x:v>
      </x:c>
      <x:c r="U88" s="5" t="str">
        <x:v>P1</x:v>
      </x:c>
      <x:c r="V88" s="10" t="str">
        <x:v>구현</x:v>
      </x:c>
      <x:c r="W88" s="5" t="str">
        <x:v>요청 table에 caption, thead, th scope=col을 제공한다. 정렬은 명시적인 폼 제출로 실행하고 URL 및 화면에 기준을 표시한다. 좁은 화면에는 이름이 있는 스크롤 영역을 제공한다.</x:v>
      </x:c>
      <x:c r="X88" s="5" t="str">
        <x:v>apps/web/src/App.tsx#RequestTable
apps/web/src/App.tsx#RequestList</x:v>
      </x:c>
      <x:c r="Y88" s="5" t="str">
        <x:v>MAN-UI-037</x:v>
      </x:c>
      <x:c r="Z88" s="10" t="str">
        <x:v>미실행</x:v>
      </x:c>
      <x:c r="AA88" s="10" t="str">
        <x:v>미실행</x:v>
      </x:c>
      <x:c r="AB88" s="5" t="str"/>
      <x:c r="AC88" s="5" t="n">
        <x:v>0</x:v>
      </x:c>
      <x:c r="AD88" s="5" t="n">
        <x:v>1</x:v>
      </x:c>
      <x:c r="AE88" s="10" t="str">
        <x:v>미실행</x:v>
      </x:c>
      <x:c r="AF88" s="5" t="str"/>
      <x:c r="AG88" s="5" t="str"/>
      <x:c r="AH88" s="5" t="str"/>
      <x:c r="AI88" s="10" t="str">
        <x:v>재확인필요</x:v>
      </x:c>
      <x:c r="AJ88" s="5" t="str">
        <x:f>IF(AND(M88="적용",V88="구현",X88&lt;&gt;"",Y88&lt;&gt;"",AB88&lt;&gt;"",AC88&gt;0,AD88&gt;0,AE88="통과",AF88="",AG88&lt;&gt;"",AH88&lt;&gt;"",OR(S88="자동",S88="수동",S88="자동+수동"),IF(OR(S88="자동",S88="자동+수동"),Z88="통과",TRUE),IF(OR(S88="수동",S88="자동+수동"),AA88="통과",TRUE)),"통과",IF(OR(Z88="실패",AA88="실패",AE88="실패"),"실패","보류"))</x:f>
        <x:v>보류</x:v>
      </x:c>
      <x:c r="AK88" s="5" t="str">
        <x:v>KRDS-SEC-038</x:v>
      </x:c>
      <x:c r="AL88" s="5" t="str"/>
      <x:c r="AM88" s="5" t="str">
        <x:v>입력 v0.1 계획 주석은 original_plan_note에 보존. 최신 구현·시험·증빙은 연결 적용기록을 참조하며 전체 준수·인증을 주장하지 않음.</x:v>
      </x:c>
    </x:row>
    <x:row r="89" ht="26.399999618530273" hidden="0" customHeight="1">
      <x:c r="A89" s="5" t="str">
        <x:v>UI-038</x:v>
      </x:c>
      <x:c r="B89" s="5" t="str">
        <x:v>KRDS UI/UX</x:v>
      </x:c>
      <x:c r="C89" s="5" t="str">
        <x:v>UI 컴포넌트</x:v>
      </x:c>
      <x:c r="D89" s="5" t="str">
        <x:v>스플래시 스크린</x:v>
      </x:c>
      <x:c r="E89" s="5" t="str">
        <x:v>네이티브 앱의 시작 화면 가이드</x:v>
      </x:c>
      <x:c r="F89" s="5" t="str">
        <x:v>SRC-001</x:v>
      </x:c>
      <x:c r="G89" s="5" t="str">
        <x:v>2025.08</x:v>
      </x:c>
      <x:c r="H89" s="5" t="str">
        <x:v>컴포넌트 / 레이아웃·표현 / 스플래시 스크린</x:v>
      </x:c>
      <x:c r="I89" s="5" t="str">
        <x:v>471-483</x:v>
      </x:c>
      <x:c r="J89" s="5" t="str">
        <x:v>회사 채택안; 원문 의무수준과 별도 관리</x:v>
      </x:c>
      <x:c r="K89" s="5" t="str">
        <x:v>원문 등급 별도 확인</x:v>
      </x:c>
      <x:c r="L89" s="5" t="str">
        <x:v>대상외</x:v>
      </x:c>
      <x:c r="M89" s="10" t="str">
        <x:v>해당없음</x:v>
      </x:c>
      <x:c r="N89" s="5" t="str">
        <x:v>현재 회사 자체 브랜드 웹 샘플 범위와 맞지 않음. 근거를 유지하고 범위 변경 시 재평가.</x:v>
      </x:c>
      <x:c r="O89" s="5" t="str">
        <x:v>현재 회사 자체 브랜드 웹 샘플 범위와 맞지 않음. 근거를 유지하고 범위 변경 시 재평가.</x:v>
      </x:c>
      <x:c r="P89" s="5" t="str">
        <x:v>S01~S08 / 공통</x:v>
      </x:c>
      <x:c r="Q89" s="5" t="str">
        <x:v>이번 웹 샘플은 별도 스플래시 미구현; 향후 앱에서 중요한 정보 배치 금지</x:v>
      </x:c>
      <x:c r="R89" s="5" t="str">
        <x:v>범위 변경 시 플랫폼 기본 시작화면·노출시간 재검토</x:v>
      </x:c>
      <x:c r="S89" s="10" t="str">
        <x:v>수동</x:v>
      </x:c>
      <x:c r="T89" s="5" t="str">
        <x:v>UX·개발·QA</x:v>
      </x:c>
      <x:c r="U89" s="5" t="str">
        <x:v>P2</x:v>
      </x:c>
      <x:c r="V89" s="10" t="str">
        <x:v>해당없음</x:v>
      </x:c>
      <x:c r="W89" s="5" t="str">
        <x:v>네이티브 앱 스플래시 스크린은 웹 샘플 범위 밖이다. 네이티브 앱 도입 시 재평가한다.</x:v>
      </x:c>
      <x:c r="X89" s="5" t="str"/>
      <x:c r="Y89" s="5" t="str">
        <x:v>MAN-UI-038</x:v>
      </x:c>
      <x:c r="Z89" s="10" t="str">
        <x:v>미실행</x:v>
      </x:c>
      <x:c r="AA89" s="10" t="str">
        <x:v>미실행</x:v>
      </x:c>
      <x:c r="AB89" s="5" t="str"/>
      <x:c r="AC89" s="5" t="n">
        <x:v>0</x:v>
      </x:c>
      <x:c r="AD89" s="5" t="n">
        <x:v>1</x:v>
      </x:c>
      <x:c r="AE89" s="10" t="str">
        <x:v>해당없음</x:v>
      </x:c>
      <x:c r="AF89" s="5" t="str"/>
      <x:c r="AG89" s="5" t="str"/>
      <x:c r="AH89" s="5" t="str"/>
      <x:c r="AI89" s="10" t="str">
        <x:v>재확인필요</x:v>
      </x:c>
      <x:c r="AJ89" s="5" t="str">
        <x:f>IF(AND(M89="적용",V89="구현",X89&lt;&gt;"",Y89&lt;&gt;"",AB89&lt;&gt;"",AC89&gt;0,AD89&gt;0,AE89="통과",AF89="",AG89&lt;&gt;"",AH89&lt;&gt;"",OR(S89="자동",S89="수동",S89="자동+수동"),IF(OR(S89="자동",S89="자동+수동"),Z89="통과",TRUE),IF(OR(S89="수동",S89="자동+수동"),AA89="통과",TRUE)),"통과",IF(OR(Z89="실패",AA89="실패",AE89="실패"),"실패","보류"))</x:f>
        <x:v>보류</x:v>
      </x:c>
      <x:c r="AK89" s="5" t="str">
        <x:v>KRDS-SEC-039</x:v>
      </x:c>
      <x:c r="AL89" s="5" t="str"/>
      <x:c r="AM89" s="5" t="str">
        <x:v>입력 v0.1 계획 주석은 original_plan_note에 보존. 최신 구현·시험·증빙은 연결 적용기록을 참조하며 전체 준수·인증을 주장하지 않음.</x:v>
      </x:c>
    </x:row>
    <x:row r="90" ht="39.599998474121094" hidden="0" customHeight="1">
      <x:c r="A90" s="5" t="str">
        <x:v>UI-039</x:v>
      </x:c>
      <x:c r="B90" s="5" t="str">
        <x:v>KRDS UI/UX</x:v>
      </x:c>
      <x:c r="C90" s="5" t="str">
        <x:v>UI 컴포넌트</x:v>
      </x:c>
      <x:c r="D90" s="5" t="str">
        <x:v>텍스트 목록</x:v>
      </x:c>
      <x:c r="E90" s="5" t="str">
        <x:v>의미에 맞는 목록 마크업 제공</x:v>
      </x:c>
      <x:c r="F90" s="5" t="str">
        <x:v>SRC-001</x:v>
      </x:c>
      <x:c r="G90" s="5" t="str">
        <x:v>2025.08</x:v>
      </x:c>
      <x:c r="H90" s="5" t="str">
        <x:v>컴포넌트 / 레이아웃·표현 / 텍스트 목록</x:v>
      </x:c>
      <x:c r="I90" s="5" t="str">
        <x:v>484-494</x:v>
      </x:c>
      <x:c r="J90" s="5" t="str">
        <x:v>회사 채택안; 원문 의무수준과 별도 관리</x:v>
      </x:c>
      <x:c r="K90" s="5" t="str">
        <x:v>원문 등급 별도 확인</x:v>
      </x:c>
      <x:c r="L90" s="5" t="str">
        <x:v>MUST(안)</x:v>
      </x:c>
      <x:c r="M90" s="10" t="str">
        <x:v>적용</x:v>
      </x:c>
      <x:c r="N90" s="5" t="str">
        <x:v>업무요청 웹 샘플에 채택하는 회사 기준. 실제 이행은 구현 후 판정.</x:v>
      </x:c>
      <x:c r="O90" s="5" t="str">
        <x:v>관련 기능·적용 기관·계약 변경 시 재평가</x:v>
      </x:c>
      <x:c r="P90" s="5" t="str">
        <x:v>S03</x:v>
      </x:c>
      <x:c r="Q90" s="5" t="str">
        <x:v>순서 있는 절차는 ol, 순서 없는 항목은 ul 사용</x:v>
      </x:c>
      <x:c r="R90" s="5" t="str">
        <x:v>읽기 순서·항목 수·목록 인식 확인</x:v>
      </x:c>
      <x:c r="S90" s="10" t="str">
        <x:v>자동+수동</x:v>
      </x:c>
      <x:c r="T90" s="5" t="str">
        <x:v>UX·개발·QA</x:v>
      </x:c>
      <x:c r="U90" s="5" t="str">
        <x:v>P1</x:v>
      </x:c>
      <x:c r="V90" s="10" t="str">
        <x:v>구현</x:v>
      </x:c>
      <x:c r="W90" s="5" t="str">
        <x:v>요청은 caption 및 th가 있는 table, 처리 이력은 ol, 첨부·증빙은 ul, 규칙 속성은 dl로 구조화한다.</x:v>
      </x:c>
      <x:c r="X90" s="5" t="str">
        <x:v>apps/web/src/App.tsx#RequestTable
apps/web/src/App.tsx#RequestDetail
apps/web/src/StandardsBrowser.tsx#ReferenceList</x:v>
      </x:c>
      <x:c r="Y90" s="5" t="str">
        <x:v>MAN-UI-039</x:v>
      </x:c>
      <x:c r="Z90" s="10" t="str">
        <x:v>미실행</x:v>
      </x:c>
      <x:c r="AA90" s="10" t="str">
        <x:v>미실행</x:v>
      </x:c>
      <x:c r="AB90" s="5" t="str"/>
      <x:c r="AC90" s="5" t="n">
        <x:v>0</x:v>
      </x:c>
      <x:c r="AD90" s="5" t="n">
        <x:v>1</x:v>
      </x:c>
      <x:c r="AE90" s="10" t="str">
        <x:v>미실행</x:v>
      </x:c>
      <x:c r="AF90" s="5" t="str"/>
      <x:c r="AG90" s="5" t="str"/>
      <x:c r="AH90" s="5" t="str"/>
      <x:c r="AI90" s="10" t="str">
        <x:v>재확인필요</x:v>
      </x:c>
      <x:c r="AJ90" s="5" t="str">
        <x:f>IF(AND(M90="적용",V90="구현",X90&lt;&gt;"",Y90&lt;&gt;"",AB90&lt;&gt;"",AC90&gt;0,AD90&gt;0,AE90="통과",AF90="",AG90&lt;&gt;"",AH90&lt;&gt;"",OR(S90="자동",S90="수동",S90="자동+수동"),IF(OR(S90="자동",S90="자동+수동"),Z90="통과",TRUE),IF(OR(S90="수동",S90="자동+수동"),AA90="통과",TRUE)),"통과",IF(OR(Z90="실패",AA90="실패",AE90="실패"),"실패","보류"))</x:f>
        <x:v>보류</x:v>
      </x:c>
      <x:c r="AK90" s="5" t="str">
        <x:v>KRDS-SEC-040</x:v>
      </x:c>
      <x:c r="AL90" s="5" t="str"/>
      <x:c r="AM90" s="5" t="str">
        <x:v>입력 v0.1 계획 주석은 original_plan_note에 보존. 최신 구현·시험·증빙은 연결 적용기록을 참조하며 전체 준수·인증을 주장하지 않음.</x:v>
      </x:c>
    </x:row>
    <x:row r="91" ht="39.599998474121094" hidden="0" customHeight="1">
      <x:c r="A91" s="5" t="str">
        <x:v>UI-040</x:v>
      </x:c>
      <x:c r="B91" s="5" t="str">
        <x:v>KRDS UI/UX</x:v>
      </x:c>
      <x:c r="C91" s="5" t="str">
        <x:v>UI 컴포넌트</x:v>
      </x:c>
      <x:c r="D91" s="5" t="str">
        <x:v>링크</x:v>
      </x:c>
      <x:c r="E91" s="5" t="str">
        <x:v>목적지를 예측할 수 있는 링크 제공</x:v>
      </x:c>
      <x:c r="F91" s="5" t="str">
        <x:v>SRC-001</x:v>
      </x:c>
      <x:c r="G91" s="5" t="str">
        <x:v>2025.08</x:v>
      </x:c>
      <x:c r="H91" s="5" t="str">
        <x:v>컴포넌트 / 액션 / 링크</x:v>
      </x:c>
      <x:c r="I91" s="5" t="str">
        <x:v>495-509</x:v>
      </x:c>
      <x:c r="J91" s="5" t="str">
        <x:v>회사 채택안; 원문 의무수준과 별도 관리</x:v>
      </x:c>
      <x:c r="K91" s="5" t="str">
        <x:v>원문 등급 별도 확인</x:v>
      </x:c>
      <x:c r="L91" s="5" t="str">
        <x:v>MUST(안)</x:v>
      </x:c>
      <x:c r="M91" s="10" t="str">
        <x:v>적용</x:v>
      </x:c>
      <x:c r="N91" s="5" t="str">
        <x:v>업무요청 웹 샘플에 채택하는 회사 기준. 실제 이행은 구현 후 판정.</x:v>
      </x:c>
      <x:c r="O91" s="5" t="str">
        <x:v>관련 기능·적용 기관·계약 변경 시 재평가</x:v>
      </x:c>
      <x:c r="P91" s="5" t="str">
        <x:v>S01~S08 / 공통</x:v>
      </x:c>
      <x:c r="Q91" s="5" t="str">
        <x:v>이동은 a 요소로 구현, 의미 있는 링크명·새 창 사전 안내 제공</x:v>
      </x:c>
      <x:c r="R91" s="5" t="str">
        <x:v>링크 목록 낭독 시 목적지 식별 및 실제 이동 확인</x:v>
      </x:c>
      <x:c r="S91" s="10" t="str">
        <x:v>자동+수동</x:v>
      </x:c>
      <x:c r="T91" s="5" t="str">
        <x:v>UX·개발·QA</x:v>
      </x:c>
      <x:c r="U91" s="5" t="str">
        <x:v>P1</x:v>
      </x:c>
      <x:c r="V91" s="10" t="str">
        <x:v>구현</x:v>
      </x:c>
      <x:c r="W91" s="5" t="str">
        <x:v>링크는 실제 href 목적지를 제공하고 명확한 화면·자료 이름을 표시한다. 수정키 클릭은 브라우저 기본 새 탭 동작을 유지한다.</x:v>
      </x:c>
      <x:c r="X91" s="5" t="str">
        <x:v>apps/web/src/App.tsx#AppLink
apps/web/src/App.tsx#RequestTable
apps/web/src/App.tsx#RequestDetail</x:v>
      </x:c>
      <x:c r="Y91" s="5" t="str">
        <x:v>MAN-UI-040</x:v>
      </x:c>
      <x:c r="Z91" s="10" t="str">
        <x:v>미실행</x:v>
      </x:c>
      <x:c r="AA91" s="10" t="str">
        <x:v>미실행</x:v>
      </x:c>
      <x:c r="AB91" s="5" t="str"/>
      <x:c r="AC91" s="5" t="n">
        <x:v>0</x:v>
      </x:c>
      <x:c r="AD91" s="5" t="n">
        <x:v>1</x:v>
      </x:c>
      <x:c r="AE91" s="10" t="str">
        <x:v>미실행</x:v>
      </x:c>
      <x:c r="AF91" s="5" t="str"/>
      <x:c r="AG91" s="5" t="str"/>
      <x:c r="AH91" s="5" t="str"/>
      <x:c r="AI91" s="10" t="str">
        <x:v>재확인필요</x:v>
      </x:c>
      <x:c r="AJ91" s="5" t="str">
        <x:f>IF(AND(M91="적용",V91="구현",X91&lt;&gt;"",Y91&lt;&gt;"",AB91&lt;&gt;"",AC91&gt;0,AD91&gt;0,AE91="통과",AF91="",AG91&lt;&gt;"",AH91&lt;&gt;"",OR(S91="자동",S91="수동",S91="자동+수동"),IF(OR(S91="자동",S91="자동+수동"),Z91="통과",TRUE),IF(OR(S91="수동",S91="자동+수동"),AA91="통과",TRUE)),"통과",IF(OR(Z91="실패",AA91="실패",AE91="실패"),"실패","보류"))</x:f>
        <x:v>보류</x:v>
      </x:c>
      <x:c r="AK91" s="5" t="str">
        <x:v>KRDS-SEC-041</x:v>
      </x:c>
      <x:c r="AL91" s="5" t="str"/>
      <x:c r="AM91" s="5" t="str">
        <x:v>입력 v0.1 계획 주석은 original_plan_note에 보존. 최신 구현·시험·증빙은 연결 적용기록을 참조하며 전체 준수·인증을 주장하지 않음.</x:v>
      </x:c>
    </x:row>
    <x:row r="92" ht="52.79999923706055" hidden="0" customHeight="1">
      <x:c r="A92" s="5" t="str">
        <x:v>UI-041</x:v>
      </x:c>
      <x:c r="B92" s="5" t="str">
        <x:v>KRDS UI/UX</x:v>
      </x:c>
      <x:c r="C92" s="5" t="str">
        <x:v>UI 컴포넌트</x:v>
      </x:c>
      <x:c r="D92" s="5" t="str">
        <x:v>버튼</x:v>
      </x:c>
      <x:c r="E92" s="5" t="str">
        <x:v>행동의 결과가 분명한 버튼 제공</x:v>
      </x:c>
      <x:c r="F92" s="5" t="str">
        <x:v>SRC-001</x:v>
      </x:c>
      <x:c r="G92" s="5" t="str">
        <x:v>2025.08</x:v>
      </x:c>
      <x:c r="H92" s="5" t="str">
        <x:v>컴포넌트 / 액션 / 버튼</x:v>
      </x:c>
      <x:c r="I92" s="5" t="str">
        <x:v>510-522</x:v>
      </x:c>
      <x:c r="J92" s="5" t="str">
        <x:v>회사 채택안; 원문 의무수준과 별도 관리</x:v>
      </x:c>
      <x:c r="K92" s="5" t="str">
        <x:v>원문 등급 별도 확인</x:v>
      </x:c>
      <x:c r="L92" s="5" t="str">
        <x:v>MUST(안)</x:v>
      </x:c>
      <x:c r="M92" s="10" t="str">
        <x:v>적용</x:v>
      </x:c>
      <x:c r="N92" s="5" t="str">
        <x:v>업무요청 웹 샘플에 채택하는 회사 기준. 실제 이행은 구현 후 판정.</x:v>
      </x:c>
      <x:c r="O92" s="5" t="str">
        <x:v>관련 기능·적용 기관·계약 변경 시 재평가</x:v>
      </x:c>
      <x:c r="P92" s="5" t="str">
        <x:v>S01~S08 / 공통</x:v>
      </x:c>
      <x:c r="Q92" s="5" t="str">
        <x:v>동작은 button, 구체적 레이블·상태·중복실행 방지 적용</x:v>
      </x:c>
      <x:c r="R92" s="5" t="str">
        <x:v>Enter/Space·로딩·실패 후 재시도·이름 확인</x:v>
      </x:c>
      <x:c r="S92" s="10" t="str">
        <x:v>자동+수동</x:v>
      </x:c>
      <x:c r="T92" s="5" t="str">
        <x:v>UX·개발·QA</x:v>
      </x:c>
      <x:c r="U92" s="5" t="str">
        <x:v>P0</x:v>
      </x:c>
      <x:c r="V92" s="10" t="str">
        <x:v>구현</x:v>
      </x:c>
      <x:c r="W92" s="5" t="str">
        <x:v>등록·저장·취소·복사·다운로드 동작 이름을 명확히 표시하며 버튼 disabled/처리 중과 키보드 초점을 제공한다.</x:v>
      </x:c>
      <x:c r="X92" s="5" t="str">
        <x:v>apps/web/src/App.tsx#RequestWizard
apps/web/src/App.tsx#RequestDetail
apps/web/src/StandardsBrowser.tsx#StandardsBrowser
apps/web/src/styles.css</x:v>
      </x:c>
      <x:c r="Y92" s="5" t="str">
        <x:v>MAN-UI-041</x:v>
      </x:c>
      <x:c r="Z92" s="10" t="str">
        <x:v>미실행</x:v>
      </x:c>
      <x:c r="AA92" s="10" t="str">
        <x:v>미실행</x:v>
      </x:c>
      <x:c r="AB92" s="5" t="str"/>
      <x:c r="AC92" s="5" t="n">
        <x:v>0</x:v>
      </x:c>
      <x:c r="AD92" s="5" t="n">
        <x:v>1</x:v>
      </x:c>
      <x:c r="AE92" s="10" t="str">
        <x:v>미실행</x:v>
      </x:c>
      <x:c r="AF92" s="5" t="str"/>
      <x:c r="AG92" s="5" t="str"/>
      <x:c r="AH92" s="5" t="str"/>
      <x:c r="AI92" s="10" t="str">
        <x:v>재확인필요</x:v>
      </x:c>
      <x:c r="AJ92" s="5" t="str">
        <x:f>IF(AND(M92="적용",V92="구현",X92&lt;&gt;"",Y92&lt;&gt;"",AB92&lt;&gt;"",AC92&gt;0,AD92&gt;0,AE92="통과",AF92="",AG92&lt;&gt;"",AH92&lt;&gt;"",OR(S92="자동",S92="수동",S92="자동+수동"),IF(OR(S92="자동",S92="자동+수동"),Z92="통과",TRUE),IF(OR(S92="수동",S92="자동+수동"),AA92="통과",TRUE)),"통과",IF(OR(Z92="실패",AA92="실패",AE92="실패"),"실패","보류"))</x:f>
        <x:v>보류</x:v>
      </x:c>
      <x:c r="AK92" s="5" t="str">
        <x:v>KRDS-SEC-042</x:v>
      </x:c>
      <x:c r="AL92" s="5" t="str"/>
      <x:c r="AM92" s="5" t="str">
        <x:v>입력 v0.1 계획 주석은 original_plan_note에 보존. 최신 구현·시험·증빙은 연결 적용기록을 참조하며 전체 준수·인증을 주장하지 않음.</x:v>
      </x:c>
    </x:row>
    <x:row r="93" ht="26.399999618530273" hidden="0" customHeight="1">
      <x:c r="A93" s="5" t="str">
        <x:v>UI-042</x:v>
      </x:c>
      <x:c r="B93" s="5" t="str">
        <x:v>KRDS UI/UX</x:v>
      </x:c>
      <x:c r="C93" s="5" t="str">
        <x:v>UI 컴포넌트</x:v>
      </x:c>
      <x:c r="D93" s="5" t="str">
        <x:v>라디오 버튼</x:v>
      </x:c>
      <x:c r="E93" s="5" t="str">
        <x:v>단일 선택의 그룹과 이름 제공</x:v>
      </x:c>
      <x:c r="F93" s="5" t="str">
        <x:v>SRC-001</x:v>
      </x:c>
      <x:c r="G93" s="5" t="str">
        <x:v>2025.08</x:v>
      </x:c>
      <x:c r="H93" s="5" t="str">
        <x:v>컴포넌트 / 선택 / 라디오 버튼</x:v>
      </x:c>
      <x:c r="I93" s="5" t="str">
        <x:v>523-537</x:v>
      </x:c>
      <x:c r="J93" s="5" t="str">
        <x:v>회사 채택안; 원문 의무수준과 별도 관리</x:v>
      </x:c>
      <x:c r="K93" s="5" t="str">
        <x:v>원문 등급 별도 확인</x:v>
      </x:c>
      <x:c r="L93" s="5" t="str">
        <x:v>MUST(안)</x:v>
      </x:c>
      <x:c r="M93" s="10" t="str">
        <x:v>적용</x:v>
      </x:c>
      <x:c r="N93" s="5" t="str">
        <x:v>업무요청 웹 샘플에 채택하는 회사 기준. 실제 이행은 구현 후 판정.</x:v>
      </x:c>
      <x:c r="O93" s="5" t="str">
        <x:v>관련 기능·적용 기관·계약 변경 시 재평가</x:v>
      </x:c>
      <x:c r="P93" s="5" t="str">
        <x:v>S01~S08 / 공통</x:v>
      </x:c>
      <x:c r="Q93" s="5" t="str">
        <x:v>요청 유형 등 배타적 선택에 fieldset/legend와 native radio 사용</x:v>
      </x:c>
      <x:c r="R93" s="5" t="str">
        <x:v>화살표 이동·선택·그룹 낭독 확인</x:v>
      </x:c>
      <x:c r="S93" s="10" t="str">
        <x:v>자동+수동</x:v>
      </x:c>
      <x:c r="T93" s="5" t="str">
        <x:v>UX·개발·QA</x:v>
      </x:c>
      <x:c r="U93" s="5" t="str">
        <x:v>P1</x:v>
      </x:c>
      <x:c r="V93" s="10" t="str">
        <x:v>구현</x:v>
      </x:c>
      <x:c r="W93" s="5" t="str">
        <x:v>요청 유형과 화면 설정을 native radio, fieldset/legend, 그룹 name, label 연결로 제공한다.</x:v>
      </x:c>
      <x:c r="X93" s="5" t="str">
        <x:v>apps/web/src/App.tsx#RequestWizard
apps/web/src/App.tsx#Preferences</x:v>
      </x:c>
      <x:c r="Y93" s="5" t="str">
        <x:v>MAN-UI-042</x:v>
      </x:c>
      <x:c r="Z93" s="10" t="str">
        <x:v>미실행</x:v>
      </x:c>
      <x:c r="AA93" s="10" t="str">
        <x:v>미실행</x:v>
      </x:c>
      <x:c r="AB93" s="5" t="str"/>
      <x:c r="AC93" s="5" t="n">
        <x:v>0</x:v>
      </x:c>
      <x:c r="AD93" s="5" t="n">
        <x:v>1</x:v>
      </x:c>
      <x:c r="AE93" s="10" t="str">
        <x:v>미실행</x:v>
      </x:c>
      <x:c r="AF93" s="5" t="str"/>
      <x:c r="AG93" s="5" t="str"/>
      <x:c r="AH93" s="5" t="str"/>
      <x:c r="AI93" s="10" t="str">
        <x:v>재확인필요</x:v>
      </x:c>
      <x:c r="AJ93" s="5" t="str">
        <x:f>IF(AND(M93="적용",V93="구현",X93&lt;&gt;"",Y93&lt;&gt;"",AB93&lt;&gt;"",AC93&gt;0,AD93&gt;0,AE93="통과",AF93="",AG93&lt;&gt;"",AH93&lt;&gt;"",OR(S93="자동",S93="수동",S93="자동+수동"),IF(OR(S93="자동",S93="자동+수동"),Z93="통과",TRUE),IF(OR(S93="수동",S93="자동+수동"),AA93="통과",TRUE)),"통과",IF(OR(Z93="실패",AA93="실패",AE93="실패"),"실패","보류"))</x:f>
        <x:v>보류</x:v>
      </x:c>
      <x:c r="AK93" s="5" t="str">
        <x:v>KRDS-SEC-043</x:v>
      </x:c>
      <x:c r="AL93" s="5" t="str"/>
      <x:c r="AM93" s="5" t="str">
        <x:v>입력 v0.1 계획 주석은 original_plan_note에 보존. 최신 구현·시험·증빙은 연결 적용기록을 참조하며 전체 준수·인증을 주장하지 않음.</x:v>
      </x:c>
    </x:row>
    <x:row r="94" ht="26.399999618530273" hidden="0" customHeight="1">
      <x:c r="A94" s="5" t="str">
        <x:v>UI-043</x:v>
      </x:c>
      <x:c r="B94" s="5" t="str">
        <x:v>KRDS UI/UX</x:v>
      </x:c>
      <x:c r="C94" s="5" t="str">
        <x:v>UI 컴포넌트</x:v>
      </x:c>
      <x:c r="D94" s="5" t="str">
        <x:v>체크박스</x:v>
      </x:c>
      <x:c r="E94" s="5" t="str">
        <x:v>복수 선택과 중간 상태 표현</x:v>
      </x:c>
      <x:c r="F94" s="5" t="str">
        <x:v>SRC-001</x:v>
      </x:c>
      <x:c r="G94" s="5" t="str">
        <x:v>2025.08</x:v>
      </x:c>
      <x:c r="H94" s="5" t="str">
        <x:v>컴포넌트 / 선택 / 체크박스</x:v>
      </x:c>
      <x:c r="I94" s="5" t="str">
        <x:v>538-550</x:v>
      </x:c>
      <x:c r="J94" s="5" t="str">
        <x:v>회사 채택안; 원문 의무수준과 별도 관리</x:v>
      </x:c>
      <x:c r="K94" s="5" t="str">
        <x:v>원문 등급 별도 확인</x:v>
      </x:c>
      <x:c r="L94" s="5" t="str">
        <x:v>MUST(안)</x:v>
      </x:c>
      <x:c r="M94" s="10" t="str">
        <x:v>적용</x:v>
      </x:c>
      <x:c r="N94" s="5" t="str">
        <x:v>업무요청 웹 샘플에 채택하는 회사 기준. 실제 이행은 구현 후 판정.</x:v>
      </x:c>
      <x:c r="O94" s="5" t="str">
        <x:v>관련 기능·적용 기관·계약 변경 시 재평가</x:v>
      </x:c>
      <x:c r="P94" s="5" t="str">
        <x:v>S01~S08 / 공통</x:v>
      </x:c>
      <x:c r="Q94" s="5" t="str">
        <x:v>선택 항목·약관에 명시적 label 제공, 전체 선택에는 mixed 상태 처리</x:v>
      </x:c>
      <x:c r="R94" s="5" t="str">
        <x:v>키보드·선택 상태·색 외 체크표시 확인</x:v>
      </x:c>
      <x:c r="S94" s="10" t="str">
        <x:v>자동+수동</x:v>
      </x:c>
      <x:c r="T94" s="5" t="str">
        <x:v>UX·개발·QA</x:v>
      </x:c>
      <x:c r="U94" s="5" t="str">
        <x:v>P1</x:v>
      </x:c>
      <x:c r="V94" s="10" t="str">
        <x:v>구현</x:v>
      </x:c>
      <x:c r="W94" s="5" t="str">
        <x:v>갤러리에 native checkbox로 복수선택·모두 선택·일부 선택의 실제 indeterminate 속성·비활성 상태를 구현한다. 체크/중간상태를 색만으로 표현하지 않으며 그룹 legend와 label을 연결한다.</x:v>
      </x:c>
      <x:c r="X94" s="5" t="str">
        <x:v>apps/web/src/ui.tsx#CheckboxGroupExample</x:v>
      </x:c>
      <x:c r="Y94" s="5" t="str">
        <x:v>MAN-UI-043</x:v>
      </x:c>
      <x:c r="Z94" s="10" t="str">
        <x:v>미실행</x:v>
      </x:c>
      <x:c r="AA94" s="10" t="str">
        <x:v>미실행</x:v>
      </x:c>
      <x:c r="AB94" s="5" t="str"/>
      <x:c r="AC94" s="5" t="n">
        <x:v>0</x:v>
      </x:c>
      <x:c r="AD94" s="5" t="n">
        <x:v>1</x:v>
      </x:c>
      <x:c r="AE94" s="10" t="str">
        <x:v>미실행</x:v>
      </x:c>
      <x:c r="AF94" s="5" t="str"/>
      <x:c r="AG94" s="5" t="str"/>
      <x:c r="AH94" s="5" t="str"/>
      <x:c r="AI94" s="10" t="str">
        <x:v>재확인필요</x:v>
      </x:c>
      <x:c r="AJ94" s="5" t="str">
        <x:f>IF(AND(M94="적용",V94="구현",X94&lt;&gt;"",Y94&lt;&gt;"",AB94&lt;&gt;"",AC94&gt;0,AD94&gt;0,AE94="통과",AF94="",AG94&lt;&gt;"",AH94&lt;&gt;"",OR(S94="자동",S94="수동",S94="자동+수동"),IF(OR(S94="자동",S94="자동+수동"),Z94="통과",TRUE),IF(OR(S94="수동",S94="자동+수동"),AA94="통과",TRUE)),"통과",IF(OR(Z94="실패",AA94="실패",AE94="실패"),"실패","보류"))</x:f>
        <x:v>보류</x:v>
      </x:c>
      <x:c r="AK94" s="5" t="str">
        <x:v>KRDS-SEC-044</x:v>
      </x:c>
      <x:c r="AL94" s="5" t="str"/>
      <x:c r="AM94" s="5" t="str">
        <x:v>입력 v0.1 계획 주석은 original_plan_note에 보존. 최신 구현·시험·증빙은 연결 적용기록을 참조하며 전체 준수·인증을 주장하지 않음.</x:v>
      </x:c>
    </x:row>
    <x:row r="95" ht="39.599998474121094" hidden="0" customHeight="1">
      <x:c r="A95" s="5" t="str">
        <x:v>UI-044</x:v>
      </x:c>
      <x:c r="B95" s="5" t="str">
        <x:v>KRDS UI/UX</x:v>
      </x:c>
      <x:c r="C95" s="5" t="str">
        <x:v>UI 컴포넌트</x:v>
      </x:c>
      <x:c r="D95" s="5" t="str">
        <x:v>셀렉트</x:v>
      </x:c>
      <x:c r="E95" s="5" t="str">
        <x:v>선택 목적과 변경 결과를 예측 가능하게 함</x:v>
      </x:c>
      <x:c r="F95" s="5" t="str">
        <x:v>SRC-001</x:v>
      </x:c>
      <x:c r="G95" s="5" t="str">
        <x:v>2025.08</x:v>
      </x:c>
      <x:c r="H95" s="5" t="str">
        <x:v>컴포넌트 / 선택 / 셀렉트</x:v>
      </x:c>
      <x:c r="I95" s="5" t="str">
        <x:v>551-558</x:v>
      </x:c>
      <x:c r="J95" s="5" t="str">
        <x:v>회사 채택안; 원문 의무수준과 별도 관리</x:v>
      </x:c>
      <x:c r="K95" s="5" t="str">
        <x:v>원문 등급 별도 확인</x:v>
      </x:c>
      <x:c r="L95" s="5" t="str">
        <x:v>MUST(안)</x:v>
      </x:c>
      <x:c r="M95" s="10" t="str">
        <x:v>적용</x:v>
      </x:c>
      <x:c r="N95" s="5" t="str">
        <x:v>업무요청 웹 샘플에 채택하는 회사 기준. 실제 이행은 구현 후 판정.</x:v>
      </x:c>
      <x:c r="O95" s="5" t="str">
        <x:v>관련 기능·적용 기관·계약 변경 시 재평가</x:v>
      </x:c>
      <x:c r="P95" s="5" t="str">
        <x:v>S03</x:v>
      </x:c>
      <x:c r="Q95" s="5" t="str">
        <x:v>상태 필터와 담당자 선택에 native select 우선, 변경만으로 신청 제출 금지</x:v>
      </x:c>
      <x:c r="R95" s="5" t="str">
        <x:v>label·키보드·선택 변경 후 예상치 못한 이동 확인</x:v>
      </x:c>
      <x:c r="S95" s="10" t="str">
        <x:v>자동+수동</x:v>
      </x:c>
      <x:c r="T95" s="5" t="str">
        <x:v>UX·개발·QA</x:v>
      </x:c>
      <x:c r="U95" s="5" t="str">
        <x:v>P1</x:v>
      </x:c>
      <x:c r="V95" s="10" t="str">
        <x:v>구현</x:v>
      </x:c>
      <x:c r="W95" s="5" t="str">
        <x:v>native select와 label을 연결하고 요청 검색은 검색 버튼으로 명시 제출한다. 표준 필터의 즉시 갱신은 페이지 이동 없이 결과 수를 알린다.</x:v>
      </x:c>
      <x:c r="X95" s="5" t="str">
        <x:v>apps/web/src/App.tsx#RequestList
apps/web/src/StandardsBrowser.tsx#StandardsBrowser
apps/web/src/App.tsx#RequestDetail</x:v>
      </x:c>
      <x:c r="Y95" s="5" t="str">
        <x:v>MAN-UI-044</x:v>
      </x:c>
      <x:c r="Z95" s="10" t="str">
        <x:v>미실행</x:v>
      </x:c>
      <x:c r="AA95" s="10" t="str">
        <x:v>미실행</x:v>
      </x:c>
      <x:c r="AB95" s="5" t="str"/>
      <x:c r="AC95" s="5" t="n">
        <x:v>0</x:v>
      </x:c>
      <x:c r="AD95" s="5" t="n">
        <x:v>1</x:v>
      </x:c>
      <x:c r="AE95" s="10" t="str">
        <x:v>미실행</x:v>
      </x:c>
      <x:c r="AF95" s="5" t="str"/>
      <x:c r="AG95" s="5" t="str"/>
      <x:c r="AH95" s="5" t="str"/>
      <x:c r="AI95" s="10" t="str">
        <x:v>재확인필요</x:v>
      </x:c>
      <x:c r="AJ95" s="5" t="str">
        <x:f>IF(AND(M95="적용",V95="구현",X95&lt;&gt;"",Y95&lt;&gt;"",AB95&lt;&gt;"",AC95&gt;0,AD95&gt;0,AE95="통과",AF95="",AG95&lt;&gt;"",AH95&lt;&gt;"",OR(S95="자동",S95="수동",S95="자동+수동"),IF(OR(S95="자동",S95="자동+수동"),Z95="통과",TRUE),IF(OR(S95="수동",S95="자동+수동"),AA95="통과",TRUE)),"통과",IF(OR(Z95="실패",AA95="실패",AE95="실패"),"실패","보류"))</x:f>
        <x:v>보류</x:v>
      </x:c>
      <x:c r="AK95" s="5" t="str">
        <x:v>KRDS-SEC-045</x:v>
      </x:c>
      <x:c r="AL95" s="5" t="str"/>
      <x:c r="AM95" s="5" t="str">
        <x:v>입력 v0.1 계획 주석은 original_plan_note에 보존. 최신 구현·시험·증빙은 연결 적용기록을 참조하며 전체 준수·인증을 주장하지 않음.</x:v>
      </x:c>
    </x:row>
    <x:row r="96" ht="26.399999618530273" hidden="0" customHeight="1">
      <x:c r="A96" s="5" t="str">
        <x:v>UI-045</x:v>
      </x:c>
      <x:c r="B96" s="5" t="str">
        <x:v>KRDS UI/UX</x:v>
      </x:c>
      <x:c r="C96" s="5" t="str">
        <x:v>UI 컴포넌트</x:v>
      </x:c>
      <x:c r="D96" s="5" t="str">
        <x:v>태그</x:v>
      </x:c>
      <x:c r="E96" s="5" t="str">
        <x:v>필터 태그와 삭제 행동을 명확히 함</x:v>
      </x:c>
      <x:c r="F96" s="5" t="str">
        <x:v>SRC-001</x:v>
      </x:c>
      <x:c r="G96" s="5" t="str">
        <x:v>2025.08</x:v>
      </x:c>
      <x:c r="H96" s="5" t="str">
        <x:v>컴포넌트 / 선택 / 태그</x:v>
      </x:c>
      <x:c r="I96" s="5" t="str">
        <x:v>559-569</x:v>
      </x:c>
      <x:c r="J96" s="5" t="str">
        <x:v>회사 채택안; 원문 의무수준과 별도 관리</x:v>
      </x:c>
      <x:c r="K96" s="5" t="str">
        <x:v>원문 등급 별도 확인</x:v>
      </x:c>
      <x:c r="L96" s="5" t="str">
        <x:v>MUST(안)</x:v>
      </x:c>
      <x:c r="M96" s="10" t="str">
        <x:v>적용</x:v>
      </x:c>
      <x:c r="N96" s="5" t="str">
        <x:v>업무요청 웹 샘플에 채택하는 회사 기준. 실제 이행은 구현 후 판정.</x:v>
      </x:c>
      <x:c r="O96" s="5" t="str">
        <x:v>관련 기능·적용 기관·계약 변경 시 재평가</x:v>
      </x:c>
      <x:c r="P96" s="5" t="str">
        <x:v>S01~S08 / 공통</x:v>
      </x:c>
      <x:c r="Q96" s="5" t="str">
        <x:v>선택된 조건을 텍스트 태그로 표시하고 각 삭제 버튼에 고유한 이름 부여</x:v>
      </x:c>
      <x:c r="R96" s="5" t="str">
        <x:v>태그 제거 후 조건·결과 수·초점 확인</x:v>
      </x:c>
      <x:c r="S96" s="10" t="str">
        <x:v>자동+수동</x:v>
      </x:c>
      <x:c r="T96" s="5" t="str">
        <x:v>UX·개발·QA</x:v>
      </x:c>
      <x:c r="U96" s="5" t="str">
        <x:v>P1</x:v>
      </x:c>
      <x:c r="V96" s="10" t="str">
        <x:v>구현</x:v>
      </x:c>
      <x:c r="W96" s="5" t="str">
        <x:v>적용한 검색어와 상태를 개별 해제 버튼이 있는 필터 태그로 표시한다. 태그를 해제하면 다른 조건은 유지하고 페이지를1로 돌리며 결과 수를 알린다.</x:v>
      </x:c>
      <x:c r="X96" s="5" t="str">
        <x:v>apps/web/src/App.tsx#RequestList</x:v>
      </x:c>
      <x:c r="Y96" s="5" t="str">
        <x:v>MAN-UI-045</x:v>
      </x:c>
      <x:c r="Z96" s="10" t="str">
        <x:v>미실행</x:v>
      </x:c>
      <x:c r="AA96" s="10" t="str">
        <x:v>미실행</x:v>
      </x:c>
      <x:c r="AB96" s="5" t="str"/>
      <x:c r="AC96" s="5" t="n">
        <x:v>0</x:v>
      </x:c>
      <x:c r="AD96" s="5" t="n">
        <x:v>1</x:v>
      </x:c>
      <x:c r="AE96" s="10" t="str">
        <x:v>미실행</x:v>
      </x:c>
      <x:c r="AF96" s="5" t="str"/>
      <x:c r="AG96" s="5" t="str"/>
      <x:c r="AH96" s="5" t="str"/>
      <x:c r="AI96" s="10" t="str">
        <x:v>재확인필요</x:v>
      </x:c>
      <x:c r="AJ96" s="5" t="str">
        <x:f>IF(AND(M96="적용",V96="구현",X96&lt;&gt;"",Y96&lt;&gt;"",AB96&lt;&gt;"",AC96&gt;0,AD96&gt;0,AE96="통과",AF96="",AG96&lt;&gt;"",AH96&lt;&gt;"",OR(S96="자동",S96="수동",S96="자동+수동"),IF(OR(S96="자동",S96="자동+수동"),Z96="통과",TRUE),IF(OR(S96="수동",S96="자동+수동"),AA96="통과",TRUE)),"통과",IF(OR(Z96="실패",AA96="실패",AE96="실패"),"실패","보류"))</x:f>
        <x:v>보류</x:v>
      </x:c>
      <x:c r="AK96" s="5" t="str">
        <x:v>KRDS-SEC-046</x:v>
      </x:c>
      <x:c r="AL96" s="5" t="str"/>
      <x:c r="AM96" s="5" t="str">
        <x:v>입력 v0.1 계획 주석은 original_plan_note에 보존. 최신 구현·시험·증빙은 연결 적용기록을 참조하며 전체 준수·인증을 주장하지 않음.</x:v>
      </x:c>
    </x:row>
    <x:row r="97" ht="26.399999618530273" hidden="0" customHeight="1">
      <x:c r="A97" s="5" t="str">
        <x:v>UI-046</x:v>
      </x:c>
      <x:c r="B97" s="5" t="str">
        <x:v>KRDS UI/UX</x:v>
      </x:c>
      <x:c r="C97" s="5" t="str">
        <x:v>UI 컴포넌트</x:v>
      </x:c>
      <x:c r="D97" s="5" t="str">
        <x:v>토글 스위치</x:v>
      </x:c>
      <x:c r="E97" s="5" t="str">
        <x:v>즉시 적용되는 설정의 상태 제공</x:v>
      </x:c>
      <x:c r="F97" s="5" t="str">
        <x:v>SRC-001</x:v>
      </x:c>
      <x:c r="G97" s="5" t="str">
        <x:v>2025.08</x:v>
      </x:c>
      <x:c r="H97" s="5" t="str">
        <x:v>컴포넌트 / 선택 / 토글 스위치</x:v>
      </x:c>
      <x:c r="I97" s="5" t="str">
        <x:v>570-581</x:v>
      </x:c>
      <x:c r="J97" s="5" t="str">
        <x:v>회사 채택안; 원문 의무수준과 별도 관리</x:v>
      </x:c>
      <x:c r="K97" s="5" t="str">
        <x:v>원문 등급 별도 확인</x:v>
      </x:c>
      <x:c r="L97" s="5" t="str">
        <x:v>MUST(안)</x:v>
      </x:c>
      <x:c r="M97" s="10" t="str">
        <x:v>적용</x:v>
      </x:c>
      <x:c r="N97" s="5" t="str">
        <x:v>업무요청 웹 샘플에 채택하는 회사 기준. 실제 이행은 구현 후 판정.</x:v>
      </x:c>
      <x:c r="O97" s="5" t="str">
        <x:v>관련 기능·적용 기관·계약 변경 시 재평가</x:v>
      </x:c>
      <x:c r="P97" s="5" t="str">
        <x:v>S01~S08 / 공통</x:v>
      </x:c>
      <x:c r="Q97" s="5" t="str">
        <x:v>선명한 화면·동작 줄이기 설정에 일관된 레이블과 checked 상태 제공</x:v>
      </x:c>
      <x:c r="R97" s="5" t="str">
        <x:v>키보드 조작과 설정 상태·저장·복원 확인</x:v>
      </x:c>
      <x:c r="S97" s="10" t="str">
        <x:v>자동+수동</x:v>
      </x:c>
      <x:c r="T97" s="5" t="str">
        <x:v>UX·개발·QA</x:v>
      </x:c>
      <x:c r="U97" s="5" t="str">
        <x:v>P1</x:v>
      </x:c>
      <x:c r="V97" s="10" t="str">
        <x:v>구현</x:v>
      </x:c>
      <x:c r="W97" s="5" t="str">
        <x:v>갤러리의 native checkbox role=switch로 이름과 켜짐/꺼짐·비활성 상태를 제공한다. Space 조작과 명시적 aria-checked 및 가시적인 초점·손잡이 위치·상태 텍스트를 함께 제공한다.</x:v>
      </x:c>
      <x:c r="X97" s="5" t="str">
        <x:v>apps/web/src/ui.tsx#SwitchExample
apps/web/src/styles.css</x:v>
      </x:c>
      <x:c r="Y97" s="5" t="str">
        <x:v>MAN-UI-046</x:v>
      </x:c>
      <x:c r="Z97" s="10" t="str">
        <x:v>미실행</x:v>
      </x:c>
      <x:c r="AA97" s="10" t="str">
        <x:v>미실행</x:v>
      </x:c>
      <x:c r="AB97" s="5" t="str"/>
      <x:c r="AC97" s="5" t="n">
        <x:v>0</x:v>
      </x:c>
      <x:c r="AD97" s="5" t="n">
        <x:v>1</x:v>
      </x:c>
      <x:c r="AE97" s="10" t="str">
        <x:v>미실행</x:v>
      </x:c>
      <x:c r="AF97" s="5" t="str"/>
      <x:c r="AG97" s="5" t="str"/>
      <x:c r="AH97" s="5" t="str"/>
      <x:c r="AI97" s="10" t="str">
        <x:v>재확인필요</x:v>
      </x:c>
      <x:c r="AJ97" s="5" t="str">
        <x:f>IF(AND(M97="적용",V97="구현",X97&lt;&gt;"",Y97&lt;&gt;"",AB97&lt;&gt;"",AC97&gt;0,AD97&gt;0,AE97="통과",AF97="",AG97&lt;&gt;"",AH97&lt;&gt;"",OR(S97="자동",S97="수동",S97="자동+수동"),IF(OR(S97="자동",S97="자동+수동"),Z97="통과",TRUE),IF(OR(S97="수동",S97="자동+수동"),AA97="통과",TRUE)),"통과",IF(OR(Z97="실패",AA97="실패",AE97="실패"),"실패","보류"))</x:f>
        <x:v>보류</x:v>
      </x:c>
      <x:c r="AK97" s="5" t="str">
        <x:v>KRDS-SEC-047</x:v>
      </x:c>
      <x:c r="AL97" s="5" t="str"/>
      <x:c r="AM97" s="5" t="str">
        <x:v>입력 v0.1 계획 주석은 original_plan_note에 보존. 최신 구현·시험·증빙은 연결 적용기록을 참조하며 전체 준수·인증을 주장하지 않음.</x:v>
      </x:c>
    </x:row>
    <x:row r="98" ht="26.399999618530273" hidden="0" customHeight="1">
      <x:c r="A98" s="5" t="str">
        <x:v>UI-047</x:v>
      </x:c>
      <x:c r="B98" s="5" t="str">
        <x:v>KRDS UI/UX</x:v>
      </x:c>
      <x:c r="C98" s="5" t="str">
        <x:v>UI 컴포넌트</x:v>
      </x:c>
      <x:c r="D98" s="5" t="str">
        <x:v>단계 표시기</x:v>
      </x:c>
      <x:c r="E98" s="5" t="str">
        <x:v>단계형 작성의 현재 위치를 안내</x:v>
      </x:c>
      <x:c r="F98" s="5" t="str">
        <x:v>SRC-001</x:v>
      </x:c>
      <x:c r="G98" s="5" t="str">
        <x:v>2025.08</x:v>
      </x:c>
      <x:c r="H98" s="5" t="str">
        <x:v>컴포넌트 / 피드백 / 단계 표시기</x:v>
      </x:c>
      <x:c r="I98" s="5" t="str">
        <x:v>582-588</x:v>
      </x:c>
      <x:c r="J98" s="5" t="str">
        <x:v>회사 채택안; 원문 의무수준과 별도 관리</x:v>
      </x:c>
      <x:c r="K98" s="5" t="str">
        <x:v>원문 등급 별도 확인</x:v>
      </x:c>
      <x:c r="L98" s="5" t="str">
        <x:v>MUST(안)</x:v>
      </x:c>
      <x:c r="M98" s="10" t="str">
        <x:v>적용</x:v>
      </x:c>
      <x:c r="N98" s="5" t="str">
        <x:v>업무요청 웹 샘플에 채택하는 회사 기준. 실제 이행은 구현 후 판정.</x:v>
      </x:c>
      <x:c r="O98" s="5" t="str">
        <x:v>관련 기능·적용 기관·계약 변경 시 재평가</x:v>
      </x:c>
      <x:c r="P98" s="5" t="str">
        <x:v>S04, S05</x:v>
      </x:c>
      <x:c r="Q98" s="5" t="str">
        <x:v>기본정보/첨부/검토/완료의 단계와 현재 단계 텍스트 제공</x:v>
      </x:c>
      <x:c r="R98" s="5" t="str">
        <x:v>단계 전환·되돌아가기·보조기술 현재단계 확인</x:v>
      </x:c>
      <x:c r="S98" s="10" t="str">
        <x:v>자동+수동</x:v>
      </x:c>
      <x:c r="T98" s="5" t="str">
        <x:v>UX·개발·QA</x:v>
      </x:c>
      <x:c r="U98" s="5" t="str">
        <x:v>P1</x:v>
      </x:c>
      <x:c r="V98" s="10" t="str">
        <x:v>구현</x:v>
      </x:c>
      <x:c r="W98" s="5" t="str">
        <x:v>기본정보·내용/첨부·검토·완료를 ol 단계 표시와 aria-current=step으로 전달한다. 단계 변경 후 제목에 초점을 이동한다.</x:v>
      </x:c>
      <x:c r="X98" s="5" t="str">
        <x:v>apps/web/src/App.tsx#RequestWizard</x:v>
      </x:c>
      <x:c r="Y98" s="5" t="str">
        <x:v>MAN-UI-047</x:v>
      </x:c>
      <x:c r="Z98" s="10" t="str">
        <x:v>미실행</x:v>
      </x:c>
      <x:c r="AA98" s="10" t="str">
        <x:v>미실행</x:v>
      </x:c>
      <x:c r="AB98" s="5" t="str"/>
      <x:c r="AC98" s="5" t="n">
        <x:v>0</x:v>
      </x:c>
      <x:c r="AD98" s="5" t="n">
        <x:v>1</x:v>
      </x:c>
      <x:c r="AE98" s="10" t="str">
        <x:v>미실행</x:v>
      </x:c>
      <x:c r="AF98" s="5" t="str"/>
      <x:c r="AG98" s="5" t="str"/>
      <x:c r="AH98" s="5" t="str"/>
      <x:c r="AI98" s="10" t="str">
        <x:v>재확인필요</x:v>
      </x:c>
      <x:c r="AJ98" s="5" t="str">
        <x:f>IF(AND(M98="적용",V98="구현",X98&lt;&gt;"",Y98&lt;&gt;"",AB98&lt;&gt;"",AC98&gt;0,AD98&gt;0,AE98="통과",AF98="",AG98&lt;&gt;"",AH98&lt;&gt;"",OR(S98="자동",S98="수동",S98="자동+수동"),IF(OR(S98="자동",S98="자동+수동"),Z98="통과",TRUE),IF(OR(S98="수동",S98="자동+수동"),AA98="통과",TRUE)),"통과",IF(OR(Z98="실패",AA98="실패",AE98="실패"),"실패","보류"))</x:f>
        <x:v>보류</x:v>
      </x:c>
      <x:c r="AK98" s="5" t="str">
        <x:v>KRDS-SEC-048</x:v>
      </x:c>
      <x:c r="AL98" s="5" t="str"/>
      <x:c r="AM98" s="5" t="str">
        <x:v>입력 v0.1 계획 주석은 original_plan_note에 보존. 최신 구현·시험·증빙은 연결 적용기록을 참조하며 전체 준수·인증을 주장하지 않음.</x:v>
      </x:c>
    </x:row>
    <x:row r="99" ht="26.399999618530273" hidden="0" customHeight="1">
      <x:c r="A99" s="5" t="str">
        <x:v>UI-048</x:v>
      </x:c>
      <x:c r="B99" s="5" t="str">
        <x:v>KRDS UI/UX</x:v>
      </x:c>
      <x:c r="C99" s="5" t="str">
        <x:v>UI 컴포넌트</x:v>
      </x:c>
      <x:c r="D99" s="5" t="str">
        <x:v>스피너</x:v>
      </x:c>
      <x:c r="E99" s="5" t="str">
        <x:v>처리중 상태를 시각·비시각으로 안내</x:v>
      </x:c>
      <x:c r="F99" s="5" t="str">
        <x:v>SRC-001</x:v>
      </x:c>
      <x:c r="G99" s="5" t="str">
        <x:v>2025.08</x:v>
      </x:c>
      <x:c r="H99" s="5" t="str">
        <x:v>컴포넌트 / 피드백 / 스피너</x:v>
      </x:c>
      <x:c r="I99" s="5" t="str">
        <x:v>589-597</x:v>
      </x:c>
      <x:c r="J99" s="5" t="str">
        <x:v>회사 채택안; 원문 의무수준과 별도 관리</x:v>
      </x:c>
      <x:c r="K99" s="5" t="str">
        <x:v>원문 등급 별도 확인</x:v>
      </x:c>
      <x:c r="L99" s="5" t="str">
        <x:v>MUST(안)</x:v>
      </x:c>
      <x:c r="M99" s="10" t="str">
        <x:v>적용</x:v>
      </x:c>
      <x:c r="N99" s="5" t="str">
        <x:v>업무요청 웹 샘플에 채택하는 회사 기준. 실제 이행은 구현 후 판정.</x:v>
      </x:c>
      <x:c r="O99" s="5" t="str">
        <x:v>관련 기능·적용 기관·계약 변경 시 재평가</x:v>
      </x:c>
      <x:c r="P99" s="5" t="str">
        <x:v>S01~S08 / 공통</x:v>
      </x:c>
      <x:c r="Q99" s="5" t="str">
        <x:v>네트워크 요청에 상태 텍스트와 aria-busy/status를 제공</x:v>
      </x:c>
      <x:c r="R99" s="5" t="str">
        <x:v>느린 네트워크에서 시작·완료 안내와 중복읽기 확인</x:v>
      </x:c>
      <x:c r="S99" s="10" t="str">
        <x:v>자동+수동</x:v>
      </x:c>
      <x:c r="T99" s="5" t="str">
        <x:v>UX·개발·QA</x:v>
      </x:c>
      <x:c r="U99" s="5" t="str">
        <x:v>P1</x:v>
      </x:c>
      <x:c r="V99" s="10" t="str">
        <x:v>구현</x:v>
      </x:c>
      <x:c r="W99" s="5" t="str">
        <x:v>role=status의 처리 중 텍스트와 스피너를 제공하고 reduced-motion 및 사용자 모션 감소에서는 회전을 중지한다.</x:v>
      </x:c>
      <x:c r="X99" s="5" t="str">
        <x:v>apps/web/src/ui.tsx#Loading
apps/web/src/styles.css</x:v>
      </x:c>
      <x:c r="Y99" s="5" t="str">
        <x:v>MAN-UI-048</x:v>
      </x:c>
      <x:c r="Z99" s="10" t="str">
        <x:v>미실행</x:v>
      </x:c>
      <x:c r="AA99" s="10" t="str">
        <x:v>미실행</x:v>
      </x:c>
      <x:c r="AB99" s="5" t="str"/>
      <x:c r="AC99" s="5" t="n">
        <x:v>0</x:v>
      </x:c>
      <x:c r="AD99" s="5" t="n">
        <x:v>1</x:v>
      </x:c>
      <x:c r="AE99" s="10" t="str">
        <x:v>미실행</x:v>
      </x:c>
      <x:c r="AF99" s="5" t="str"/>
      <x:c r="AG99" s="5" t="str"/>
      <x:c r="AH99" s="5" t="str"/>
      <x:c r="AI99" s="10" t="str">
        <x:v>재확인필요</x:v>
      </x:c>
      <x:c r="AJ99" s="5" t="str">
        <x:f>IF(AND(M99="적용",V99="구현",X99&lt;&gt;"",Y99&lt;&gt;"",AB99&lt;&gt;"",AC99&gt;0,AD99&gt;0,AE99="통과",AF99="",AG99&lt;&gt;"",AH99&lt;&gt;"",OR(S99="자동",S99="수동",S99="자동+수동"),IF(OR(S99="자동",S99="자동+수동"),Z99="통과",TRUE),IF(OR(S99="수동",S99="자동+수동"),AA99="통과",TRUE)),"통과",IF(OR(Z99="실패",AA99="실패",AE99="실패"),"실패","보류"))</x:f>
        <x:v>보류</x:v>
      </x:c>
      <x:c r="AK99" s="5" t="str">
        <x:v>KRDS-SEC-049</x:v>
      </x:c>
      <x:c r="AL99" s="5" t="str"/>
      <x:c r="AM99" s="5" t="str">
        <x:v>입력 v0.1 계획 주석은 original_plan_note에 보존. 최신 구현·시험·증빙은 연결 적용기록을 참조하며 전체 준수·인증을 주장하지 않음.</x:v>
      </x:c>
    </x:row>
    <x:row r="100" ht="39.599998474121094" hidden="0" customHeight="1">
      <x:c r="A100" s="5" t="str">
        <x:v>UI-049</x:v>
      </x:c>
      <x:c r="B100" s="5" t="str">
        <x:v>KRDS UI/UX</x:v>
      </x:c>
      <x:c r="C100" s="5" t="str">
        <x:v>UI 컴포넌트</x:v>
      </x:c>
      <x:c r="D100" s="5" t="str">
        <x:v>도움 패널</x:v>
      </x:c>
      <x:c r="E100" s="5" t="str">
        <x:v>도움 수단을 일관되게 제공</x:v>
      </x:c>
      <x:c r="F100" s="5" t="str">
        <x:v>SRC-001</x:v>
      </x:c>
      <x:c r="G100" s="5" t="str">
        <x:v>2025.08</x:v>
      </x:c>
      <x:c r="H100" s="5" t="str">
        <x:v>컴포넌트 / 도움 / 도움 패널</x:v>
      </x:c>
      <x:c r="I100" s="5" t="str">
        <x:v>598-610</x:v>
      </x:c>
      <x:c r="J100" s="5" t="str">
        <x:v>회사 채택안; 원문 의무수준과 별도 관리</x:v>
      </x:c>
      <x:c r="K100" s="5" t="str">
        <x:v>원문 등급 별도 확인</x:v>
      </x:c>
      <x:c r="L100" s="5" t="str">
        <x:v>MUST(안)</x:v>
      </x:c>
      <x:c r="M100" s="10" t="str">
        <x:v>적용</x:v>
      </x:c>
      <x:c r="N100" s="5" t="str">
        <x:v>업무요청 웹 샘플에 채택하는 회사 기준. 실제 이행은 구현 후 판정.</x:v>
      </x:c>
      <x:c r="O100" s="5" t="str">
        <x:v>관련 기능·적용 기관·계약 변경 시 재평가</x:v>
      </x:c>
      <x:c r="P100" s="5" t="str">
        <x:v>S01~S08 / 공통</x:v>
      </x:c>
      <x:c r="Q100" s="5" t="str">
        <x:v>도움말과 문의 경로를 공통 위치에 두고 필요 시 패널 제공</x:v>
      </x:c>
      <x:c r="R100" s="5" t="str">
        <x:v>작업 중 도움 접근·닫기·원래 맥락 복귀 확인</x:v>
      </x:c>
      <x:c r="S100" s="10" t="str">
        <x:v>자동+수동</x:v>
      </x:c>
      <x:c r="T100" s="5" t="str">
        <x:v>UX·개발·QA</x:v>
      </x:c>
      <x:c r="U100" s="5" t="str">
        <x:v>P1</x:v>
      </x:c>
      <x:c r="V100" s="10" t="str">
        <x:v>구현</x:v>
      </x:c>
      <x:c r="W100" s="5" t="str">
        <x:v>고정된 도움말 탐색, 단계별 설명, aria-describedby 입력조건, 관리자 문의·업무요청 경로를 제공한다.</x:v>
      </x:c>
      <x:c r="X100" s="5" t="str">
        <x:v>apps/web/src/App.tsx#Help
apps/web/src/App.tsx#RequestWizard
apps/web/src/App.tsx#App</x:v>
      </x:c>
      <x:c r="Y100" s="5" t="str">
        <x:v>MAN-UI-049</x:v>
      </x:c>
      <x:c r="Z100" s="10" t="str">
        <x:v>미실행</x:v>
      </x:c>
      <x:c r="AA100" s="10" t="str">
        <x:v>미실행</x:v>
      </x:c>
      <x:c r="AB100" s="5" t="str"/>
      <x:c r="AC100" s="5" t="n">
        <x:v>0</x:v>
      </x:c>
      <x:c r="AD100" s="5" t="n">
        <x:v>1</x:v>
      </x:c>
      <x:c r="AE100" s="10" t="str">
        <x:v>미실행</x:v>
      </x:c>
      <x:c r="AF100" s="5" t="str"/>
      <x:c r="AG100" s="5" t="str"/>
      <x:c r="AH100" s="5" t="str"/>
      <x:c r="AI100" s="10" t="str">
        <x:v>재확인필요</x:v>
      </x:c>
      <x:c r="AJ100" s="5" t="str">
        <x:f>IF(AND(M100="적용",V100="구현",X100&lt;&gt;"",Y100&lt;&gt;"",AB100&lt;&gt;"",AC100&gt;0,AD100&gt;0,AE100="통과",AF100="",AG100&lt;&gt;"",AH100&lt;&gt;"",OR(S100="자동",S100="수동",S100="자동+수동"),IF(OR(S100="자동",S100="자동+수동"),Z100="통과",TRUE),IF(OR(S100="수동",S100="자동+수동"),AA100="통과",TRUE)),"통과",IF(OR(Z100="실패",AA100="실패",AE100="실패"),"실패","보류"))</x:f>
        <x:v>보류</x:v>
      </x:c>
      <x:c r="AK100" s="5" t="str">
        <x:v>KRDS-SEC-050</x:v>
      </x:c>
      <x:c r="AL100" s="5" t="str"/>
      <x:c r="AM100" s="5" t="str">
        <x:v>입력 v0.1 계획 주석은 original_plan_note에 보존. 최신 구현·시험·증빙은 연결 적용기록을 참조하며 전체 준수·인증을 주장하지 않음.</x:v>
      </x:c>
    </x:row>
    <x:row r="101" ht="26.399999618530273" hidden="0" customHeight="1">
      <x:c r="A101" s="5" t="str">
        <x:v>UI-050</x:v>
      </x:c>
      <x:c r="B101" s="5" t="str">
        <x:v>KRDS UI/UX</x:v>
      </x:c>
      <x:c r="C101" s="5" t="str">
        <x:v>UI 컴포넌트</x:v>
      </x:c>
      <x:c r="D101" s="5" t="str">
        <x:v>따라하기 패널</x:v>
      </x:c>
      <x:c r="E101" s="5" t="str">
        <x:v>선택적으로 단계별 학습을 제공</x:v>
      </x:c>
      <x:c r="F101" s="5" t="str">
        <x:v>SRC-001</x:v>
      </x:c>
      <x:c r="G101" s="5" t="str">
        <x:v>2025.08</x:v>
      </x:c>
      <x:c r="H101" s="5" t="str">
        <x:v>컴포넌트 / 도움 / 따라하기 패널</x:v>
      </x:c>
      <x:c r="I101" s="5" t="str">
        <x:v>611-619</x:v>
      </x:c>
      <x:c r="J101" s="5" t="str">
        <x:v>회사 채택안; 원문 의무수준과 별도 관리</x:v>
      </x:c>
      <x:c r="K101" s="5" t="str">
        <x:v>원문 등급 별도 확인</x:v>
      </x:c>
      <x:c r="L101" s="5" t="str">
        <x:v>MUST(안)</x:v>
      </x:c>
      <x:c r="M101" s="10" t="str">
        <x:v>조건부</x:v>
      </x:c>
      <x:c r="N101" s="5" t="str">
        <x:v>해당 기능 또는 서비스 조건이 실제 범위에 포함될 때 적용.</x:v>
      </x:c>
      <x:c r="O101" s="5" t="str">
        <x:v>해당 기능 또는 서비스 조건이 실제 범위에 포함될 때 적용.</x:v>
      </x:c>
      <x:c r="P101" s="5" t="str">
        <x:v>S01~S08 / 공통</x:v>
      </x:c>
      <x:c r="Q101" s="5" t="str">
        <x:v>신규 사용자 안내 채택 시 건너뛰기·종료·다시보기 제공</x:v>
      </x:c>
      <x:c r="R101" s="5" t="str">
        <x:v>안내 없이도 핵심 업무 수행 가능한지 확인</x:v>
      </x:c>
      <x:c r="S101" s="10" t="str">
        <x:v>자동+수동</x:v>
      </x:c>
      <x:c r="T101" s="5" t="str">
        <x:v>UX·개발·QA</x:v>
      </x:c>
      <x:c r="U101" s="5" t="str">
        <x:v>P2</x:v>
      </x:c>
      <x:c r="V101" s="10" t="str">
        <x:v>진행</x:v>
      </x:c>
      <x:c r="W101" s="5" t="str">
        <x:v>등록·처리의 단계별 한국어 가이드를 제공한다. 선택적으로 실행하는 인터랙티브 따라하기 패널은 구현하지 않았다.</x:v>
      </x:c>
      <x:c r="X101" s="5" t="str">
        <x:v>apps/web/src/App.tsx#Help</x:v>
      </x:c>
      <x:c r="Y101" s="5" t="str">
        <x:v>MAN-UI-050</x:v>
      </x:c>
      <x:c r="Z101" s="10" t="str">
        <x:v>미실행</x:v>
      </x:c>
      <x:c r="AA101" s="10" t="str">
        <x:v>미실행</x:v>
      </x:c>
      <x:c r="AB101" s="5" t="str"/>
      <x:c r="AC101" s="5" t="n">
        <x:v>0</x:v>
      </x:c>
      <x:c r="AD101" s="5" t="n">
        <x:v>1</x:v>
      </x:c>
      <x:c r="AE101" s="10" t="str">
        <x:v>미실행</x:v>
      </x:c>
      <x:c r="AF101" s="5" t="str"/>
      <x:c r="AG101" s="5" t="str"/>
      <x:c r="AH101" s="5" t="str"/>
      <x:c r="AI101" s="10" t="str">
        <x:v>재확인필요</x:v>
      </x:c>
      <x:c r="AJ101" s="5" t="str">
        <x:f>IF(AND(M101="적용",V101="구현",X101&lt;&gt;"",Y101&lt;&gt;"",AB101&lt;&gt;"",AC101&gt;0,AD101&gt;0,AE101="통과",AF101="",AG101&lt;&gt;"",AH101&lt;&gt;"",OR(S101="자동",S101="수동",S101="자동+수동"),IF(OR(S101="자동",S101="자동+수동"),Z101="통과",TRUE),IF(OR(S101="수동",S101="자동+수동"),AA101="통과",TRUE)),"통과",IF(OR(Z101="실패",AA101="실패",AE101="실패"),"실패","보류"))</x:f>
        <x:v>보류</x:v>
      </x:c>
      <x:c r="AK101" s="5" t="str">
        <x:v>KRDS-SEC-051</x:v>
      </x:c>
      <x:c r="AL101" s="5" t="str"/>
      <x:c r="AM101" s="5" t="str">
        <x:v>입력 v0.1 계획 주석은 original_plan_note에 보존. 최신 구현·시험·증빙은 연결 적용기록을 참조하며 전체 준수·인증을 주장하지 않음.</x:v>
      </x:c>
    </x:row>
    <x:row r="102" ht="39.599998474121094" hidden="0" customHeight="1">
      <x:c r="A102" s="5" t="str">
        <x:v>UI-051</x:v>
      </x:c>
      <x:c r="B102" s="5" t="str">
        <x:v>KRDS UI/UX</x:v>
      </x:c>
      <x:c r="C102" s="5" t="str">
        <x:v>UI 컴포넌트</x:v>
      </x:c>
      <x:c r="D102" s="5" t="str">
        <x:v>맥락적 도움말</x:v>
      </x:c>
      <x:c r="E102" s="5" t="str">
        <x:v>현재 항목의 보충 설명을 접근 가능하게 제공</x:v>
      </x:c>
      <x:c r="F102" s="5" t="str">
        <x:v>SRC-001</x:v>
      </x:c>
      <x:c r="G102" s="5" t="str">
        <x:v>2025.08</x:v>
      </x:c>
      <x:c r="H102" s="5" t="str">
        <x:v>컴포넌트 / 도움 / 맥락적 도움말</x:v>
      </x:c>
      <x:c r="I102" s="5" t="str">
        <x:v>620-635</x:v>
      </x:c>
      <x:c r="J102" s="5" t="str">
        <x:v>회사 채택안; 원문 의무수준과 별도 관리</x:v>
      </x:c>
      <x:c r="K102" s="5" t="str">
        <x:v>원문 등급 별도 확인</x:v>
      </x:c>
      <x:c r="L102" s="5" t="str">
        <x:v>MUST(안)</x:v>
      </x:c>
      <x:c r="M102" s="10" t="str">
        <x:v>적용</x:v>
      </x:c>
      <x:c r="N102" s="5" t="str">
        <x:v>업무요청 웹 샘플에 채택하는 회사 기준. 실제 이행은 구현 후 판정.</x:v>
      </x:c>
      <x:c r="O102" s="5" t="str">
        <x:v>관련 기능·적용 기관·계약 변경 시 재평가</x:v>
      </x:c>
      <x:c r="P102" s="5" t="str">
        <x:v>S01~S08 / 공통</x:v>
      </x:c>
      <x:c r="Q102" s="5" t="str">
        <x:v>필드 근처 설명은 항상 보이게 두고 부가정보만 팝오버에 제공</x:v>
      </x:c>
      <x:c r="R102" s="5" t="str">
        <x:v>hover/초점/터치·Escape·본문 가림 점검</x:v>
      </x:c>
      <x:c r="S102" s="10" t="str">
        <x:v>자동+수동</x:v>
      </x:c>
      <x:c r="T102" s="5" t="str">
        <x:v>UX·개발·QA</x:v>
      </x:c>
      <x:c r="U102" s="5" t="str">
        <x:v>P1</x:v>
      </x:c>
      <x:c r="V102" s="10" t="str">
        <x:v>구현</x:v>
      </x:c>
      <x:c r="W102" s="5" t="str">
        <x:v>고정된 도움말 탐색, 단계별 설명, aria-describedby 입력조건, 관리자 문의·업무요청 경로를 제공한다.</x:v>
      </x:c>
      <x:c r="X102" s="5" t="str">
        <x:v>apps/web/src/App.tsx#Help
apps/web/src/App.tsx#RequestWizard
apps/web/src/App.tsx#App</x:v>
      </x:c>
      <x:c r="Y102" s="5" t="str">
        <x:v>MAN-UI-051</x:v>
      </x:c>
      <x:c r="Z102" s="10" t="str">
        <x:v>미실행</x:v>
      </x:c>
      <x:c r="AA102" s="10" t="str">
        <x:v>미실행</x:v>
      </x:c>
      <x:c r="AB102" s="5" t="str"/>
      <x:c r="AC102" s="5" t="n">
        <x:v>0</x:v>
      </x:c>
      <x:c r="AD102" s="5" t="n">
        <x:v>1</x:v>
      </x:c>
      <x:c r="AE102" s="10" t="str">
        <x:v>미실행</x:v>
      </x:c>
      <x:c r="AF102" s="5" t="str"/>
      <x:c r="AG102" s="5" t="str"/>
      <x:c r="AH102" s="5" t="str"/>
      <x:c r="AI102" s="10" t="str">
        <x:v>재확인필요</x:v>
      </x:c>
      <x:c r="AJ102" s="5" t="str">
        <x:f>IF(AND(M102="적용",V102="구현",X102&lt;&gt;"",Y102&lt;&gt;"",AB102&lt;&gt;"",AC102&gt;0,AD102&gt;0,AE102="통과",AF102="",AG102&lt;&gt;"",AH102&lt;&gt;"",OR(S102="자동",S102="수동",S102="자동+수동"),IF(OR(S102="자동",S102="자동+수동"),Z102="통과",TRUE),IF(OR(S102="수동",S102="자동+수동"),AA102="통과",TRUE)),"통과",IF(OR(Z102="실패",AA102="실패",AE102="실패"),"실패","보류"))</x:f>
        <x:v>보류</x:v>
      </x:c>
      <x:c r="AK102" s="5" t="str">
        <x:v>KRDS-SEC-052</x:v>
      </x:c>
      <x:c r="AL102" s="5" t="str"/>
      <x:c r="AM102" s="5" t="str">
        <x:v>입력 v0.1 계획 주석은 original_plan_note에 보존. 최신 구현·시험·증빙은 연결 적용기록을 참조하며 전체 준수·인증을 주장하지 않음.</x:v>
      </x:c>
    </x:row>
    <x:row r="103" ht="26.399999618530273" hidden="0" customHeight="1">
      <x:c r="A103" s="5" t="str">
        <x:v>UI-052</x:v>
      </x:c>
      <x:c r="B103" s="5" t="str">
        <x:v>KRDS UI/UX</x:v>
      </x:c>
      <x:c r="C103" s="5" t="str">
        <x:v>UI 컴포넌트</x:v>
      </x:c>
      <x:c r="D103" s="5" t="str">
        <x:v>코치마크</x:v>
      </x:c>
      <x:c r="E103" s="5" t="str">
        <x:v>안내 표시가 핵심 과업을 막지 않게 함</x:v>
      </x:c>
      <x:c r="F103" s="5" t="str">
        <x:v>SRC-001</x:v>
      </x:c>
      <x:c r="G103" s="5" t="str">
        <x:v>2025.08</x:v>
      </x:c>
      <x:c r="H103" s="5" t="str">
        <x:v>컴포넌트 / 도움 / 코치마크</x:v>
      </x:c>
      <x:c r="I103" s="5" t="str">
        <x:v>636-648</x:v>
      </x:c>
      <x:c r="J103" s="5" t="str">
        <x:v>회사 채택안; 원문 의무수준과 별도 관리</x:v>
      </x:c>
      <x:c r="K103" s="5" t="str">
        <x:v>원문 등급 별도 확인</x:v>
      </x:c>
      <x:c r="L103" s="5" t="str">
        <x:v>MUST(안)</x:v>
      </x:c>
      <x:c r="M103" s="10" t="str">
        <x:v>조건부</x:v>
      </x:c>
      <x:c r="N103" s="5" t="str">
        <x:v>해당 기능 또는 서비스 조건이 실제 범위에 포함될 때 적용.</x:v>
      </x:c>
      <x:c r="O103" s="5" t="str">
        <x:v>해당 기능 또는 서비스 조건이 실제 범위에 포함될 때 적용.</x:v>
      </x:c>
      <x:c r="P103" s="5" t="str">
        <x:v>S01~S08 / 공통</x:v>
      </x:c>
      <x:c r="Q103" s="5" t="str">
        <x:v>선택적 온보딩에서만 사용하고 닫기·건너뛰기·재실행 제공</x:v>
      </x:c>
      <x:c r="R103" s="5" t="str">
        <x:v>초점·순서·취소 후 과업 복귀 확인</x:v>
      </x:c>
      <x:c r="S103" s="10" t="str">
        <x:v>자동+수동</x:v>
      </x:c>
      <x:c r="T103" s="5" t="str">
        <x:v>UX·개발·QA</x:v>
      </x:c>
      <x:c r="U103" s="5" t="str">
        <x:v>P2</x:v>
      </x:c>
      <x:c r="V103" s="10" t="str">
        <x:v>계획</x:v>
      </x:c>
      <x:c r="W103" s="5" t="str">
        <x:v>코치마크·툴팁을 도입하지 않았다. 필수 정보는 모두 항상 보이는 도움말과 입력 설명에 제공한다. 해당 위젯을 추가할 경우 키보드/포인터 검증이 필요하다.</x:v>
      </x:c>
      <x:c r="X103" s="5" t="str"/>
      <x:c r="Y103" s="5" t="str">
        <x:v>MAN-UI-052</x:v>
      </x:c>
      <x:c r="Z103" s="10" t="str">
        <x:v>미실행</x:v>
      </x:c>
      <x:c r="AA103" s="10" t="str">
        <x:v>미실행</x:v>
      </x:c>
      <x:c r="AB103" s="5" t="str"/>
      <x:c r="AC103" s="5" t="n">
        <x:v>0</x:v>
      </x:c>
      <x:c r="AD103" s="5" t="n">
        <x:v>1</x:v>
      </x:c>
      <x:c r="AE103" s="10" t="str">
        <x:v>미실행</x:v>
      </x:c>
      <x:c r="AF103" s="5" t="str"/>
      <x:c r="AG103" s="5" t="str"/>
      <x:c r="AH103" s="5" t="str"/>
      <x:c r="AI103" s="10" t="str">
        <x:v>재확인필요</x:v>
      </x:c>
      <x:c r="AJ103" s="5" t="str">
        <x:f>IF(AND(M103="적용",V103="구현",X103&lt;&gt;"",Y103&lt;&gt;"",AB103&lt;&gt;"",AC103&gt;0,AD103&gt;0,AE103="통과",AF103="",AG103&lt;&gt;"",AH103&lt;&gt;"",OR(S103="자동",S103="수동",S103="자동+수동"),IF(OR(S103="자동",S103="자동+수동"),Z103="통과",TRUE),IF(OR(S103="수동",S103="자동+수동"),AA103="통과",TRUE)),"통과",IF(OR(Z103="실패",AA103="실패",AE103="실패"),"실패","보류"))</x:f>
        <x:v>보류</x:v>
      </x:c>
      <x:c r="AK103" s="5" t="str">
        <x:v>KRDS-SEC-053</x:v>
      </x:c>
      <x:c r="AL103" s="5" t="str"/>
      <x:c r="AM103" s="5" t="str">
        <x:v>입력 v0.1 계획 주석은 original_plan_note에 보존. 최신 구현·시험·증빙은 연결 적용기록을 참조하며 전체 준수·인증을 주장하지 않음.</x:v>
      </x:c>
    </x:row>
    <x:row r="104" ht="26.399999618530273" hidden="0" customHeight="1">
      <x:c r="A104" s="5" t="str">
        <x:v>UI-053</x:v>
      </x:c>
      <x:c r="B104" s="5" t="str">
        <x:v>KRDS UI/UX</x:v>
      </x:c>
      <x:c r="C104" s="5" t="str">
        <x:v>UI 컴포넌트</x:v>
      </x:c>
      <x:c r="D104" s="5" t="str">
        <x:v>툴팁</x:v>
      </x:c>
      <x:c r="E104" s="5" t="str">
        <x:v>보충정보에 한정하고 모든 입력방식에서 접근 제공</x:v>
      </x:c>
      <x:c r="F104" s="5" t="str">
        <x:v>SRC-001</x:v>
      </x:c>
      <x:c r="G104" s="5" t="str">
        <x:v>2025.08</x:v>
      </x:c>
      <x:c r="H104" s="5" t="str">
        <x:v>컴포넌트 / 도움 / 툴팁</x:v>
      </x:c>
      <x:c r="I104" s="5" t="str">
        <x:v>649-663</x:v>
      </x:c>
      <x:c r="J104" s="5" t="str">
        <x:v>회사 채택안; 원문 의무수준과 별도 관리</x:v>
      </x:c>
      <x:c r="K104" s="5" t="str">
        <x:v>원문 등급 별도 확인</x:v>
      </x:c>
      <x:c r="L104" s="5" t="str">
        <x:v>MUST(안)</x:v>
      </x:c>
      <x:c r="M104" s="10" t="str">
        <x:v>조건부</x:v>
      </x:c>
      <x:c r="N104" s="5" t="str">
        <x:v>해당 기능 또는 서비스 조건이 실제 범위에 포함될 때 적용.</x:v>
      </x:c>
      <x:c r="O104" s="5" t="str">
        <x:v>해당 기능 또는 서비스 조건이 실제 범위에 포함될 때 적용.</x:v>
      </x:c>
      <x:c r="P104" s="5" t="str">
        <x:v>S01~S08 / 공통</x:v>
      </x:c>
      <x:c r="Q104" s="5" t="str">
        <x:v>필수 설명은 본문에 표시하고 툴팁은 hover와 초점으로 열며 Escape로 닫기</x:v>
      </x:c>
      <x:c r="R104" s="5" t="str">
        <x:v>툴팁 지속·dismiss·포인터 이동 및 터치 대체 정보 확인</x:v>
      </x:c>
      <x:c r="S104" s="10" t="str">
        <x:v>자동+수동</x:v>
      </x:c>
      <x:c r="T104" s="5" t="str">
        <x:v>UX·개발·QA</x:v>
      </x:c>
      <x:c r="U104" s="5" t="str">
        <x:v>P1</x:v>
      </x:c>
      <x:c r="V104" s="10" t="str">
        <x:v>계획</x:v>
      </x:c>
      <x:c r="W104" s="5" t="str">
        <x:v>코치마크·툴팁을 도입하지 않았다. 필수 정보는 모두 항상 보이는 도움말과 입력 설명에 제공한다. 해당 위젯을 추가할 경우 키보드/포인터 검증이 필요하다.</x:v>
      </x:c>
      <x:c r="X104" s="5" t="str"/>
      <x:c r="Y104" s="5" t="str">
        <x:v>MAN-UI-053</x:v>
      </x:c>
      <x:c r="Z104" s="10" t="str">
        <x:v>미실행</x:v>
      </x:c>
      <x:c r="AA104" s="10" t="str">
        <x:v>미실행</x:v>
      </x:c>
      <x:c r="AB104" s="5" t="str"/>
      <x:c r="AC104" s="5" t="n">
        <x:v>0</x:v>
      </x:c>
      <x:c r="AD104" s="5" t="n">
        <x:v>1</x:v>
      </x:c>
      <x:c r="AE104" s="10" t="str">
        <x:v>미실행</x:v>
      </x:c>
      <x:c r="AF104" s="5" t="str"/>
      <x:c r="AG104" s="5" t="str"/>
      <x:c r="AH104" s="5" t="str"/>
      <x:c r="AI104" s="10" t="str">
        <x:v>재확인필요</x:v>
      </x:c>
      <x:c r="AJ104" s="5" t="str">
        <x:f>IF(AND(M104="적용",V104="구현",X104&lt;&gt;"",Y104&lt;&gt;"",AB104&lt;&gt;"",AC104&gt;0,AD104&gt;0,AE104="통과",AF104="",AG104&lt;&gt;"",AH104&lt;&gt;"",OR(S104="자동",S104="수동",S104="자동+수동"),IF(OR(S104="자동",S104="자동+수동"),Z104="통과",TRUE),IF(OR(S104="수동",S104="자동+수동"),AA104="통과",TRUE)),"통과",IF(OR(Z104="실패",AA104="실패",AE104="실패"),"실패","보류"))</x:f>
        <x:v>보류</x:v>
      </x:c>
      <x:c r="AK104" s="5" t="str">
        <x:v>KRDS-SEC-054</x:v>
      </x:c>
      <x:c r="AL104" s="5" t="str"/>
      <x:c r="AM104" s="5" t="str">
        <x:v>입력 v0.1 계획 주석은 original_plan_note에 보존. 최신 구현·시험·증빙은 연결 적용기록을 참조하며 전체 준수·인증을 주장하지 않음.</x:v>
      </x:c>
    </x:row>
    <x:row r="105" ht="26.399999618530273" hidden="0" customHeight="1">
      <x:c r="A105" s="5" t="str">
        <x:v>UI-054</x:v>
      </x:c>
      <x:c r="B105" s="5" t="str">
        <x:v>KRDS UI/UX</x:v>
      </x:c>
      <x:c r="C105" s="5" t="str">
        <x:v>UI 컴포넌트</x:v>
      </x:c>
      <x:c r="D105" s="5" t="str">
        <x:v>날짜 입력 필드</x:v>
      </x:c>
      <x:c r="E105" s="5" t="str">
        <x:v>날짜 형식·예시와 직접 입력 제공</x:v>
      </x:c>
      <x:c r="F105" s="5" t="str">
        <x:v>SRC-001</x:v>
      </x:c>
      <x:c r="G105" s="5" t="str">
        <x:v>2025.08</x:v>
      </x:c>
      <x:c r="H105" s="5" t="str">
        <x:v>컴포넌트 / 입력 / 날짜 입력 필드</x:v>
      </x:c>
      <x:c r="I105" s="5" t="str">
        <x:v>664-676</x:v>
      </x:c>
      <x:c r="J105" s="5" t="str">
        <x:v>회사 채택안; 원문 의무수준과 별도 관리</x:v>
      </x:c>
      <x:c r="K105" s="5" t="str">
        <x:v>원문 등급 별도 확인</x:v>
      </x:c>
      <x:c r="L105" s="5" t="str">
        <x:v>MUST(안)</x:v>
      </x:c>
      <x:c r="M105" s="10" t="str">
        <x:v>조건부</x:v>
      </x:c>
      <x:c r="N105" s="5" t="str">
        <x:v>해당 기능 또는 서비스 조건이 실제 범위에 포함될 때 적용.</x:v>
      </x:c>
      <x:c r="O105" s="5" t="str">
        <x:v>해당 기능 또는 서비스 조건이 실제 범위에 포함될 때 적용.</x:v>
      </x:c>
      <x:c r="P105" s="5" t="str">
        <x:v>S05</x:v>
      </x:c>
      <x:c r="Q105" s="5" t="str">
        <x:v>마감일 필드에 label·YYYY-MM-DD 안내와 검증 오류 연결</x:v>
      </x:c>
      <x:c r="R105" s="5" t="str">
        <x:v>키보드 직접입력·잘못된 날짜·모바일 입력 확인</x:v>
      </x:c>
      <x:c r="S105" s="10" t="str">
        <x:v>자동+수동</x:v>
      </x:c>
      <x:c r="T105" s="5" t="str">
        <x:v>UX·개발·QA</x:v>
      </x:c>
      <x:c r="U105" s="5" t="str">
        <x:v>P1</x:v>
      </x:c>
      <x:c r="V105" s="10" t="str">
        <x:v>계획</x:v>
      </x:c>
      <x:c r="W105" s="5" t="str">
        <x:v>달력이나 업무 날짜 직접 입력 필드는 샘플에 도입하지 않았다. 날짜 기능 도입 시 직접입력·형식 안내와 달력 키보드 조작을 재평가한다.</x:v>
      </x:c>
      <x:c r="X105" s="5" t="str"/>
      <x:c r="Y105" s="5" t="str">
        <x:v>MAN-UI-054</x:v>
      </x:c>
      <x:c r="Z105" s="10" t="str">
        <x:v>미실행</x:v>
      </x:c>
      <x:c r="AA105" s="10" t="str">
        <x:v>미실행</x:v>
      </x:c>
      <x:c r="AB105" s="5" t="str"/>
      <x:c r="AC105" s="5" t="n">
        <x:v>0</x:v>
      </x:c>
      <x:c r="AD105" s="5" t="n">
        <x:v>1</x:v>
      </x:c>
      <x:c r="AE105" s="10" t="str">
        <x:v>미실행</x:v>
      </x:c>
      <x:c r="AF105" s="5" t="str"/>
      <x:c r="AG105" s="5" t="str"/>
      <x:c r="AH105" s="5" t="str"/>
      <x:c r="AI105" s="10" t="str">
        <x:v>재확인필요</x:v>
      </x:c>
      <x:c r="AJ105" s="5" t="str">
        <x:f>IF(AND(M105="적용",V105="구현",X105&lt;&gt;"",Y105&lt;&gt;"",AB105&lt;&gt;"",AC105&gt;0,AD105&gt;0,AE105="통과",AF105="",AG105&lt;&gt;"",AH105&lt;&gt;"",OR(S105="자동",S105="수동",S105="자동+수동"),IF(OR(S105="자동",S105="자동+수동"),Z105="통과",TRUE),IF(OR(S105="수동",S105="자동+수동"),AA105="통과",TRUE)),"통과",IF(OR(Z105="실패",AA105="실패",AE105="실패"),"실패","보류"))</x:f>
        <x:v>보류</x:v>
      </x:c>
      <x:c r="AK105" s="5" t="str">
        <x:v>KRDS-SEC-055</x:v>
      </x:c>
      <x:c r="AL105" s="5" t="str"/>
      <x:c r="AM105" s="5" t="str">
        <x:v>입력 v0.1 계획 주석은 original_plan_note에 보존. 최신 구현·시험·증빙은 연결 적용기록을 참조하며 전체 준수·인증을 주장하지 않음.</x:v>
      </x:c>
    </x:row>
    <x:row r="106" ht="39.599998474121094" hidden="0" customHeight="1">
      <x:c r="A106" s="5" t="str">
        <x:v>UI-055</x:v>
      </x:c>
      <x:c r="B106" s="5" t="str">
        <x:v>KRDS UI/UX</x:v>
      </x:c>
      <x:c r="C106" s="5" t="str">
        <x:v>UI 컴포넌트</x:v>
      </x:c>
      <x:c r="D106" s="5" t="str">
        <x:v>텍스트 영역</x:v>
      </x:c>
      <x:c r="E106" s="5" t="str">
        <x:v>긴 입력의 레이블·제한·상태 제공</x:v>
      </x:c>
      <x:c r="F106" s="5" t="str">
        <x:v>SRC-001</x:v>
      </x:c>
      <x:c r="G106" s="5" t="str">
        <x:v>2025.08</x:v>
      </x:c>
      <x:c r="H106" s="5" t="str">
        <x:v>컴포넌트 / 입력 / 텍스트 영역</x:v>
      </x:c>
      <x:c r="I106" s="5" t="str">
        <x:v>677-685</x:v>
      </x:c>
      <x:c r="J106" s="5" t="str">
        <x:v>회사 채택안; 원문 의무수준과 별도 관리</x:v>
      </x:c>
      <x:c r="K106" s="5" t="str">
        <x:v>원문 등급 별도 확인</x:v>
      </x:c>
      <x:c r="L106" s="5" t="str">
        <x:v>MUST(안)</x:v>
      </x:c>
      <x:c r="M106" s="10" t="str">
        <x:v>적용</x:v>
      </x:c>
      <x:c r="N106" s="5" t="str">
        <x:v>업무요청 웹 샘플에 채택하는 회사 기준. 실제 이행은 구현 후 판정.</x:v>
      </x:c>
      <x:c r="O106" s="5" t="str">
        <x:v>관련 기능·적용 기관·계약 변경 시 재평가</x:v>
      </x:c>
      <x:c r="P106" s="5" t="str">
        <x:v>S01~S08 / 공통</x:v>
      </x:c>
      <x:c r="Q106" s="5" t="str">
        <x:v>요청 내용에 명시적 label·최대 길이·부담이 적은 글자수 안내 제공</x:v>
      </x:c>
      <x:c r="R106" s="5" t="str">
        <x:v>확대 시 입력과 레이블 유지, 오류·남은 글자수 확인</x:v>
      </x:c>
      <x:c r="S106" s="10" t="str">
        <x:v>자동+수동</x:v>
      </x:c>
      <x:c r="T106" s="5" t="str">
        <x:v>UX·개발·QA</x:v>
      </x:c>
      <x:c r="U106" s="5" t="str">
        <x:v>P1</x:v>
      </x:c>
      <x:c r="V106" s="10" t="str">
        <x:v>구현</x:v>
      </x:c>
      <x:c r="W106" s="5" t="str">
        <x:v>각 입력에 지속적인 label/legend, 필수/선택, 길이·형식 예시와 aria-describedby 연결을 제공한다. 오류 필드는 aria-invalid 및 오류 ID를 연결한다.</x:v>
      </x:c>
      <x:c r="X106" s="5" t="str">
        <x:v>apps/web/src/App.tsx#RequestWizard
apps/web/src/App.tsx#Login
apps/web/src/App.tsx#RequestDetail</x:v>
      </x:c>
      <x:c r="Y106" s="5" t="str">
        <x:v>MAN-UI-055</x:v>
      </x:c>
      <x:c r="Z106" s="10" t="str">
        <x:v>미실행</x:v>
      </x:c>
      <x:c r="AA106" s="10" t="str">
        <x:v>미실행</x:v>
      </x:c>
      <x:c r="AB106" s="5" t="str"/>
      <x:c r="AC106" s="5" t="n">
        <x:v>0</x:v>
      </x:c>
      <x:c r="AD106" s="5" t="n">
        <x:v>1</x:v>
      </x:c>
      <x:c r="AE106" s="10" t="str">
        <x:v>미실행</x:v>
      </x:c>
      <x:c r="AF106" s="5" t="str"/>
      <x:c r="AG106" s="5" t="str"/>
      <x:c r="AH106" s="5" t="str"/>
      <x:c r="AI106" s="10" t="str">
        <x:v>재확인필요</x:v>
      </x:c>
      <x:c r="AJ106" s="5" t="str">
        <x:f>IF(AND(M106="적용",V106="구현",X106&lt;&gt;"",Y106&lt;&gt;"",AB106&lt;&gt;"",AC106&gt;0,AD106&gt;0,AE106="통과",AF106="",AG106&lt;&gt;"",AH106&lt;&gt;"",OR(S106="자동",S106="수동",S106="자동+수동"),IF(OR(S106="자동",S106="자동+수동"),Z106="통과",TRUE),IF(OR(S106="수동",S106="자동+수동"),AA106="통과",TRUE)),"통과",IF(OR(Z106="실패",AA106="실패",AE106="실패"),"실패","보류"))</x:f>
        <x:v>보류</x:v>
      </x:c>
      <x:c r="AK106" s="5" t="str">
        <x:v>KRDS-SEC-056</x:v>
      </x:c>
      <x:c r="AL106" s="5" t="str"/>
      <x:c r="AM106" s="5" t="str">
        <x:v>입력 v0.1 계획 주석은 original_plan_note에 보존. 최신 구현·시험·증빙은 연결 적용기록을 참조하며 전체 준수·인증을 주장하지 않음.</x:v>
      </x:c>
    </x:row>
    <x:row r="107" ht="39.599998474121094" hidden="0" customHeight="1">
      <x:c r="A107" s="5" t="str">
        <x:v>UI-056</x:v>
      </x:c>
      <x:c r="B107" s="5" t="str">
        <x:v>KRDS UI/UX</x:v>
      </x:c>
      <x:c r="C107" s="5" t="str">
        <x:v>UI 컴포넌트</x:v>
      </x:c>
      <x:c r="D107" s="5" t="str">
        <x:v>텍스트 입력 필드</x:v>
      </x:c>
      <x:c r="E107" s="5" t="str">
        <x:v>필드 목적과 입력 방법을 명확히 함</x:v>
      </x:c>
      <x:c r="F107" s="5" t="str">
        <x:v>SRC-001</x:v>
      </x:c>
      <x:c r="G107" s="5" t="str">
        <x:v>2025.08</x:v>
      </x:c>
      <x:c r="H107" s="5" t="str">
        <x:v>컴포넌트 / 입력 / 텍스트 입력 필드</x:v>
      </x:c>
      <x:c r="I107" s="5" t="str">
        <x:v>686-696</x:v>
      </x:c>
      <x:c r="J107" s="5" t="str">
        <x:v>회사 채택안; 원문 의무수준과 별도 관리</x:v>
      </x:c>
      <x:c r="K107" s="5" t="str">
        <x:v>원문 등급 별도 확인</x:v>
      </x:c>
      <x:c r="L107" s="5" t="str">
        <x:v>MUST(안)</x:v>
      </x:c>
      <x:c r="M107" s="10" t="str">
        <x:v>적용</x:v>
      </x:c>
      <x:c r="N107" s="5" t="str">
        <x:v>업무요청 웹 샘플에 채택하는 회사 기준. 실제 이행은 구현 후 판정.</x:v>
      </x:c>
      <x:c r="O107" s="5" t="str">
        <x:v>관련 기능·적용 기관·계약 변경 시 재평가</x:v>
      </x:c>
      <x:c r="P107" s="5" t="str">
        <x:v>S05</x:v>
      </x:c>
      <x:c r="Q107" s="5" t="str">
        <x:v>label·설명·예시·autocomplete/inputmode를 목적에 맞게 설정</x:v>
      </x:c>
      <x:c r="R107" s="5" t="str">
        <x:v>placeholder 제거 상태에서도 목적 이해·보조기술 확인</x:v>
      </x:c>
      <x:c r="S107" s="10" t="str">
        <x:v>자동+수동</x:v>
      </x:c>
      <x:c r="T107" s="5" t="str">
        <x:v>UX·개발·QA</x:v>
      </x:c>
      <x:c r="U107" s="5" t="str">
        <x:v>P0</x:v>
      </x:c>
      <x:c r="V107" s="10" t="str">
        <x:v>구현</x:v>
      </x:c>
      <x:c r="W107" s="5" t="str">
        <x:v>각 입력에 지속적인 label/legend, 필수/선택, 길이·형식 예시와 aria-describedby 연결을 제공한다. 오류 필드는 aria-invalid 및 오류 ID를 연결한다.</x:v>
      </x:c>
      <x:c r="X107" s="5" t="str">
        <x:v>apps/web/src/App.tsx#RequestWizard
apps/web/src/App.tsx#Login
apps/web/src/App.tsx#RequestDetail</x:v>
      </x:c>
      <x:c r="Y107" s="5" t="str">
        <x:v>MAN-UI-056</x:v>
      </x:c>
      <x:c r="Z107" s="10" t="str">
        <x:v>미실행</x:v>
      </x:c>
      <x:c r="AA107" s="10" t="str">
        <x:v>미실행</x:v>
      </x:c>
      <x:c r="AB107" s="5" t="str"/>
      <x:c r="AC107" s="5" t="n">
        <x:v>0</x:v>
      </x:c>
      <x:c r="AD107" s="5" t="n">
        <x:v>1</x:v>
      </x:c>
      <x:c r="AE107" s="10" t="str">
        <x:v>미실행</x:v>
      </x:c>
      <x:c r="AF107" s="5" t="str"/>
      <x:c r="AG107" s="5" t="str"/>
      <x:c r="AH107" s="5" t="str"/>
      <x:c r="AI107" s="10" t="str">
        <x:v>재확인필요</x:v>
      </x:c>
      <x:c r="AJ107" s="5" t="str">
        <x:f>IF(AND(M107="적용",V107="구현",X107&lt;&gt;"",Y107&lt;&gt;"",AB107&lt;&gt;"",AC107&gt;0,AD107&gt;0,AE107="통과",AF107="",AG107&lt;&gt;"",AH107&lt;&gt;"",OR(S107="자동",S107="수동",S107="자동+수동"),IF(OR(S107="자동",S107="자동+수동"),Z107="통과",TRUE),IF(OR(S107="수동",S107="자동+수동"),AA107="통과",TRUE)),"통과",IF(OR(Z107="실패",AA107="실패",AE107="실패"),"실패","보류"))</x:f>
        <x:v>보류</x:v>
      </x:c>
      <x:c r="AK107" s="5" t="str">
        <x:v>KRDS-SEC-057</x:v>
      </x:c>
      <x:c r="AL107" s="5" t="str"/>
      <x:c r="AM107" s="5" t="str">
        <x:v>입력 v0.1 계획 주석은 original_plan_note에 보존. 최신 구현·시험·증빙은 연결 적용기록을 참조하며 전체 준수·인증을 주장하지 않음.</x:v>
      </x:c>
    </x:row>
    <x:row r="108" ht="52.79999923706055" hidden="0" customHeight="1">
      <x:c r="A108" s="5" t="str">
        <x:v>UI-057</x:v>
      </x:c>
      <x:c r="B108" s="5" t="str">
        <x:v>KRDS UI/UX</x:v>
      </x:c>
      <x:c r="C108" s="5" t="str">
        <x:v>UI 컴포넌트</x:v>
      </x:c>
      <x:c r="D108" s="5" t="str">
        <x:v>파일 업로드</x:v>
      </x:c>
      <x:c r="E108" s="5" t="str">
        <x:v>파일 선택·제약·상태·오류를 접근 가능하게 제공</x:v>
      </x:c>
      <x:c r="F108" s="5" t="str">
        <x:v>SRC-001</x:v>
      </x:c>
      <x:c r="G108" s="5" t="str">
        <x:v>2025.08</x:v>
      </x:c>
      <x:c r="H108" s="5" t="str">
        <x:v>컴포넌트 / 입력 / 파일 업로드</x:v>
      </x:c>
      <x:c r="I108" s="5" t="str">
        <x:v>697-715</x:v>
      </x:c>
      <x:c r="J108" s="5" t="str">
        <x:v>회사 채택안; 원문 의무수준과 별도 관리</x:v>
      </x:c>
      <x:c r="K108" s="5" t="str">
        <x:v>원문 등급 별도 확인</x:v>
      </x:c>
      <x:c r="L108" s="5" t="str">
        <x:v>MUST(안)</x:v>
      </x:c>
      <x:c r="M108" s="10" t="str">
        <x:v>적용</x:v>
      </x:c>
      <x:c r="N108" s="5" t="str">
        <x:v>업무요청 웹 샘플에 채택하는 회사 기준. 실제 이행은 구현 후 판정.</x:v>
      </x:c>
      <x:c r="O108" s="5" t="str">
        <x:v>관련 기능·적용 기관·계약 변경 시 재평가</x:v>
      </x:c>
      <x:c r="P108" s="5" t="str">
        <x:v>S04, S05</x:v>
      </x:c>
      <x:c r="Q108" s="5" t="str">
        <x:v>native 파일 선택과 드롭 영역, 형식/크기/개수 안내, 삭제·재시도 제공</x:v>
      </x:c>
      <x:c r="R108" s="5" t="str">
        <x:v>키보드 파일 선택·드래그 대체·실패 복구·진행상태 낭독</x:v>
      </x:c>
      <x:c r="S108" s="10" t="str">
        <x:v>자동+수동</x:v>
      </x:c>
      <x:c r="T108" s="5" t="str">
        <x:v>UX·개발·QA</x:v>
      </x:c>
      <x:c r="U108" s="5" t="str">
        <x:v>P0</x:v>
      </x:c>
      <x:c r="V108" s="10" t="str">
        <x:v>구현</x:v>
      </x:c>
      <x:c r="W108" s="5" t="str">
        <x:v>파일 선택 버튼으로 TXT/PDF/PNG·파일당5MB·최대3개를 사전 안내한다. 선택만으로 제출하지 않고 검토/업로드 버튼을 요구한다. 프런트 안내와 별도로 서버 실제형식 검증을 이용한다.</x:v>
      </x:c>
      <x:c r="X108" s="5" t="str">
        <x:v>apps/web/src/App.tsx#RequestWizard
apps/web/src/App.tsx#RequestDetail
apps/web/src/App.tsx#validateFiles
apps/web/src/api.ts#uploadFiles</x:v>
      </x:c>
      <x:c r="Y108" s="5" t="str">
        <x:v>MAN-UI-057</x:v>
      </x:c>
      <x:c r="Z108" s="10" t="str">
        <x:v>미실행</x:v>
      </x:c>
      <x:c r="AA108" s="10" t="str">
        <x:v>미실행</x:v>
      </x:c>
      <x:c r="AB108" s="5" t="str"/>
      <x:c r="AC108" s="5" t="n">
        <x:v>0</x:v>
      </x:c>
      <x:c r="AD108" s="5" t="n">
        <x:v>1</x:v>
      </x:c>
      <x:c r="AE108" s="10" t="str">
        <x:v>미실행</x:v>
      </x:c>
      <x:c r="AF108" s="5" t="str"/>
      <x:c r="AG108" s="5" t="str"/>
      <x:c r="AH108" s="5" t="str"/>
      <x:c r="AI108" s="10" t="str">
        <x:v>재확인필요</x:v>
      </x:c>
      <x:c r="AJ108" s="5" t="str">
        <x:f>IF(AND(M108="적용",V108="구현",X108&lt;&gt;"",Y108&lt;&gt;"",AB108&lt;&gt;"",AC108&gt;0,AD108&gt;0,AE108="통과",AF108="",AG108&lt;&gt;"",AH108&lt;&gt;"",OR(S108="자동",S108="수동",S108="자동+수동"),IF(OR(S108="자동",S108="자동+수동"),Z108="통과",TRUE),IF(OR(S108="수동",S108="자동+수동"),AA108="통과",TRUE)),"통과",IF(OR(Z108="실패",AA108="실패",AE108="실패"),"실패","보류"))</x:f>
        <x:v>보류</x:v>
      </x:c>
      <x:c r="AK108" s="5" t="str">
        <x:v>KRDS-SEC-058</x:v>
      </x:c>
      <x:c r="AL108" s="5" t="str"/>
      <x:c r="AM108" s="5" t="str">
        <x:v>입력 v0.1 계획 주석은 original_plan_note에 보존. 최신 구현·시험·증빙은 연결 적용기록을 참조하며 전체 준수·인증을 주장하지 않음.</x:v>
      </x:c>
    </x:row>
    <x:row r="109" ht="26.399999618530273" hidden="0" customHeight="1">
      <x:c r="A109" s="5" t="str">
        <x:v>UI-058</x:v>
      </x:c>
      <x:c r="B109" s="5" t="str">
        <x:v>KRDS UI/UX</x:v>
      </x:c>
      <x:c r="C109" s="5" t="str">
        <x:v>UI 컴포넌트</x:v>
      </x:c>
      <x:c r="D109" s="5" t="str">
        <x:v>언어 변경</x:v>
      </x:c>
      <x:c r="E109" s="5" t="str">
        <x:v>언어 이름과 언어속성을 정확히 제공</x:v>
      </x:c>
      <x:c r="F109" s="5" t="str">
        <x:v>SRC-001</x:v>
      </x:c>
      <x:c r="G109" s="5" t="str">
        <x:v>2025.08</x:v>
      </x:c>
      <x:c r="H109" s="5" t="str">
        <x:v>컴포넌트 / 설정 / 언어 변경</x:v>
      </x:c>
      <x:c r="I109" s="5" t="str">
        <x:v>716-726</x:v>
      </x:c>
      <x:c r="J109" s="5" t="str">
        <x:v>회사 채택안; 원문 의무수준과 별도 관리</x:v>
      </x:c>
      <x:c r="K109" s="5" t="str">
        <x:v>원문 등급 별도 확인</x:v>
      </x:c>
      <x:c r="L109" s="5" t="str">
        <x:v>MUST(안)</x:v>
      </x:c>
      <x:c r="M109" s="10" t="str">
        <x:v>조건부</x:v>
      </x:c>
      <x:c r="N109" s="5" t="str">
        <x:v>해당 기능 또는 서비스 조건이 실제 범위에 포함될 때 적용.</x:v>
      </x:c>
      <x:c r="O109" s="5" t="str">
        <x:v>해당 기능 또는 서비스 조건이 실제 범위에 포함될 때 적용.</x:v>
      </x:c>
      <x:c r="P109" s="5" t="str">
        <x:v>S01~S08 / 공통</x:v>
      </x:c>
      <x:c r="Q109" s="5" t="str">
        <x:v>한국어 단일언어 샘플에서는 전환기 미사용; 다국어 확장 시 자국어 이름·lang 사용</x:v>
      </x:c>
      <x:c r="R109" s="5" t="str">
        <x:v>다국어 적용 시 링크 언어·숨긴 텍스트까지 변경 확인</x:v>
      </x:c>
      <x:c r="S109" s="10" t="str">
        <x:v>자동+수동</x:v>
      </x:c>
      <x:c r="T109" s="5" t="str">
        <x:v>UX·개발·QA</x:v>
      </x:c>
      <x:c r="U109" s="5" t="str">
        <x:v>P2</x:v>
      </x:c>
      <x:c r="V109" s="10" t="str">
        <x:v>계획</x:v>
      </x:c>
      <x:c r="W109" s="5" t="str">
        <x:v>서비스 언어는 한국어 단일 언어이며 언어 변경 기능을 도입하지 않았다. 다국어 전환을 추가하면 언어 이름·lang·탐색 상태를 재평가한다.</x:v>
      </x:c>
      <x:c r="X109" s="5" t="str"/>
      <x:c r="Y109" s="5" t="str">
        <x:v>MAN-UI-058</x:v>
      </x:c>
      <x:c r="Z109" s="10" t="str">
        <x:v>미실행</x:v>
      </x:c>
      <x:c r="AA109" s="10" t="str">
        <x:v>미실행</x:v>
      </x:c>
      <x:c r="AB109" s="5" t="str"/>
      <x:c r="AC109" s="5" t="n">
        <x:v>0</x:v>
      </x:c>
      <x:c r="AD109" s="5" t="n">
        <x:v>1</x:v>
      </x:c>
      <x:c r="AE109" s="10" t="str">
        <x:v>미실행</x:v>
      </x:c>
      <x:c r="AF109" s="5" t="str"/>
      <x:c r="AG109" s="5" t="str"/>
      <x:c r="AH109" s="5" t="str"/>
      <x:c r="AI109" s="10" t="str">
        <x:v>재확인필요</x:v>
      </x:c>
      <x:c r="AJ109" s="5" t="str">
        <x:f>IF(AND(M109="적용",V109="구현",X109&lt;&gt;"",Y109&lt;&gt;"",AB109&lt;&gt;"",AC109&gt;0,AD109&gt;0,AE109="통과",AF109="",AG109&lt;&gt;"",AH109&lt;&gt;"",OR(S109="자동",S109="수동",S109="자동+수동"),IF(OR(S109="자동",S109="자동+수동"),Z109="통과",TRUE),IF(OR(S109="수동",S109="자동+수동"),AA109="통과",TRUE)),"통과",IF(OR(Z109="실패",AA109="실패",AE109="실패"),"실패","보류"))</x:f>
        <x:v>보류</x:v>
      </x:c>
      <x:c r="AK109" s="5" t="str">
        <x:v>KRDS-SEC-059</x:v>
      </x:c>
      <x:c r="AL109" s="5" t="str"/>
      <x:c r="AM109" s="5" t="str">
        <x:v>입력 v0.1 계획 주석은 original_plan_note에 보존. 최신 구현·시험·증빙은 연결 적용기록을 참조하며 전체 준수·인증을 주장하지 않음.</x:v>
      </x:c>
    </x:row>
    <x:row r="110" ht="26.399999618530273" hidden="0" customHeight="1">
      <x:c r="A110" s="5" t="str">
        <x:v>UI-059</x:v>
      </x:c>
      <x:c r="B110" s="5" t="str">
        <x:v>KRDS UI/UX</x:v>
      </x:c>
      <x:c r="C110" s="5" t="str">
        <x:v>UI 컴포넌트</x:v>
      </x:c>
      <x:c r="D110" s="5" t="str">
        <x:v>화면 크기 조정</x:v>
      </x:c>
      <x:c r="E110" s="5" t="str">
        <x:v>확대 후에도 정보·기능을 유지</x:v>
      </x:c>
      <x:c r="F110" s="5" t="str">
        <x:v>SRC-001</x:v>
      </x:c>
      <x:c r="G110" s="5" t="str">
        <x:v>2025.08</x:v>
      </x:c>
      <x:c r="H110" s="5" t="str">
        <x:v>컴포넌트 / 설정 / 화면 크기 조정</x:v>
      </x:c>
      <x:c r="I110" s="5" t="str">
        <x:v>727-737</x:v>
      </x:c>
      <x:c r="J110" s="5" t="str">
        <x:v>회사 채택안; 원문 의무수준과 별도 관리</x:v>
      </x:c>
      <x:c r="K110" s="5" t="str">
        <x:v>원문 등급 별도 확인</x:v>
      </x:c>
      <x:c r="L110" s="5" t="str">
        <x:v>MUST(안)</x:v>
      </x:c>
      <x:c r="M110" s="10" t="str">
        <x:v>적용</x:v>
      </x:c>
      <x:c r="N110" s="5" t="str">
        <x:v>업무요청 웹 샘플에 채택하는 회사 기준. 실제 이행은 구현 후 판정.</x:v>
      </x:c>
      <x:c r="O110" s="5" t="str">
        <x:v>관련 기능·적용 기관·계약 변경 시 재평가</x:v>
      </x:c>
      <x:c r="P110" s="5" t="str">
        <x:v>S01~S08 / 공통</x:v>
      </x:c>
      <x:c r="Q110" s="5" t="str">
        <x:v>접근성 설정의 글자크기와 브라우저 확대가 함께 작동하도록 상대단위·반응형 구현</x:v>
      </x:c>
      <x:c r="R110" s="5" t="str">
        <x:v>200% 글자 확대와 400%/320 CSS px 재배치 점검</x:v>
      </x:c>
      <x:c r="S110" s="10" t="str">
        <x:v>자동+수동</x:v>
      </x:c>
      <x:c r="T110" s="5" t="str">
        <x:v>UX·개발·QA</x:v>
      </x:c>
      <x:c r="U110" s="5" t="str">
        <x:v>P0</x:v>
      </x:c>
      <x:c r="V110" s="10" t="str">
        <x:v>진행</x:v>
      </x:c>
      <x:c r="W110" s="5" t="str">
        <x:v>유연한 레이아웃과 20px 글자 설정, 320px 모바일 배치, 스크롤 표를 제공한다. 전체 상태의 실제200%/400% 확대·리플로우 수동검사는 미실행이다.</x:v>
      </x:c>
      <x:c r="X110" s="5" t="str">
        <x:v>apps/web/src/App.tsx#Preferences
apps/web/src/styles.css</x:v>
      </x:c>
      <x:c r="Y110" s="5" t="str">
        <x:v>MAN-UI-059</x:v>
      </x:c>
      <x:c r="Z110" s="10" t="str">
        <x:v>미실행</x:v>
      </x:c>
      <x:c r="AA110" s="10" t="str">
        <x:v>미실행</x:v>
      </x:c>
      <x:c r="AB110" s="5" t="str"/>
      <x:c r="AC110" s="5" t="n">
        <x:v>0</x:v>
      </x:c>
      <x:c r="AD110" s="5" t="n">
        <x:v>1</x:v>
      </x:c>
      <x:c r="AE110" s="10" t="str">
        <x:v>미실행</x:v>
      </x:c>
      <x:c r="AF110" s="5" t="str"/>
      <x:c r="AG110" s="5" t="str"/>
      <x:c r="AH110" s="5" t="str"/>
      <x:c r="AI110" s="10" t="str">
        <x:v>재확인필요</x:v>
      </x:c>
      <x:c r="AJ110" s="5" t="str">
        <x:f>IF(AND(M110="적용",V110="구현",X110&lt;&gt;"",Y110&lt;&gt;"",AB110&lt;&gt;"",AC110&gt;0,AD110&gt;0,AE110="통과",AF110="",AG110&lt;&gt;"",AH110&lt;&gt;"",OR(S110="자동",S110="수동",S110="자동+수동"),IF(OR(S110="자동",S110="자동+수동"),Z110="통과",TRUE),IF(OR(S110="수동",S110="자동+수동"),AA110="통과",TRUE)),"통과",IF(OR(Z110="실패",AA110="실패",AE110="실패"),"실패","보류"))</x:f>
        <x:v>보류</x:v>
      </x:c>
      <x:c r="AK110" s="5" t="str">
        <x:v>KRDS-SEC-060</x:v>
      </x:c>
      <x:c r="AL110" s="5" t="str"/>
      <x:c r="AM110" s="5" t="str">
        <x:v>입력 v0.1 계획 주석은 original_plan_note에 보존. 최신 구현·시험·증빙은 연결 적용기록을 참조하며 전체 준수·인증을 주장하지 않음.</x:v>
      </x:c>
    </x:row>
    <x:row r="111" ht="26.399999618530273" hidden="0" customHeight="1">
      <x:c r="A111" s="5" t="str">
        <x:v>UI-060</x:v>
      </x:c>
      <x:c r="B111" s="5" t="str">
        <x:v>KRDS UI/UX</x:v>
      </x:c>
      <x:c r="C111" s="5" t="str">
        <x:v>UI 컴포넌트</x:v>
      </x:c>
      <x:c r="D111" s="5" t="str">
        <x:v>접근 가능한 미디어</x:v>
      </x:c>
      <x:c r="E111" s="5" t="str">
        <x:v>미디어 대체정보를 계획·관리</x:v>
      </x:c>
      <x:c r="F111" s="5" t="str">
        <x:v>SRC-001</x:v>
      </x:c>
      <x:c r="G111" s="5" t="str">
        <x:v>2025.08</x:v>
      </x:c>
      <x:c r="H111" s="5" t="str">
        <x:v>컴포넌트 / 콘텐츠 / 접근 가능한 미디어</x:v>
      </x:c>
      <x:c r="I111" s="5" t="str">
        <x:v>738-746</x:v>
      </x:c>
      <x:c r="J111" s="5" t="str">
        <x:v>회사 채택안; 원문 의무수준과 별도 관리</x:v>
      </x:c>
      <x:c r="K111" s="5" t="str">
        <x:v>원문 등급 별도 확인</x:v>
      </x:c>
      <x:c r="L111" s="5" t="str">
        <x:v>MUST(안)</x:v>
      </x:c>
      <x:c r="M111" s="10" t="str">
        <x:v>조건부</x:v>
      </x:c>
      <x:c r="N111" s="5" t="str">
        <x:v>해당 기능 또는 서비스 조건이 실제 범위에 포함될 때 적용.</x:v>
      </x:c>
      <x:c r="O111" s="5" t="str">
        <x:v>해당 기능 또는 서비스 조건이 실제 범위에 포함될 때 적용.</x:v>
      </x:c>
      <x:c r="P111" s="5" t="str">
        <x:v>S01~S08 / 공통</x:v>
      </x:c>
      <x:c r="Q111" s="5" t="str">
        <x:v>현재 동영상·오디오 미사용; 추가 시 자막·대본·화면해설 필요성별 제작</x:v>
      </x:c>
      <x:c r="R111" s="5" t="str">
        <x:v>기능 추가 시 미디어 유형에 맞는 접근성 기준 재선정</x:v>
      </x:c>
      <x:c r="S111" s="10" t="str">
        <x:v>자동+수동</x:v>
      </x:c>
      <x:c r="T111" s="5" t="str">
        <x:v>UX·개발·QA</x:v>
      </x:c>
      <x:c r="U111" s="5" t="str">
        <x:v>P1</x:v>
      </x:c>
      <x:c r="V111" s="10" t="str">
        <x:v>계획</x:v>
      </x:c>
      <x:c r="W111" s="5" t="str">
        <x:v>음성·영상 콘텐츠를 사용하지 않는다. 미디어 도입 시 자막·대본·음성해설 등 해당 기준을 활성화하고 별도 검사해야 한다.</x:v>
      </x:c>
      <x:c r="X111" s="5" t="str"/>
      <x:c r="Y111" s="5" t="str">
        <x:v>MAN-UI-060</x:v>
      </x:c>
      <x:c r="Z111" s="10" t="str">
        <x:v>미실행</x:v>
      </x:c>
      <x:c r="AA111" s="10" t="str">
        <x:v>미실행</x:v>
      </x:c>
      <x:c r="AB111" s="5" t="str"/>
      <x:c r="AC111" s="5" t="n">
        <x:v>0</x:v>
      </x:c>
      <x:c r="AD111" s="5" t="n">
        <x:v>1</x:v>
      </x:c>
      <x:c r="AE111" s="10" t="str">
        <x:v>미실행</x:v>
      </x:c>
      <x:c r="AF111" s="5" t="str"/>
      <x:c r="AG111" s="5" t="str"/>
      <x:c r="AH111" s="5" t="str"/>
      <x:c r="AI111" s="10" t="str">
        <x:v>재확인필요</x:v>
      </x:c>
      <x:c r="AJ111" s="5" t="str">
        <x:f>IF(AND(M111="적용",V111="구현",X111&lt;&gt;"",Y111&lt;&gt;"",AB111&lt;&gt;"",AC111&gt;0,AD111&gt;0,AE111="통과",AF111="",AG111&lt;&gt;"",AH111&lt;&gt;"",OR(S111="자동",S111="수동",S111="자동+수동"),IF(OR(S111="자동",S111="자동+수동"),Z111="통과",TRUE),IF(OR(S111="수동",S111="자동+수동"),AA111="통과",TRUE)),"통과",IF(OR(Z111="실패",AA111="실패",AE111="실패"),"실패","보류"))</x:f>
        <x:v>보류</x:v>
      </x:c>
      <x:c r="AK111" s="5" t="str">
        <x:v>KRDS-SEC-061</x:v>
      </x:c>
      <x:c r="AL111" s="5" t="str"/>
      <x:c r="AM111" s="5" t="str">
        <x:v>입력 v0.1 계획 주석은 original_plan_note에 보존. 최신 구현·시험·증빙은 연결 적용기록을 참조하며 전체 준수·인증을 주장하지 않음.</x:v>
      </x:c>
    </x:row>
    <x:row r="112" ht="39.599998474121094" hidden="0" customHeight="1">
      <x:c r="A112" s="5" t="str">
        <x:v>UI-061</x:v>
      </x:c>
      <x:c r="B112" s="5" t="str">
        <x:v>KRDS UI/UX</x:v>
      </x:c>
      <x:c r="C112" s="5" t="str">
        <x:v>UI 컴포넌트</x:v>
      </x:c>
      <x:c r="D112" s="5" t="str">
        <x:v>숨긴 콘텐츠</x:v>
      </x:c>
      <x:c r="E112" s="5" t="str">
        <x:v>보조기술용 정보가 의미와 동작을 보완</x:v>
      </x:c>
      <x:c r="F112" s="5" t="str">
        <x:v>SRC-001</x:v>
      </x:c>
      <x:c r="G112" s="5" t="str">
        <x:v>2025.08</x:v>
      </x:c>
      <x:c r="H112" s="5" t="str">
        <x:v>컴포넌트 / 콘텐츠 / 숨긴 콘텐츠</x:v>
      </x:c>
      <x:c r="I112" s="5" t="str">
        <x:v>747-753</x:v>
      </x:c>
      <x:c r="J112" s="5" t="str">
        <x:v>회사 채택안; 원문 의무수준과 별도 관리</x:v>
      </x:c>
      <x:c r="K112" s="5" t="str">
        <x:v>원문 등급 별도 확인</x:v>
      </x:c>
      <x:c r="L112" s="5" t="str">
        <x:v>MUST(안)</x:v>
      </x:c>
      <x:c r="M112" s="10" t="str">
        <x:v>적용</x:v>
      </x:c>
      <x:c r="N112" s="5" t="str">
        <x:v>업무요청 웹 샘플에 채택하는 회사 기준. 실제 이행은 구현 후 판정.</x:v>
      </x:c>
      <x:c r="O112" s="5" t="str">
        <x:v>관련 기능·적용 기관·계약 변경 시 재평가</x:v>
      </x:c>
      <x:c r="P112" s="5" t="str">
        <x:v>S01~S08 / 공통</x:v>
      </x:c>
      <x:c r="Q112" s="5" t="str">
        <x:v>sr-only는 display:none을 사용하지 않으며 가능한 화면에도 설명 표시</x:v>
      </x:c>
      <x:c r="R112" s="5" t="str">
        <x:v>접근성 트리에서 이름 중복·내용 누락·포커스 실종 점검</x:v>
      </x:c>
      <x:c r="S112" s="10" t="str">
        <x:v>자동+수동</x:v>
      </x:c>
      <x:c r="T112" s="5" t="str">
        <x:v>UX·개발·QA</x:v>
      </x:c>
      <x:c r="U112" s="5" t="str">
        <x:v>P0</x:v>
      </x:c>
      <x:c r="V112" s="10" t="str">
        <x:v>구현</x:v>
      </x:c>
      <x:c r="W112" s="5" t="str">
        <x:v>sr-only를 시각적 클리핑 방식으로 구현하여 표 caption, 통계 텍스트, 검색 이름을 보조기술에 남긴다. display:none으로 의미 정보를 숨기지 않는다.</x:v>
      </x:c>
      <x:c r="X112" s="5" t="str">
        <x:v>apps/web/src/styles.css
apps/web/src/App.tsx#RequestTable
apps/web/src/App.tsx#Dashboard</x:v>
      </x:c>
      <x:c r="Y112" s="5" t="str">
        <x:v>MAN-UI-061</x:v>
      </x:c>
      <x:c r="Z112" s="10" t="str">
        <x:v>미실행</x:v>
      </x:c>
      <x:c r="AA112" s="10" t="str">
        <x:v>미실행</x:v>
      </x:c>
      <x:c r="AB112" s="5" t="str"/>
      <x:c r="AC112" s="5" t="n">
        <x:v>0</x:v>
      </x:c>
      <x:c r="AD112" s="5" t="n">
        <x:v>1</x:v>
      </x:c>
      <x:c r="AE112" s="10" t="str">
        <x:v>미실행</x:v>
      </x:c>
      <x:c r="AF112" s="5" t="str"/>
      <x:c r="AG112" s="5" t="str"/>
      <x:c r="AH112" s="5" t="str"/>
      <x:c r="AI112" s="10" t="str">
        <x:v>재확인필요</x:v>
      </x:c>
      <x:c r="AJ112" s="5" t="str">
        <x:f>IF(AND(M112="적용",V112="구현",X112&lt;&gt;"",Y112&lt;&gt;"",AB112&lt;&gt;"",AC112&gt;0,AD112&gt;0,AE112="통과",AF112="",AG112&lt;&gt;"",AH112&lt;&gt;"",OR(S112="자동",S112="수동",S112="자동+수동"),IF(OR(S112="자동",S112="자동+수동"),Z112="통과",TRUE),IF(OR(S112="수동",S112="자동+수동"),AA112="통과",TRUE)),"통과",IF(OR(Z112="실패",AA112="실패",AE112="실패"),"실패","보류"))</x:f>
        <x:v>보류</x:v>
      </x:c>
      <x:c r="AK112" s="5" t="str">
        <x:v>KRDS-SEC-062</x:v>
      </x:c>
      <x:c r="AL112" s="5" t="str"/>
      <x:c r="AM112" s="5" t="str">
        <x:v>입력 v0.1 계획 주석은 original_plan_note에 보존. 최신 구현·시험·증빙은 연결 적용기록을 참조하며 전체 준수·인증을 주장하지 않음.</x:v>
      </x:c>
    </x:row>
    <x:row r="113" ht="26.399999618530273" hidden="0" customHeight="1">
      <x:c r="A113" s="5" t="str">
        <x:v>UI-062</x:v>
      </x:c>
      <x:c r="B113" s="5" t="str">
        <x:v>KRDS UI/UX</x:v>
      </x:c>
      <x:c r="C113" s="5" t="str">
        <x:v>UI 기본 패턴</x:v>
      </x:c>
      <x:c r="D113" s="5" t="str">
        <x:v>개인 식별 정보 입력</x:v>
      </x:c>
      <x:c r="E113" s="5" t="str">
        <x:v>최소한의 식별정보와 익숙한 입력방식 제공</x:v>
      </x:c>
      <x:c r="F113" s="5" t="str">
        <x:v>SRC-001</x:v>
      </x:c>
      <x:c r="G113" s="5" t="str">
        <x:v>2025.08</x:v>
      </x:c>
      <x:c r="H113" s="5" t="str">
        <x:v>기본 패턴 / 패턴 / 개인 식별 정보 입력</x:v>
      </x:c>
      <x:c r="I113" s="5" t="str">
        <x:v>754-773</x:v>
      </x:c>
      <x:c r="J113" s="5" t="str">
        <x:v>회사 채택안; 원문 의무수준과 별도 관리</x:v>
      </x:c>
      <x:c r="K113" s="5" t="str">
        <x:v>원문 등급 별도 확인</x:v>
      </x:c>
      <x:c r="L113" s="5" t="str">
        <x:v>MUST(안)</x:v>
      </x:c>
      <x:c r="M113" s="10" t="str">
        <x:v>적용</x:v>
      </x:c>
      <x:c r="N113" s="5" t="str">
        <x:v>업무요청 웹 샘플에 채택하는 회사 기준. 실제 이행은 구현 후 판정.</x:v>
      </x:c>
      <x:c r="O113" s="5" t="str">
        <x:v>관련 기능·적용 기관·계약 변경 시 재평가</x:v>
      </x:c>
      <x:c r="P113" s="5" t="str">
        <x:v>S05</x:v>
      </x:c>
      <x:c r="Q113" s="5" t="str">
        <x:v>요청자 이름·연락수단만 목적에 따라 수집하고 이름 형식의 과도한 제한 제거</x:v>
      </x:c>
      <x:c r="R113" s="5" t="str">
        <x:v>최소수집 검토와 다양한 이름·연락수단 입력 시나리오</x:v>
      </x:c>
      <x:c r="S113" s="10" t="str">
        <x:v>자동+수동</x:v>
      </x:c>
      <x:c r="T113" s="5" t="str">
        <x:v>UX·개발·QA</x:v>
      </x:c>
      <x:c r="U113" s="5" t="str">
        <x:v>P1</x:v>
      </x:c>
      <x:c r="V113" s="10" t="str">
        <x:v>구현</x:v>
      </x:c>
      <x:c r="W113" s="5" t="str">
        <x:v>계정 이메일·비밀번호만 입력하고 autocomplete=username/current-password를 제공한다. 붙여넣기·비밀번호 관리자를 차단하지 않으며 기억·계산 CAPTCHA를 요구하지 않는다.</x:v>
      </x:c>
      <x:c r="X113" s="5" t="str">
        <x:v>apps/web/src/App.tsx#Login</x:v>
      </x:c>
      <x:c r="Y113" s="5" t="str">
        <x:v>MAN-UI-062</x:v>
      </x:c>
      <x:c r="Z113" s="10" t="str">
        <x:v>미실행</x:v>
      </x:c>
      <x:c r="AA113" s="10" t="str">
        <x:v>미실행</x:v>
      </x:c>
      <x:c r="AB113" s="5" t="str"/>
      <x:c r="AC113" s="5" t="n">
        <x:v>0</x:v>
      </x:c>
      <x:c r="AD113" s="5" t="n">
        <x:v>1</x:v>
      </x:c>
      <x:c r="AE113" s="10" t="str">
        <x:v>미실행</x:v>
      </x:c>
      <x:c r="AF113" s="5" t="str"/>
      <x:c r="AG113" s="5" t="str"/>
      <x:c r="AH113" s="5" t="str"/>
      <x:c r="AI113" s="10" t="str">
        <x:v>재확인필요</x:v>
      </x:c>
      <x:c r="AJ113" s="5" t="str">
        <x:f>IF(AND(M113="적용",V113="구현",X113&lt;&gt;"",Y113&lt;&gt;"",AB113&lt;&gt;"",AC113&gt;0,AD113&gt;0,AE113="통과",AF113="",AG113&lt;&gt;"",AH113&lt;&gt;"",OR(S113="자동",S113="수동",S113="자동+수동"),IF(OR(S113="자동",S113="자동+수동"),Z113="통과",TRUE),IF(OR(S113="수동",S113="자동+수동"),AA113="통과",TRUE)),"통과",IF(OR(Z113="실패",AA113="실패",AE113="실패"),"실패","보류"))</x:f>
        <x:v>보류</x:v>
      </x:c>
      <x:c r="AK113" s="5" t="str">
        <x:v>KRDS-SEC-063</x:v>
      </x:c>
      <x:c r="AL113" s="5" t="str"/>
      <x:c r="AM113" s="5" t="str">
        <x:v>입력 v0.1 계획 주석은 original_plan_note에 보존. 최신 구현·시험·증빙은 연결 적용기록을 참조하며 전체 준수·인증을 주장하지 않음.</x:v>
      </x:c>
    </x:row>
    <x:row r="114" ht="39.599998474121094" hidden="0" customHeight="1">
      <x:c r="A114" s="5" t="str">
        <x:v>UI-063</x:v>
      </x:c>
      <x:c r="B114" s="5" t="str">
        <x:v>KRDS UI/UX</x:v>
      </x:c>
      <x:c r="C114" s="5" t="str">
        <x:v>UI 기본 패턴</x:v>
      </x:c>
      <x:c r="D114" s="5" t="str">
        <x:v>도움</x:v>
      </x:c>
      <x:c r="E114" s="5" t="str">
        <x:v>도움 요청과 문제해결 경로를 쉽게 찾게 함</x:v>
      </x:c>
      <x:c r="F114" s="5" t="str">
        <x:v>SRC-001</x:v>
      </x:c>
      <x:c r="G114" s="5" t="str">
        <x:v>2025.08</x:v>
      </x:c>
      <x:c r="H114" s="5" t="str">
        <x:v>기본 패턴 / 패턴 / 도움</x:v>
      </x:c>
      <x:c r="I114" s="5" t="str">
        <x:v>774-790</x:v>
      </x:c>
      <x:c r="J114" s="5" t="str">
        <x:v>회사 채택안; 원문 의무수준과 별도 관리</x:v>
      </x:c>
      <x:c r="K114" s="5" t="str">
        <x:v>원문 등급 별도 확인</x:v>
      </x:c>
      <x:c r="L114" s="5" t="str">
        <x:v>MUST(안)</x:v>
      </x:c>
      <x:c r="M114" s="10" t="str">
        <x:v>적용</x:v>
      </x:c>
      <x:c r="N114" s="5" t="str">
        <x:v>업무요청 웹 샘플에 채택하는 회사 기준. 실제 이행은 구현 후 판정.</x:v>
      </x:c>
      <x:c r="O114" s="5" t="str">
        <x:v>관련 기능·적용 기관·계약 변경 시 재평가</x:v>
      </x:c>
      <x:c r="P114" s="5" t="str">
        <x:v>S01~S08 / 공통</x:v>
      </x:c>
      <x:c r="Q114" s="5" t="str">
        <x:v>공통 도움말·FAQ·문의수단과 현재 맥락에 맞는 설명 제공</x:v>
      </x:c>
      <x:c r="R114" s="5" t="str">
        <x:v>주요 화면에서 도움수단 발견·실행 가능 여부</x:v>
      </x:c>
      <x:c r="S114" s="10" t="str">
        <x:v>자동+수동</x:v>
      </x:c>
      <x:c r="T114" s="5" t="str">
        <x:v>UX·개발·QA</x:v>
      </x:c>
      <x:c r="U114" s="5" t="str">
        <x:v>P1</x:v>
      </x:c>
      <x:c r="V114" s="10" t="str">
        <x:v>구현</x:v>
      </x:c>
      <x:c r="W114" s="5" t="str">
        <x:v>고정된 도움말 탐색, 단계별 설명, aria-describedby 입력조건, 관리자 문의·업무요청 경로를 제공한다.</x:v>
      </x:c>
      <x:c r="X114" s="5" t="str">
        <x:v>apps/web/src/App.tsx#Help
apps/web/src/App.tsx#RequestWizard
apps/web/src/App.tsx#App</x:v>
      </x:c>
      <x:c r="Y114" s="5" t="str">
        <x:v>MAN-UI-063</x:v>
      </x:c>
      <x:c r="Z114" s="10" t="str">
        <x:v>미실행</x:v>
      </x:c>
      <x:c r="AA114" s="10" t="str">
        <x:v>미실행</x:v>
      </x:c>
      <x:c r="AB114" s="5" t="str"/>
      <x:c r="AC114" s="5" t="n">
        <x:v>0</x:v>
      </x:c>
      <x:c r="AD114" s="5" t="n">
        <x:v>1</x:v>
      </x:c>
      <x:c r="AE114" s="10" t="str">
        <x:v>미실행</x:v>
      </x:c>
      <x:c r="AF114" s="5" t="str"/>
      <x:c r="AG114" s="5" t="str"/>
      <x:c r="AH114" s="5" t="str"/>
      <x:c r="AI114" s="10" t="str">
        <x:v>재확인필요</x:v>
      </x:c>
      <x:c r="AJ114" s="5" t="str">
        <x:f>IF(AND(M114="적용",V114="구현",X114&lt;&gt;"",Y114&lt;&gt;"",AB114&lt;&gt;"",AC114&gt;0,AD114&gt;0,AE114="통과",AF114="",AG114&lt;&gt;"",AH114&lt;&gt;"",OR(S114="자동",S114="수동",S114="자동+수동"),IF(OR(S114="자동",S114="자동+수동"),Z114="통과",TRUE),IF(OR(S114="수동",S114="자동+수동"),AA114="통과",TRUE)),"통과",IF(OR(Z114="실패",AA114="실패",AE114="실패"),"실패","보류"))</x:f>
        <x:v>보류</x:v>
      </x:c>
      <x:c r="AK114" s="5" t="str">
        <x:v>KRDS-SEC-064</x:v>
      </x:c>
      <x:c r="AL114" s="5" t="str"/>
      <x:c r="AM114" s="5" t="str">
        <x:v>입력 v0.1 계획 주석은 original_plan_note에 보존. 최신 구현·시험·증빙은 연결 적용기록을 참조하며 전체 준수·인증을 주장하지 않음.</x:v>
      </x:c>
    </x:row>
    <x:row r="115" ht="26.399999618530273" hidden="0" customHeight="1">
      <x:c r="A115" s="5" t="str">
        <x:v>UI-064</x:v>
      </x:c>
      <x:c r="B115" s="5" t="str">
        <x:v>KRDS UI/UX</x:v>
      </x:c>
      <x:c r="C115" s="5" t="str">
        <x:v>UI 기본 패턴</x:v>
      </x:c>
      <x:c r="D115" s="5" t="str">
        <x:v>동의</x:v>
      </x:c>
      <x:c r="E115" s="5" t="str">
        <x:v>필수·선택 동의를 분리하고 목적을 설명</x:v>
      </x:c>
      <x:c r="F115" s="5" t="str">
        <x:v>SRC-001</x:v>
      </x:c>
      <x:c r="G115" s="5" t="str">
        <x:v>2025.08</x:v>
      </x:c>
      <x:c r="H115" s="5" t="str">
        <x:v>기본 패턴 / 패턴 / 동의</x:v>
      </x:c>
      <x:c r="I115" s="5" t="str">
        <x:v>791-797</x:v>
      </x:c>
      <x:c r="J115" s="5" t="str">
        <x:v>회사 채택안; 원문 의무수준과 별도 관리</x:v>
      </x:c>
      <x:c r="K115" s="5" t="str">
        <x:v>원문 등급 별도 확인</x:v>
      </x:c>
      <x:c r="L115" s="5" t="str">
        <x:v>MUST(안)</x:v>
      </x:c>
      <x:c r="M115" s="10" t="str">
        <x:v>적용</x:v>
      </x:c>
      <x:c r="N115" s="5" t="str">
        <x:v>업무요청 웹 샘플에 채택하는 회사 기준. 실제 이행은 구현 후 판정.</x:v>
      </x:c>
      <x:c r="O115" s="5" t="str">
        <x:v>관련 기능·적용 기관·계약 변경 시 재평가</x:v>
      </x:c>
      <x:c r="P115" s="5" t="str">
        <x:v>S01~S08 / 공통</x:v>
      </x:c>
      <x:c r="Q115" s="5" t="str">
        <x:v>실제 동의가 필요한 처리만 분리하며 선택동의를 사전 체크하지 않음</x:v>
      </x:c>
      <x:c r="R115" s="5" t="str">
        <x:v>동의 철회/선택거부·키보드·링크 접근 검토</x:v>
      </x:c>
      <x:c r="S115" s="10" t="str">
        <x:v>자동+수동</x:v>
      </x:c>
      <x:c r="T115" s="5" t="str">
        <x:v>UX·개발·QA</x:v>
      </x:c>
      <x:c r="U115" s="5" t="str">
        <x:v>P1</x:v>
      </x:c>
      <x:c r="V115" s="10" t="str">
        <x:v>계획</x:v>
      </x:c>
      <x:c r="W115" s="5" t="str">
        <x:v>개인정보 동의나 선택 동의 수집 기능은 도입하지 않았다. 실제 운영 요구가 확정되면 필수·선택 분리와 목적 안내를 구현해야 한다.</x:v>
      </x:c>
      <x:c r="X115" s="5" t="str"/>
      <x:c r="Y115" s="5" t="str">
        <x:v>MAN-UI-064</x:v>
      </x:c>
      <x:c r="Z115" s="10" t="str">
        <x:v>미실행</x:v>
      </x:c>
      <x:c r="AA115" s="10" t="str">
        <x:v>미실행</x:v>
      </x:c>
      <x:c r="AB115" s="5" t="str"/>
      <x:c r="AC115" s="5" t="n">
        <x:v>0</x:v>
      </x:c>
      <x:c r="AD115" s="5" t="n">
        <x:v>1</x:v>
      </x:c>
      <x:c r="AE115" s="10" t="str">
        <x:v>미실행</x:v>
      </x:c>
      <x:c r="AF115" s="5" t="str"/>
      <x:c r="AG115" s="5" t="str"/>
      <x:c r="AH115" s="5" t="str"/>
      <x:c r="AI115" s="10" t="str">
        <x:v>재확인필요</x:v>
      </x:c>
      <x:c r="AJ115" s="5" t="str">
        <x:f>IF(AND(M115="적용",V115="구현",X115&lt;&gt;"",Y115&lt;&gt;"",AB115&lt;&gt;"",AC115&gt;0,AD115&gt;0,AE115="통과",AF115="",AG115&lt;&gt;"",AH115&lt;&gt;"",OR(S115="자동",S115="수동",S115="자동+수동"),IF(OR(S115="자동",S115="자동+수동"),Z115="통과",TRUE),IF(OR(S115="수동",S115="자동+수동"),AA115="통과",TRUE)),"통과",IF(OR(Z115="실패",AA115="실패",AE115="실패"),"실패","보류"))</x:f>
        <x:v>보류</x:v>
      </x:c>
      <x:c r="AK115" s="5" t="str">
        <x:v>KRDS-SEC-065</x:v>
      </x:c>
      <x:c r="AL115" s="5" t="str"/>
      <x:c r="AM115" s="5" t="str">
        <x:v>입력 v0.1 계획 주석은 original_plan_note에 보존. 최신 구현·시험·증빙은 연결 적용기록을 참조하며 전체 준수·인증을 주장하지 않음.</x:v>
      </x:c>
    </x:row>
    <x:row r="116" ht="39.599998474121094" hidden="0" customHeight="1">
      <x:c r="A116" s="5" t="str">
        <x:v>UI-065</x:v>
      </x:c>
      <x:c r="B116" s="5" t="str">
        <x:v>KRDS UI/UX</x:v>
      </x:c>
      <x:c r="C116" s="5" t="str">
        <x:v>UI 기본 패턴</x:v>
      </x:c>
      <x:c r="D116" s="5" t="str">
        <x:v>목록 탐색</x:v>
      </x:c>
      <x:c r="E116" s="5" t="str">
        <x:v>목록 유형·총량·항목 상태를 일관되게 제공</x:v>
      </x:c>
      <x:c r="F116" s="5" t="str">
        <x:v>SRC-001</x:v>
      </x:c>
      <x:c r="G116" s="5" t="str">
        <x:v>2025.08</x:v>
      </x:c>
      <x:c r="H116" s="5" t="str">
        <x:v>기본 패턴 / 패턴 / 목록 탐색</x:v>
      </x:c>
      <x:c r="I116" s="5" t="str">
        <x:v>798-802</x:v>
      </x:c>
      <x:c r="J116" s="5" t="str">
        <x:v>회사 채택안; 원문 의무수준과 별도 관리</x:v>
      </x:c>
      <x:c r="K116" s="5" t="str">
        <x:v>원문 등급 별도 확인</x:v>
      </x:c>
      <x:c r="L116" s="5" t="str">
        <x:v>MUST(안)</x:v>
      </x:c>
      <x:c r="M116" s="10" t="str">
        <x:v>적용</x:v>
      </x:c>
      <x:c r="N116" s="5" t="str">
        <x:v>업무요청 웹 샘플에 채택하는 회사 기준. 실제 이행은 구현 후 판정.</x:v>
      </x:c>
      <x:c r="O116" s="5" t="str">
        <x:v>관련 기능·적용 기관·계약 변경 시 재평가</x:v>
      </x:c>
      <x:c r="P116" s="5" t="str">
        <x:v>S03</x:v>
      </x:c>
      <x:c r="Q116" s="5" t="str">
        <x:v>요청 목록·빈 결과·로딩·오류 상태를 별도 구현</x:v>
      </x:c>
      <x:c r="R116" s="5" t="str">
        <x:v>0건/1건/여러 페이지 데이터의 목록 탐색</x:v>
      </x:c>
      <x:c r="S116" s="10" t="str">
        <x:v>자동+수동</x:v>
      </x:c>
      <x:c r="T116" s="5" t="str">
        <x:v>UX·개발·QA</x:v>
      </x:c>
      <x:c r="U116" s="5" t="str">
        <x:v>P1</x:v>
      </x:c>
      <x:c r="V116" s="10" t="str">
        <x:v>구현</x:v>
      </x:c>
      <x:c r="W116" s="5" t="str">
        <x:v>명시된 검색 입력과 상태·정렬·분류 필터, 초기화, URL 조건 유지, 총 건수, 빈 결과, 페이지, 결과 상태 알림과 상세 이동을 제공한다.</x:v>
      </x:c>
      <x:c r="X116" s="5" t="str">
        <x:v>apps/web/src/App.tsx#RequestList
apps/web/src/App.tsx#RequestTable
apps/web/src/StandardsBrowser.tsx#StandardsBrowser</x:v>
      </x:c>
      <x:c r="Y116" s="5" t="str">
        <x:v>MAN-UI-065</x:v>
      </x:c>
      <x:c r="Z116" s="10" t="str">
        <x:v>미실행</x:v>
      </x:c>
      <x:c r="AA116" s="10" t="str">
        <x:v>미실행</x:v>
      </x:c>
      <x:c r="AB116" s="5" t="str"/>
      <x:c r="AC116" s="5" t="n">
        <x:v>0</x:v>
      </x:c>
      <x:c r="AD116" s="5" t="n">
        <x:v>1</x:v>
      </x:c>
      <x:c r="AE116" s="10" t="str">
        <x:v>미실행</x:v>
      </x:c>
      <x:c r="AF116" s="5" t="str"/>
      <x:c r="AG116" s="5" t="str"/>
      <x:c r="AH116" s="5" t="str"/>
      <x:c r="AI116" s="10" t="str">
        <x:v>재확인필요</x:v>
      </x:c>
      <x:c r="AJ116" s="5" t="str">
        <x:f>IF(AND(M116="적용",V116="구현",X116&lt;&gt;"",Y116&lt;&gt;"",AB116&lt;&gt;"",AC116&gt;0,AD116&gt;0,AE116="통과",AF116="",AG116&lt;&gt;"",AH116&lt;&gt;"",OR(S116="자동",S116="수동",S116="자동+수동"),IF(OR(S116="자동",S116="자동+수동"),Z116="통과",TRUE),IF(OR(S116="수동",S116="자동+수동"),AA116="통과",TRUE)),"통과",IF(OR(Z116="실패",AA116="실패",AE116="실패"),"실패","보류"))</x:f>
        <x:v>보류</x:v>
      </x:c>
      <x:c r="AK116" s="5" t="str">
        <x:v>KRDS-SEC-066</x:v>
      </x:c>
      <x:c r="AL116" s="5" t="str"/>
      <x:c r="AM116" s="5" t="str">
        <x:v>입력 v0.1 계획 주석은 original_plan_note에 보존. 최신 구현·시험·증빙은 연결 적용기록을 참조하며 전체 준수·인증을 주장하지 않음.</x:v>
      </x:c>
    </x:row>
    <x:row r="117" ht="52.79999923706055" hidden="0" customHeight="1">
      <x:c r="A117" s="5" t="str">
        <x:v>UI-066</x:v>
      </x:c>
      <x:c r="B117" s="5" t="str">
        <x:v>KRDS UI/UX</x:v>
      </x:c>
      <x:c r="C117" s="5" t="str">
        <x:v>UI 기본 패턴</x:v>
      </x:c>
      <x:c r="D117" s="5" t="str">
        <x:v>사용자 피드백</x:v>
      </x:c>
      <x:c r="E117" s="5" t="str">
        <x:v>행동 결과를 시각·비시각 채널로 전달</x:v>
      </x:c>
      <x:c r="F117" s="5" t="str">
        <x:v>SRC-001</x:v>
      </x:c>
      <x:c r="G117" s="5" t="str">
        <x:v>2025.08</x:v>
      </x:c>
      <x:c r="H117" s="5" t="str">
        <x:v>기본 패턴 / 패턴 / 사용자 피드백</x:v>
      </x:c>
      <x:c r="I117" s="5" t="str">
        <x:v>803-812</x:v>
      </x:c>
      <x:c r="J117" s="5" t="str">
        <x:v>회사 채택안; 원문 의무수준과 별도 관리</x:v>
      </x:c>
      <x:c r="K117" s="5" t="str">
        <x:v>원문 등급 별도 확인</x:v>
      </x:c>
      <x:c r="L117" s="5" t="str">
        <x:v>MUST(안)</x:v>
      </x:c>
      <x:c r="M117" s="10" t="str">
        <x:v>적용</x:v>
      </x:c>
      <x:c r="N117" s="5" t="str">
        <x:v>업무요청 웹 샘플에 채택하는 회사 기준. 실제 이행은 구현 후 판정.</x:v>
      </x:c>
      <x:c r="O117" s="5" t="str">
        <x:v>관련 기능·적용 기관·계약 변경 시 재평가</x:v>
      </x:c>
      <x:c r="P117" s="5" t="str">
        <x:v>S01~S08 / 공통</x:v>
      </x:c>
      <x:c r="Q117" s="5" t="str">
        <x:v>저장 성공·실패·진행 상태를 텍스트와 live-region으로 안내</x:v>
      </x:c>
      <x:c r="R117" s="5" t="str">
        <x:v>사용자 행동과 피드백 타이밍·과도한 낭독 점검</x:v>
      </x:c>
      <x:c r="S117" s="10" t="str">
        <x:v>자동+수동</x:v>
      </x:c>
      <x:c r="T117" s="5" t="str">
        <x:v>UX·개발·QA</x:v>
      </x:c>
      <x:c r="U117" s="5" t="str">
        <x:v>P1</x:v>
      </x:c>
      <x:c r="V117" s="10" t="str">
        <x:v>구현</x:v>
      </x:c>
      <x:c r="W117" s="5" t="str">
        <x:v>서버 저장 성공 후에만 완료 화면을 표시하며 로딩·저장 오류·업로드 진행·취소와 상태를 텍스트 및 role=status/alert로 전달한다.</x:v>
      </x:c>
      <x:c r="X117" s="5" t="str">
        <x:v>apps/web/src/App.tsx#RequestWizard
apps/web/src/ui.tsx#Success
apps/web/src/ui.tsx#ErrorBox
apps/web/src/ui.tsx#Loading</x:v>
      </x:c>
      <x:c r="Y117" s="5" t="str">
        <x:v>MAN-UI-066</x:v>
      </x:c>
      <x:c r="Z117" s="10" t="str">
        <x:v>미실행</x:v>
      </x:c>
      <x:c r="AA117" s="10" t="str">
        <x:v>미실행</x:v>
      </x:c>
      <x:c r="AB117" s="5" t="str"/>
      <x:c r="AC117" s="5" t="n">
        <x:v>0</x:v>
      </x:c>
      <x:c r="AD117" s="5" t="n">
        <x:v>1</x:v>
      </x:c>
      <x:c r="AE117" s="10" t="str">
        <x:v>미실행</x:v>
      </x:c>
      <x:c r="AF117" s="5" t="str"/>
      <x:c r="AG117" s="5" t="str"/>
      <x:c r="AH117" s="5" t="str"/>
      <x:c r="AI117" s="10" t="str">
        <x:v>재확인필요</x:v>
      </x:c>
      <x:c r="AJ117" s="5" t="str">
        <x:f>IF(AND(M117="적용",V117="구현",X117&lt;&gt;"",Y117&lt;&gt;"",AB117&lt;&gt;"",AC117&gt;0,AD117&gt;0,AE117="통과",AF117="",AG117&lt;&gt;"",AH117&lt;&gt;"",OR(S117="자동",S117="수동",S117="자동+수동"),IF(OR(S117="자동",S117="자동+수동"),Z117="통과",TRUE),IF(OR(S117="수동",S117="자동+수동"),AA117="통과",TRUE)),"통과",IF(OR(Z117="실패",AA117="실패",AE117="실패"),"실패","보류"))</x:f>
        <x:v>보류</x:v>
      </x:c>
      <x:c r="AK117" s="5" t="str">
        <x:v>KRDS-SEC-067</x:v>
      </x:c>
      <x:c r="AL117" s="5" t="str"/>
      <x:c r="AM117" s="5" t="str">
        <x:v>입력 v0.1 계획 주석은 original_plan_note에 보존. 최신 구현·시험·증빙은 연결 적용기록을 참조하며 전체 준수·인증을 주장하지 않음.</x:v>
      </x:c>
    </x:row>
    <x:row r="118" ht="39.599998474121094" hidden="0" customHeight="1">
      <x:c r="A118" s="5" t="str">
        <x:v>UI-067</x:v>
      </x:c>
      <x:c r="B118" s="5" t="str">
        <x:v>KRDS UI/UX</x:v>
      </x:c>
      <x:c r="C118" s="5" t="str">
        <x:v>UI 기본 패턴</x:v>
      </x:c>
      <x:c r="D118" s="5" t="str">
        <x:v>상세 정보 확인</x:v>
      </x:c>
      <x:c r="E118" s="5" t="str">
        <x:v>목록에서 상세 확인 후 탐색 맥락 유지</x:v>
      </x:c>
      <x:c r="F118" s="5" t="str">
        <x:v>SRC-001</x:v>
      </x:c>
      <x:c r="G118" s="5" t="str">
        <x:v>2025.08</x:v>
      </x:c>
      <x:c r="H118" s="5" t="str">
        <x:v>기본 패턴 / 패턴 / 상세 정보 확인</x:v>
      </x:c>
      <x:c r="I118" s="5" t="str">
        <x:v>813-826</x:v>
      </x:c>
      <x:c r="J118" s="5" t="str">
        <x:v>회사 채택안; 원문 의무수준과 별도 관리</x:v>
      </x:c>
      <x:c r="K118" s="5" t="str">
        <x:v>원문 등급 별도 확인</x:v>
      </x:c>
      <x:c r="L118" s="5" t="str">
        <x:v>MUST(안)</x:v>
      </x:c>
      <x:c r="M118" s="10" t="str">
        <x:v>적용</x:v>
      </x:c>
      <x:c r="N118" s="5" t="str">
        <x:v>업무요청 웹 샘플에 채택하는 회사 기준. 실제 이행은 구현 후 판정.</x:v>
      </x:c>
      <x:c r="O118" s="5" t="str">
        <x:v>관련 기능·적용 기관·계약 변경 시 재평가</x:v>
      </x:c>
      <x:c r="P118" s="5" t="str">
        <x:v>S04, S05</x:v>
      </x:c>
      <x:c r="Q118" s="5" t="str">
        <x:v>요청 상세에 정보 계층·첨부·이력·목록 복귀를 제공</x:v>
      </x:c>
      <x:c r="R118" s="5" t="str">
        <x:v>목록 필터/페이지/스크롤 복원과 상세 제목 확인</x:v>
      </x:c>
      <x:c r="S118" s="10" t="str">
        <x:v>자동+수동</x:v>
      </x:c>
      <x:c r="T118" s="5" t="str">
        <x:v>UX·개발·QA</x:v>
      </x:c>
      <x:c r="U118" s="5" t="str">
        <x:v>P1</x:v>
      </x:c>
      <x:c r="V118" s="10" t="str">
        <x:v>구현</x:v>
      </x:c>
      <x:c r="W118" s="5" t="str">
        <x:v>요청 목록의 검색·상태·정렬·페이지 URL을 상세 returnTo에 전달하고 목록 복귀 링크로 복원한다. returnTo는 /requests 로컬 목록 경로만 허용하여 외부 URL·다른 경로를 차단한다.</x:v>
      </x:c>
      <x:c r="X118" s="5" t="str">
        <x:v>apps/web/src/App.tsx#RequestTable
apps/web/src/App.tsx#RequestDetail
apps/web/src/navigation.ts#safeRequestReturnPath</x:v>
      </x:c>
      <x:c r="Y118" s="5" t="str">
        <x:v>SCREEN-DETAIL
MAN-UI-067</x:v>
      </x:c>
      <x:c r="Z118" s="10" t="str">
        <x:v>미실행</x:v>
      </x:c>
      <x:c r="AA118" s="10" t="str">
        <x:v>미실행</x:v>
      </x:c>
      <x:c r="AB118" s="5" t="str">
        <x:v>SCREEN-DETAIL-2026-10-20T06-15-00-647Z</x:v>
      </x:c>
      <x:c r="AC118" s="5" t="n">
        <x:v>1</x:v>
      </x:c>
      <x:c r="AD118" s="5" t="n">
        <x:v>2</x:v>
      </x:c>
      <x:c r="AE118" s="10" t="str">
        <x:v>부분확인</x:v>
      </x:c>
      <x:c r="AF118" s="5" t="str"/>
      <x:c r="AG118" s="5" t="str"/>
      <x:c r="AH118" s="5" t="str"/>
      <x:c r="AI118" s="10" t="str">
        <x:v>재확인필요</x:v>
      </x:c>
      <x:c r="AJ118" s="5" t="str">
        <x:f>IF(AND(M118="적용",V118="구현",X118&lt;&gt;"",Y118&lt;&gt;"",AB118&lt;&gt;"",AC118&gt;0,AD118&gt;0,AE118="통과",AF118="",AG118&lt;&gt;"",AH118&lt;&gt;"",OR(S118="자동",S118="수동",S118="자동+수동"),IF(OR(S118="자동",S118="자동+수동"),Z118="통과",TRUE),IF(OR(S118="수동",S118="자동+수동"),AA118="통과",TRUE)),"통과",IF(OR(Z118="실패",AA118="실패",AE118="실패"),"실패","보류"))</x:f>
        <x:v>보류</x:v>
      </x:c>
      <x:c r="AK118" s="5" t="str">
        <x:v>KRDS-SEC-068</x:v>
      </x:c>
      <x:c r="AL118" s="5" t="str"/>
      <x:c r="AM118" s="5" t="str">
        <x:v>입력 v0.1 계획 주석은 original_plan_note에 보존. 최신 구현·시험·증빙은 연결 적용기록을 참조하며 전체 준수·인증을 주장하지 않음.</x:v>
      </x:c>
    </x:row>
    <x:row r="119" ht="52.79999923706055" hidden="0" customHeight="1">
      <x:c r="A119" s="5" t="str">
        <x:v>UI-068</x:v>
      </x:c>
      <x:c r="B119" s="5" t="str">
        <x:v>KRDS UI/UX</x:v>
      </x:c>
      <x:c r="C119" s="5" t="str">
        <x:v>UI 기본 패턴</x:v>
      </x:c>
      <x:c r="D119" s="5" t="str">
        <x:v>오류</x:v>
      </x:c>
      <x:c r="E119" s="5" t="str">
        <x:v>문제·위치·수정방법과 입력값 보존</x:v>
      </x:c>
      <x:c r="F119" s="5" t="str">
        <x:v>SRC-001</x:v>
      </x:c>
      <x:c r="G119" s="5" t="str">
        <x:v>2025.08</x:v>
      </x:c>
      <x:c r="H119" s="5" t="str">
        <x:v>기본 패턴 / 패턴 / 오류</x:v>
      </x:c>
      <x:c r="I119" s="5" t="str">
        <x:v>827-831</x:v>
      </x:c>
      <x:c r="J119" s="5" t="str">
        <x:v>회사 채택안; 원문 의무수준과 별도 관리</x:v>
      </x:c>
      <x:c r="K119" s="5" t="str">
        <x:v>원문 등급 별도 확인</x:v>
      </x:c>
      <x:c r="L119" s="5" t="str">
        <x:v>MUST(안)</x:v>
      </x:c>
      <x:c r="M119" s="10" t="str">
        <x:v>적용</x:v>
      </x:c>
      <x:c r="N119" s="5" t="str">
        <x:v>업무요청 웹 샘플에 채택하는 회사 기준. 실제 이행은 구현 후 판정.</x:v>
      </x:c>
      <x:c r="O119" s="5" t="str">
        <x:v>관련 기능·적용 기관·계약 변경 시 재평가</x:v>
      </x:c>
      <x:c r="P119" s="5" t="str">
        <x:v>S05</x:v>
      </x:c>
      <x:c r="Q119" s="5" t="str">
        <x:v>오류 요약 링크·필드 오류·서버 오류 코드를 사용자가 이해하는 문구로 표현</x:v>
      </x:c>
      <x:c r="R119" s="5" t="str">
        <x:v>첫 오류 초점·재입력 최소화·복구 후 성공 점검</x:v>
      </x:c>
      <x:c r="S119" s="10" t="str">
        <x:v>자동+수동</x:v>
      </x:c>
      <x:c r="T119" s="5" t="str">
        <x:v>UX·개발·QA</x:v>
      </x:c>
      <x:c r="U119" s="5" t="str">
        <x:v>P1</x:v>
      </x:c>
      <x:c r="V119" s="10" t="str">
        <x:v>구현</x:v>
      </x:c>
      <x:c r="W119" s="5" t="str">
        <x:v>클라이언트와 서버 ProblemDetails errors의 제목·유형·내용·파일 오류를 필드별로 연결한다. 오류 단계로 돌아가 입력값을 유지하고 오류요약에 초점을 옮기며 필드 링크·aria-invalid·설명과 수정방법을 제공한다. 실제 보조기술 음성 검증은 별도 미실행이다.</x:v>
      </x:c>
      <x:c r="X119" s="5" t="str">
        <x:v>apps/web/src/App.tsx#RequestWizard
apps/web/src/api.ts#ApiError
apps/web/src/api.ts#parseFieldErrors
apps/web/src/ui.tsx#ErrorBox</x:v>
      </x:c>
      <x:c r="Y119" s="5" t="str">
        <x:v>SCREEN-SERVER-ERROR
SCREEN-SERVER-VALIDATION
MAN-UI-068</x:v>
      </x:c>
      <x:c r="Z119" s="10" t="str">
        <x:v>미실행</x:v>
      </x:c>
      <x:c r="AA119" s="10" t="str">
        <x:v>미실행</x:v>
      </x:c>
      <x:c r="AB119" s="5" t="str">
        <x:v>SCREEN-SERVER-ERROR-2026-10-20T06-15-00-647Z
SCREEN-SERVER-VALIDATION-2026-10-20T06-15-00-647Z</x:v>
      </x:c>
      <x:c r="AC119" s="5" t="n">
        <x:v>2</x:v>
      </x:c>
      <x:c r="AD119" s="5" t="n">
        <x:v>3</x:v>
      </x:c>
      <x:c r="AE119" s="10" t="str">
        <x:v>부분확인</x:v>
      </x:c>
      <x:c r="AF119" s="5" t="str"/>
      <x:c r="AG119" s="5" t="str"/>
      <x:c r="AH119" s="5" t="str"/>
      <x:c r="AI119" s="10" t="str">
        <x:v>재확인필요</x:v>
      </x:c>
      <x:c r="AJ119" s="5" t="str">
        <x:f>IF(AND(M119="적용",V119="구현",X119&lt;&gt;"",Y119&lt;&gt;"",AB119&lt;&gt;"",AC119&gt;0,AD119&gt;0,AE119="통과",AF119="",AG119&lt;&gt;"",AH119&lt;&gt;"",OR(S119="자동",S119="수동",S119="자동+수동"),IF(OR(S119="자동",S119="자동+수동"),Z119="통과",TRUE),IF(OR(S119="수동",S119="자동+수동"),AA119="통과",TRUE)),"통과",IF(OR(Z119="실패",AA119="실패",AE119="실패"),"실패","보류"))</x:f>
        <x:v>보류</x:v>
      </x:c>
      <x:c r="AK119" s="5" t="str">
        <x:v>KRDS-SEC-069</x:v>
      </x:c>
      <x:c r="AL119" s="5" t="str"/>
      <x:c r="AM119" s="5" t="str">
        <x:v>입력 v0.1 계획 주석은 original_plan_note에 보존. 최신 구현·시험·증빙은 연결 적용기록을 참조하며 전체 준수·인증을 주장하지 않음.</x:v>
      </x:c>
    </x:row>
    <x:row r="120" ht="26.399999618530273" hidden="0" customHeight="1">
      <x:c r="A120" s="5" t="str">
        <x:v>UI-069</x:v>
      </x:c>
      <x:c r="B120" s="5" t="str">
        <x:v>KRDS UI/UX</x:v>
      </x:c>
      <x:c r="C120" s="5" t="str">
        <x:v>UI 기본 패턴</x:v>
      </x:c>
      <x:c r="D120" s="5" t="str">
        <x:v>입력폼</x:v>
      </x:c>
      <x:c r="E120" s="5" t="str">
        <x:v>레이블·그룹·필수 구분·예측 가능한 진행 제공</x:v>
      </x:c>
      <x:c r="F120" s="5" t="str">
        <x:v>SRC-001</x:v>
      </x:c>
      <x:c r="G120" s="5" t="str">
        <x:v>2025.08</x:v>
      </x:c>
      <x:c r="H120" s="5" t="str">
        <x:v>기본 패턴 / 패턴 / 입력폼</x:v>
      </x:c>
      <x:c r="I120" s="5" t="str">
        <x:v>832-851</x:v>
      </x:c>
      <x:c r="J120" s="5" t="str">
        <x:v>회사 채택안; 원문 의무수준과 별도 관리</x:v>
      </x:c>
      <x:c r="K120" s="5" t="str">
        <x:v>원문 등급 별도 확인</x:v>
      </x:c>
      <x:c r="L120" s="5" t="str">
        <x:v>MUST(안)</x:v>
      </x:c>
      <x:c r="M120" s="10" t="str">
        <x:v>적용</x:v>
      </x:c>
      <x:c r="N120" s="5" t="str">
        <x:v>업무요청 웹 샘플에 채택하는 회사 기준. 실제 이행은 구현 후 판정.</x:v>
      </x:c>
      <x:c r="O120" s="5" t="str">
        <x:v>관련 기능·적용 기관·계약 변경 시 재평가</x:v>
      </x:c>
      <x:c r="P120" s="5" t="str">
        <x:v>S05</x:v>
      </x:c>
      <x:c r="Q120" s="5" t="str">
        <x:v>단일 열 중심 구성, fieldset/legend, 오류 연결, 단계 간 입력 보존</x:v>
      </x:c>
      <x:c r="R120" s="5" t="str">
        <x:v>키보드 전체 등록과 오류·뒤로가기·자동완성 시나리오</x:v>
      </x:c>
      <x:c r="S120" s="10" t="str">
        <x:v>자동+수동</x:v>
      </x:c>
      <x:c r="T120" s="5" t="str">
        <x:v>UX·개발·QA</x:v>
      </x:c>
      <x:c r="U120" s="5" t="str">
        <x:v>P1</x:v>
      </x:c>
      <x:c r="V120" s="10" t="str">
        <x:v>구현</x:v>
      </x:c>
      <x:c r="W120" s="5" t="str">
        <x:v>필수·선택·그룹을 표시하는 단계형 입력, 단계 이동 시 제목/내용/첨부 보존, 제출 전 검토와 이전 단계 수정, 중복 제출 차단 및 오류 후 입력 보존을 구현한다.</x:v>
      </x:c>
      <x:c r="X120" s="5" t="str">
        <x:v>apps/web/src/App.tsx#RequestWizard</x:v>
      </x:c>
      <x:c r="Y120" s="5" t="str">
        <x:v>MAN-UI-069</x:v>
      </x:c>
      <x:c r="Z120" s="10" t="str">
        <x:v>미실행</x:v>
      </x:c>
      <x:c r="AA120" s="10" t="str">
        <x:v>미실행</x:v>
      </x:c>
      <x:c r="AB120" s="5" t="str"/>
      <x:c r="AC120" s="5" t="n">
        <x:v>0</x:v>
      </x:c>
      <x:c r="AD120" s="5" t="n">
        <x:v>1</x:v>
      </x:c>
      <x:c r="AE120" s="10" t="str">
        <x:v>미실행</x:v>
      </x:c>
      <x:c r="AF120" s="5" t="str"/>
      <x:c r="AG120" s="5" t="str"/>
      <x:c r="AH120" s="5" t="str"/>
      <x:c r="AI120" s="10" t="str">
        <x:v>재확인필요</x:v>
      </x:c>
      <x:c r="AJ120" s="5" t="str">
        <x:f>IF(AND(M120="적용",V120="구현",X120&lt;&gt;"",Y120&lt;&gt;"",AB120&lt;&gt;"",AC120&gt;0,AD120&gt;0,AE120="통과",AF120="",AG120&lt;&gt;"",AH120&lt;&gt;"",OR(S120="자동",S120="수동",S120="자동+수동"),IF(OR(S120="자동",S120="자동+수동"),Z120="통과",TRUE),IF(OR(S120="수동",S120="자동+수동"),AA120="통과",TRUE)),"통과",IF(OR(Z120="실패",AA120="실패",AE120="실패"),"실패","보류"))</x:f>
        <x:v>보류</x:v>
      </x:c>
      <x:c r="AK120" s="5" t="str">
        <x:v>KRDS-SEC-070</x:v>
      </x:c>
      <x:c r="AL120" s="5" t="str"/>
      <x:c r="AM120" s="5" t="str">
        <x:v>입력 v0.1 계획 주석은 original_plan_note에 보존. 최신 구현·시험·증빙은 연결 적용기록을 참조하며 전체 준수·인증을 주장하지 않음.</x:v>
      </x:c>
    </x:row>
    <x:row r="121" ht="52.79999923706055" hidden="0" customHeight="1">
      <x:c r="A121" s="5" t="str">
        <x:v>UI-070</x:v>
      </x:c>
      <x:c r="B121" s="5" t="str">
        <x:v>KRDS UI/UX</x:v>
      </x:c>
      <x:c r="C121" s="5" t="str">
        <x:v>UI 기본 패턴</x:v>
      </x:c>
      <x:c r="D121" s="5" t="str">
        <x:v>첨부파일</x:v>
      </x:c>
      <x:c r="E121" s="5" t="str">
        <x:v>파일의 형식과 이용 방법을 미리 안내</x:v>
      </x:c>
      <x:c r="F121" s="5" t="str">
        <x:v>SRC-001</x:v>
      </x:c>
      <x:c r="G121" s="5" t="str">
        <x:v>2025.08</x:v>
      </x:c>
      <x:c r="H121" s="5" t="str">
        <x:v>기본 패턴 / 패턴 / 첨부파일</x:v>
      </x:c>
      <x:c r="I121" s="5" t="str">
        <x:v>852-856</x:v>
      </x:c>
      <x:c r="J121" s="5" t="str">
        <x:v>회사 채택안; 원문 의무수준과 별도 관리</x:v>
      </x:c>
      <x:c r="K121" s="5" t="str">
        <x:v>원문 등급 별도 확인</x:v>
      </x:c>
      <x:c r="L121" s="5" t="str">
        <x:v>MUST(안)</x:v>
      </x:c>
      <x:c r="M121" s="10" t="str">
        <x:v>적용</x:v>
      </x:c>
      <x:c r="N121" s="5" t="str">
        <x:v>업무요청 웹 샘플에 채택하는 회사 기준. 실제 이행은 구현 후 판정.</x:v>
      </x:c>
      <x:c r="O121" s="5" t="str">
        <x:v>관련 기능·적용 기관·계약 변경 시 재평가</x:v>
      </x:c>
      <x:c r="P121" s="5" t="str">
        <x:v>S04, S05</x:v>
      </x:c>
      <x:c r="Q121" s="5" t="str">
        <x:v>다운로드 링크에 파일명·형식·크기 표시, 문서 접근성 안내</x:v>
      </x:c>
      <x:c r="R121" s="5" t="str">
        <x:v>링크 이름·다운로드 권한·실제 파일 일치 확인</x:v>
      </x:c>
      <x:c r="S121" s="10" t="str">
        <x:v>자동+수동</x:v>
      </x:c>
      <x:c r="T121" s="5" t="str">
        <x:v>UX·개발·QA</x:v>
      </x:c>
      <x:c r="U121" s="5" t="str">
        <x:v>P1</x:v>
      </x:c>
      <x:c r="V121" s="10" t="str">
        <x:v>구현</x:v>
      </x:c>
      <x:c r="W121" s="5" t="str">
        <x:v>파일 선택 버튼으로 TXT/PDF/PNG·파일당5MB·최대3개를 사전 안내한다. 선택만으로 제출하지 않고 검토/업로드 버튼을 요구한다. 프런트 안내와 별도로 서버 실제형식 검증을 이용한다.</x:v>
      </x:c>
      <x:c r="X121" s="5" t="str">
        <x:v>apps/web/src/App.tsx#RequestWizard
apps/web/src/App.tsx#RequestDetail
apps/web/src/App.tsx#validateFiles
apps/web/src/api.ts#uploadFiles</x:v>
      </x:c>
      <x:c r="Y121" s="5" t="str">
        <x:v>MAN-UI-070</x:v>
      </x:c>
      <x:c r="Z121" s="10" t="str">
        <x:v>미실행</x:v>
      </x:c>
      <x:c r="AA121" s="10" t="str">
        <x:v>미실행</x:v>
      </x:c>
      <x:c r="AB121" s="5" t="str"/>
      <x:c r="AC121" s="5" t="n">
        <x:v>0</x:v>
      </x:c>
      <x:c r="AD121" s="5" t="n">
        <x:v>1</x:v>
      </x:c>
      <x:c r="AE121" s="10" t="str">
        <x:v>미실행</x:v>
      </x:c>
      <x:c r="AF121" s="5" t="str"/>
      <x:c r="AG121" s="5" t="str"/>
      <x:c r="AH121" s="5" t="str"/>
      <x:c r="AI121" s="10" t="str">
        <x:v>재확인필요</x:v>
      </x:c>
      <x:c r="AJ121" s="5" t="str">
        <x:f>IF(AND(M121="적용",V121="구현",X121&lt;&gt;"",Y121&lt;&gt;"",AB121&lt;&gt;"",AC121&gt;0,AD121&gt;0,AE121="통과",AF121="",AG121&lt;&gt;"",AH121&lt;&gt;"",OR(S121="자동",S121="수동",S121="자동+수동"),IF(OR(S121="자동",S121="자동+수동"),Z121="통과",TRUE),IF(OR(S121="수동",S121="자동+수동"),AA121="통과",TRUE)),"통과",IF(OR(Z121="실패",AA121="실패",AE121="실패"),"실패","보류"))</x:f>
        <x:v>보류</x:v>
      </x:c>
      <x:c r="AK121" s="5" t="str">
        <x:v>KRDS-SEC-071</x:v>
      </x:c>
      <x:c r="AL121" s="5" t="str"/>
      <x:c r="AM121" s="5" t="str">
        <x:v>입력 v0.1 계획 주석은 original_plan_note에 보존. 최신 구현·시험·증빙은 연결 적용기록을 참조하며 전체 준수·인증을 주장하지 않음.</x:v>
      </x:c>
    </x:row>
    <x:row r="122" ht="39.599998474121094" hidden="0" customHeight="1">
      <x:c r="A122" s="5" t="str">
        <x:v>UI-071</x:v>
      </x:c>
      <x:c r="B122" s="5" t="str">
        <x:v>KRDS UI/UX</x:v>
      </x:c>
      <x:c r="C122" s="5" t="str">
        <x:v>UI 기본 패턴</x:v>
      </x:c>
      <x:c r="D122" s="5" t="str">
        <x:v>필터링·정렬</x:v>
      </x:c>
      <x:c r="E122" s="5" t="str">
        <x:v>적용 조건과 결과 변화를 명확히 표시</x:v>
      </x:c>
      <x:c r="F122" s="5" t="str">
        <x:v>SRC-001</x:v>
      </x:c>
      <x:c r="G122" s="5" t="str">
        <x:v>2025.08</x:v>
      </x:c>
      <x:c r="H122" s="5" t="str">
        <x:v>기본 패턴 / 패턴 / 필터링·정렬</x:v>
      </x:c>
      <x:c r="I122" s="5" t="str">
        <x:v>857-877</x:v>
      </x:c>
      <x:c r="J122" s="5" t="str">
        <x:v>회사 채택안; 원문 의무수준과 별도 관리</x:v>
      </x:c>
      <x:c r="K122" s="5" t="str">
        <x:v>원문 등급 별도 확인</x:v>
      </x:c>
      <x:c r="L122" s="5" t="str">
        <x:v>MUST(안)</x:v>
      </x:c>
      <x:c r="M122" s="10" t="str">
        <x:v>적용</x:v>
      </x:c>
      <x:c r="N122" s="5" t="str">
        <x:v>업무요청 웹 샘플에 채택하는 회사 기준. 실제 이행은 구현 후 판정.</x:v>
      </x:c>
      <x:c r="O122" s="5" t="str">
        <x:v>관련 기능·적용 기관·계약 변경 시 재평가</x:v>
      </x:c>
      <x:c r="P122" s="5" t="str">
        <x:v>S03</x:v>
      </x:c>
      <x:c r="Q122" s="5" t="str">
        <x:v>검색·상태·담당자 필터 및 정렬 상태를 URL/상태로 유지하고 초기화 제공</x:v>
      </x:c>
      <x:c r="R122" s="5" t="str">
        <x:v>조합 필터·초기화·빈 결과·결과 수 낭독 확인</x:v>
      </x:c>
      <x:c r="S122" s="10" t="str">
        <x:v>자동+수동</x:v>
      </x:c>
      <x:c r="T122" s="5" t="str">
        <x:v>UX·개발·QA</x:v>
      </x:c>
      <x:c r="U122" s="5" t="str">
        <x:v>P1</x:v>
      </x:c>
      <x:c r="V122" s="10" t="str">
        <x:v>구현</x:v>
      </x:c>
      <x:c r="W122" s="5" t="str">
        <x:v>명시된 검색 입력과 상태·정렬·분류 필터, 초기화, URL 조건 유지, 총 건수, 빈 결과, 페이지, 결과 상태 알림과 상세 이동을 제공한다.</x:v>
      </x:c>
      <x:c r="X122" s="5" t="str">
        <x:v>apps/web/src/App.tsx#RequestList
apps/web/src/App.tsx#RequestTable
apps/web/src/StandardsBrowser.tsx#StandardsBrowser</x:v>
      </x:c>
      <x:c r="Y122" s="5" t="str">
        <x:v>MAN-UI-071</x:v>
      </x:c>
      <x:c r="Z122" s="10" t="str">
        <x:v>미실행</x:v>
      </x:c>
      <x:c r="AA122" s="10" t="str">
        <x:v>미실행</x:v>
      </x:c>
      <x:c r="AB122" s="5" t="str"/>
      <x:c r="AC122" s="5" t="n">
        <x:v>0</x:v>
      </x:c>
      <x:c r="AD122" s="5" t="n">
        <x:v>1</x:v>
      </x:c>
      <x:c r="AE122" s="10" t="str">
        <x:v>미실행</x:v>
      </x:c>
      <x:c r="AF122" s="5" t="str"/>
      <x:c r="AG122" s="5" t="str"/>
      <x:c r="AH122" s="5" t="str"/>
      <x:c r="AI122" s="10" t="str">
        <x:v>재확인필요</x:v>
      </x:c>
      <x:c r="AJ122" s="5" t="str">
        <x:f>IF(AND(M122="적용",V122="구현",X122&lt;&gt;"",Y122&lt;&gt;"",AB122&lt;&gt;"",AC122&gt;0,AD122&gt;0,AE122="통과",AF122="",AG122&lt;&gt;"",AH122&lt;&gt;"",OR(S122="자동",S122="수동",S122="자동+수동"),IF(OR(S122="자동",S122="자동+수동"),Z122="통과",TRUE),IF(OR(S122="수동",S122="자동+수동"),AA122="통과",TRUE)),"통과",IF(OR(Z122="실패",AA122="실패",AE122="실패"),"실패","보류"))</x:f>
        <x:v>보류</x:v>
      </x:c>
      <x:c r="AK122" s="5" t="str">
        <x:v>KRDS-SEC-072</x:v>
      </x:c>
      <x:c r="AL122" s="5" t="str"/>
      <x:c r="AM122" s="5" t="str">
        <x:v>입력 v0.1 계획 주석은 original_plan_note에 보존. 최신 구현·시험·증빙은 연결 적용기록을 참조하며 전체 준수·인증을 주장하지 않음.</x:v>
      </x:c>
    </x:row>
    <x:row r="123" ht="39.599998474121094" hidden="0" customHeight="1">
      <x:c r="A123" s="5" t="str">
        <x:v>UI-072</x:v>
      </x:c>
      <x:c r="B123" s="5" t="str">
        <x:v>KRDS UI/UX</x:v>
      </x:c>
      <x:c r="C123" s="5" t="str">
        <x:v>UI 기본 패턴</x:v>
      </x:c>
      <x:c r="D123" s="5" t="str">
        <x:v>확인</x:v>
      </x:c>
      <x:c r="E123" s="5" t="str">
        <x:v>중요 행동 전에 결과를 검토·취소 가능하게 함</x:v>
      </x:c>
      <x:c r="F123" s="5" t="str">
        <x:v>SRC-001</x:v>
      </x:c>
      <x:c r="G123" s="5" t="str">
        <x:v>2025.08</x:v>
      </x:c>
      <x:c r="H123" s="5" t="str">
        <x:v>기본 패턴 / 패턴 / 확인</x:v>
      </x:c>
      <x:c r="I123" s="5" t="str">
        <x:v>878-884</x:v>
      </x:c>
      <x:c r="J123" s="5" t="str">
        <x:v>회사 채택안; 원문 의무수준과 별도 관리</x:v>
      </x:c>
      <x:c r="K123" s="5" t="str">
        <x:v>원문 등급 별도 확인</x:v>
      </x:c>
      <x:c r="L123" s="5" t="str">
        <x:v>MUST(안)</x:v>
      </x:c>
      <x:c r="M123" s="10" t="str">
        <x:v>적용</x:v>
      </x:c>
      <x:c r="N123" s="5" t="str">
        <x:v>업무요청 웹 샘플에 채택하는 회사 기준. 실제 이행은 구현 후 판정.</x:v>
      </x:c>
      <x:c r="O123" s="5" t="str">
        <x:v>관련 기능·적용 기관·계약 변경 시 재평가</x:v>
      </x:c>
      <x:c r="P123" s="5" t="str">
        <x:v>S01~S08 / 공통</x:v>
      </x:c>
      <x:c r="Q123" s="5" t="str">
        <x:v>요청 제출·삭제·상태변경 전 목적에 맞는 확인과 취소 경로 제공</x:v>
      </x:c>
      <x:c r="R123" s="5" t="str">
        <x:v>실수 방지·취소·중복 제출·초점 복귀 확인</x:v>
      </x:c>
      <x:c r="S123" s="10" t="str">
        <x:v>자동+수동</x:v>
      </x:c>
      <x:c r="T123" s="5" t="str">
        <x:v>UX·개발·QA</x:v>
      </x:c>
      <x:c r="U123" s="5" t="str">
        <x:v>P1</x:v>
      </x:c>
      <x:c r="V123" s="10" t="str">
        <x:v>구현</x:v>
      </x:c>
      <x:c r="W123" s="5" t="str">
        <x:v>요청 저장 전 검토 화면, 작성 취소 확인과 계속 작성, 상태 변경 사유 폼과 취소·저장 선택을 제공한다.</x:v>
      </x:c>
      <x:c r="X123" s="5" t="str">
        <x:v>apps/web/src/App.tsx#RequestWizard
apps/web/src/App.tsx#RequestDetail
apps/web/src/ui.tsx#Modal</x:v>
      </x:c>
      <x:c r="Y123" s="5" t="str">
        <x:v>MAN-UI-072</x:v>
      </x:c>
      <x:c r="Z123" s="10" t="str">
        <x:v>미실행</x:v>
      </x:c>
      <x:c r="AA123" s="10" t="str">
        <x:v>미실행</x:v>
      </x:c>
      <x:c r="AB123" s="5" t="str"/>
      <x:c r="AC123" s="5" t="n">
        <x:v>0</x:v>
      </x:c>
      <x:c r="AD123" s="5" t="n">
        <x:v>1</x:v>
      </x:c>
      <x:c r="AE123" s="10" t="str">
        <x:v>미실행</x:v>
      </x:c>
      <x:c r="AF123" s="5" t="str"/>
      <x:c r="AG123" s="5" t="str"/>
      <x:c r="AH123" s="5" t="str"/>
      <x:c r="AI123" s="10" t="str">
        <x:v>재확인필요</x:v>
      </x:c>
      <x:c r="AJ123" s="5" t="str">
        <x:f>IF(AND(M123="적용",V123="구현",X123&lt;&gt;"",Y123&lt;&gt;"",AB123&lt;&gt;"",AC123&gt;0,AD123&gt;0,AE123="통과",AF123="",AG123&lt;&gt;"",AH123&lt;&gt;"",OR(S123="자동",S123="수동",S123="자동+수동"),IF(OR(S123="자동",S123="자동+수동"),Z123="통과",TRUE),IF(OR(S123="수동",S123="자동+수동"),AA123="통과",TRUE)),"통과",IF(OR(Z123="실패",AA123="실패",AE123="실패"),"실패","보류"))</x:f>
        <x:v>보류</x:v>
      </x:c>
      <x:c r="AK123" s="5" t="str">
        <x:v>KRDS-SEC-073</x:v>
      </x:c>
      <x:c r="AL123" s="5" t="str"/>
      <x:c r="AM123" s="5" t="str">
        <x:v>입력 v0.1 계획 주석은 original_plan_note에 보존. 최신 구현·시험·증빙은 연결 적용기록을 참조하며 전체 준수·인증을 주장하지 않음.</x:v>
      </x:c>
    </x:row>
    <x:row r="124" ht="52.79999923706055" hidden="0" customHeight="1">
      <x:c r="A124" s="5" t="str">
        <x:v>UI-073</x:v>
      </x:c>
      <x:c r="B124" s="5" t="str">
        <x:v>KRDS UI/UX</x:v>
      </x:c>
      <x:c r="C124" s="5" t="str">
        <x:v>UI 서비스 패턴</x:v>
      </x:c>
      <x:c r="D124" s="5" t="str">
        <x:v>방문</x:v>
      </x:c>
      <x:c r="E124" s="5" t="str">
        <x:v>처음 방문해도 핵심 업무와 운영주체를 파악</x:v>
      </x:c>
      <x:c r="F124" s="5" t="str">
        <x:v>SRC-001</x:v>
      </x:c>
      <x:c r="G124" s="5" t="str">
        <x:v>2025.08</x:v>
      </x:c>
      <x:c r="H124" s="5" t="str">
        <x:v>서비스 패턴 / 방문 / 방문</x:v>
      </x:c>
      <x:c r="I124" s="5" t="str">
        <x:v>888-898</x:v>
      </x:c>
      <x:c r="J124" s="5" t="str">
        <x:v>회사 채택안; 원문 의무수준과 별도 관리</x:v>
      </x:c>
      <x:c r="K124" s="5" t="str">
        <x:v>원문 등급 별도 확인</x:v>
      </x:c>
      <x:c r="L124" s="5" t="str">
        <x:v>MUST(안)</x:v>
      </x:c>
      <x:c r="M124" s="10" t="str">
        <x:v>적용</x:v>
      </x:c>
      <x:c r="N124" s="5" t="str">
        <x:v>업무요청 웹 샘플에 채택하는 회사 기준. 실제 이행은 구현 후 판정.</x:v>
      </x:c>
      <x:c r="O124" s="5" t="str">
        <x:v>관련 기능·적용 기관·계약 변경 시 재평가</x:v>
      </x:c>
      <x:c r="P124" s="5" t="str">
        <x:v>S01~S08 / 공통</x:v>
      </x:c>
      <x:c r="Q124" s="5" t="str">
        <x:v>홈에 업무요청 시작·내 처리상태·도움말을 제공</x:v>
      </x:c>
      <x:c r="R124" s="5" t="str">
        <x:v>최초 방문자의 업무 시작 과업 점검</x:v>
      </x:c>
      <x:c r="S124" s="10" t="str">
        <x:v>자동+수동</x:v>
      </x:c>
      <x:c r="T124" s="5" t="str">
        <x:v>UX·개발·QA</x:v>
      </x:c>
      <x:c r="U124" s="5" t="str">
        <x:v>P1</x:v>
      </x:c>
      <x:c r="V124" s="10" t="str">
        <x:v>구현</x:v>
      </x:c>
      <x:c r="W124" s="5" t="str">
        <x:v>회사 샘플임을 표시하고 로그인 계정·권한 범위, 요청 절차·유형·필수자료·민감정보 금지·첨부 제한을 실행 전에 안내한다.</x:v>
      </x:c>
      <x:c r="X124" s="5" t="str">
        <x:v>apps/web/src/App.tsx#App
apps/web/src/App.tsx#Login
apps/web/src/App.tsx#Help
apps/web/src/App.tsx#RequestWizard</x:v>
      </x:c>
      <x:c r="Y124" s="5" t="str">
        <x:v>MAN-UI-073</x:v>
      </x:c>
      <x:c r="Z124" s="10" t="str">
        <x:v>미실행</x:v>
      </x:c>
      <x:c r="AA124" s="10" t="str">
        <x:v>미실행</x:v>
      </x:c>
      <x:c r="AB124" s="5" t="str"/>
      <x:c r="AC124" s="5" t="n">
        <x:v>0</x:v>
      </x:c>
      <x:c r="AD124" s="5" t="n">
        <x:v>1</x:v>
      </x:c>
      <x:c r="AE124" s="10" t="str">
        <x:v>미실행</x:v>
      </x:c>
      <x:c r="AF124" s="5" t="str"/>
      <x:c r="AG124" s="5" t="str"/>
      <x:c r="AH124" s="5" t="str"/>
      <x:c r="AI124" s="10" t="str">
        <x:v>재확인필요</x:v>
      </x:c>
      <x:c r="AJ124" s="5" t="str">
        <x:f>IF(AND(M124="적용",V124="구현",X124&lt;&gt;"",Y124&lt;&gt;"",AB124&lt;&gt;"",AC124&gt;0,AD124&gt;0,AE124="통과",AF124="",AG124&lt;&gt;"",AH124&lt;&gt;"",OR(S124="자동",S124="수동",S124="자동+수동"),IF(OR(S124="자동",S124="자동+수동"),Z124="통과",TRUE),IF(OR(S124="수동",S124="자동+수동"),AA124="통과",TRUE)),"통과",IF(OR(Z124="실패",AA124="실패",AE124="실패"),"실패","보류"))</x:f>
        <x:v>보류</x:v>
      </x:c>
      <x:c r="AK124" s="5" t="str">
        <x:v>KRDS-SEC-075</x:v>
      </x:c>
      <x:c r="AL124" s="5" t="str"/>
      <x:c r="AM124" s="5" t="str">
        <x:v>입력 v0.1 계획 주석은 original_plan_note에 보존. 최신 구현·시험·증빙은 연결 적용기록을 참조하며 전체 준수·인증을 주장하지 않음.</x:v>
      </x:c>
    </x:row>
    <x:row r="125" ht="39.599998474121094" hidden="0" customHeight="1">
      <x:c r="A125" s="5" t="str">
        <x:v>UI-074</x:v>
      </x:c>
      <x:c r="B125" s="5" t="str">
        <x:v>KRDS UI/UX</x:v>
      </x:c>
      <x:c r="C125" s="5" t="str">
        <x:v>UI 서비스 패턴</x:v>
      </x:c>
      <x:c r="D125" s="5" t="str">
        <x:v>검색 기능 찾기</x:v>
      </x:c>
      <x:c r="E125" s="5" t="str">
        <x:v>일관된 위치에서 검색을 시작</x:v>
      </x:c>
      <x:c r="F125" s="5" t="str">
        <x:v>SRC-001</x:v>
      </x:c>
      <x:c r="G125" s="5" t="str">
        <x:v>2025.08</x:v>
      </x:c>
      <x:c r="H125" s="5" t="str">
        <x:v>서비스 패턴 / 검색 / 검색 기능 찾기</x:v>
      </x:c>
      <x:c r="I125" s="5" t="str">
        <x:v>904-912</x:v>
      </x:c>
      <x:c r="J125" s="5" t="str">
        <x:v>회사 채택안; 원문 의무수준과 별도 관리</x:v>
      </x:c>
      <x:c r="K125" s="5" t="str">
        <x:v>원문 등급 별도 확인</x:v>
      </x:c>
      <x:c r="L125" s="5" t="str">
        <x:v>MUST(안)</x:v>
      </x:c>
      <x:c r="M125" s="10" t="str">
        <x:v>적용</x:v>
      </x:c>
      <x:c r="N125" s="5" t="str">
        <x:v>업무요청 웹 샘플에 채택하는 회사 기준. 실제 이행은 구현 후 판정.</x:v>
      </x:c>
      <x:c r="O125" s="5" t="str">
        <x:v>관련 기능·적용 기관·계약 변경 시 재평가</x:v>
      </x:c>
      <x:c r="P125" s="5" t="str">
        <x:v>S03</x:v>
      </x:c>
      <x:c r="Q125" s="5" t="str">
        <x:v>헤더 또는 업무목록 상단에 검색을 배치</x:v>
      </x:c>
      <x:c r="R125" s="5" t="str">
        <x:v>각 화면의 검색 접근 경로·레이블 점검</x:v>
      </x:c>
      <x:c r="S125" s="10" t="str">
        <x:v>자동+수동</x:v>
      </x:c>
      <x:c r="T125" s="5" t="str">
        <x:v>UX·개발·QA</x:v>
      </x:c>
      <x:c r="U125" s="5" t="str">
        <x:v>P1</x:v>
      </x:c>
      <x:c r="V125" s="10" t="str">
        <x:v>구현</x:v>
      </x:c>
      <x:c r="W125" s="5" t="str">
        <x:v>명시된 검색 입력과 상태·정렬·분류 필터, 초기화, URL 조건 유지, 총 건수, 빈 결과, 페이지, 결과 상태 알림과 상세 이동을 제공한다.</x:v>
      </x:c>
      <x:c r="X125" s="5" t="str">
        <x:v>apps/web/src/App.tsx#RequestList
apps/web/src/App.tsx#RequestTable
apps/web/src/StandardsBrowser.tsx#StandardsBrowser</x:v>
      </x:c>
      <x:c r="Y125" s="5" t="str">
        <x:v>MAN-UI-074</x:v>
      </x:c>
      <x:c r="Z125" s="10" t="str">
        <x:v>미실행</x:v>
      </x:c>
      <x:c r="AA125" s="10" t="str">
        <x:v>미실행</x:v>
      </x:c>
      <x:c r="AB125" s="5" t="str"/>
      <x:c r="AC125" s="5" t="n">
        <x:v>0</x:v>
      </x:c>
      <x:c r="AD125" s="5" t="n">
        <x:v>1</x:v>
      </x:c>
      <x:c r="AE125" s="10" t="str">
        <x:v>미실행</x:v>
      </x:c>
      <x:c r="AF125" s="5" t="str"/>
      <x:c r="AG125" s="5" t="str"/>
      <x:c r="AH125" s="5" t="str"/>
      <x:c r="AI125" s="10" t="str">
        <x:v>재확인필요</x:v>
      </x:c>
      <x:c r="AJ125" s="5" t="str">
        <x:f>IF(AND(M125="적용",V125="구현",X125&lt;&gt;"",Y125&lt;&gt;"",AB125&lt;&gt;"",AC125&gt;0,AD125&gt;0,AE125="통과",AF125="",AG125&lt;&gt;"",AH125&lt;&gt;"",OR(S125="자동",S125="수동",S125="자동+수동"),IF(OR(S125="자동",S125="자동+수동"),Z125="통과",TRUE),IF(OR(S125="수동",S125="자동+수동"),AA125="통과",TRUE)),"통과",IF(OR(Z125="실패",AA125="실패",AE125="실패"),"실패","보류"))</x:f>
        <x:v>보류</x:v>
      </x:c>
      <x:c r="AK125" s="5" t="str">
        <x:v>KRDS-SEC-077</x:v>
      </x:c>
      <x:c r="AL125" s="5" t="str"/>
      <x:c r="AM125" s="5" t="str">
        <x:v>입력 v0.1 계획 주석은 original_plan_note에 보존. 최신 구현·시험·증빙은 연결 적용기록을 참조하며 전체 준수·인증을 주장하지 않음.</x:v>
      </x:c>
    </x:row>
    <x:row r="126" ht="39.599998474121094" hidden="0" customHeight="1">
      <x:c r="A126" s="5" t="str">
        <x:v>UI-075</x:v>
      </x:c>
      <x:c r="B126" s="5" t="str">
        <x:v>KRDS UI/UX</x:v>
      </x:c>
      <x:c r="C126" s="5" t="str">
        <x:v>UI 서비스 패턴</x:v>
      </x:c>
      <x:c r="D126" s="5" t="str">
        <x:v>검색어 입력</x:v>
      </x:c>
      <x:c r="E126" s="5" t="str">
        <x:v>검색 범위·방법과 입력 상태 안내</x:v>
      </x:c>
      <x:c r="F126" s="5" t="str">
        <x:v>SRC-001</x:v>
      </x:c>
      <x:c r="G126" s="5" t="str">
        <x:v>2025.08</x:v>
      </x:c>
      <x:c r="H126" s="5" t="str">
        <x:v>서비스 패턴 / 검색 / 검색어 입력</x:v>
      </x:c>
      <x:c r="I126" s="5" t="str">
        <x:v>913-928</x:v>
      </x:c>
      <x:c r="J126" s="5" t="str">
        <x:v>회사 채택안; 원문 의무수준과 별도 관리</x:v>
      </x:c>
      <x:c r="K126" s="5" t="str">
        <x:v>원문 등급 별도 확인</x:v>
      </x:c>
      <x:c r="L126" s="5" t="str">
        <x:v>MUST(안)</x:v>
      </x:c>
      <x:c r="M126" s="10" t="str">
        <x:v>적용</x:v>
      </x:c>
      <x:c r="N126" s="5" t="str">
        <x:v>업무요청 웹 샘플에 채택하는 회사 기준. 실제 이행은 구현 후 판정.</x:v>
      </x:c>
      <x:c r="O126" s="5" t="str">
        <x:v>관련 기능·적용 기관·계약 변경 시 재평가</x:v>
      </x:c>
      <x:c r="P126" s="5" t="str">
        <x:v>S03</x:v>
      </x:c>
      <x:c r="Q126" s="5" t="str">
        <x:v>검색 label·예시·지우기·제출 버튼, 검색어 보존 제공</x:v>
      </x:c>
      <x:c r="R126" s="5" t="str">
        <x:v>키보드 입력·제출·지우기·한글 조합 확인</x:v>
      </x:c>
      <x:c r="S126" s="10" t="str">
        <x:v>자동+수동</x:v>
      </x:c>
      <x:c r="T126" s="5" t="str">
        <x:v>UX·개발·QA</x:v>
      </x:c>
      <x:c r="U126" s="5" t="str">
        <x:v>P1</x:v>
      </x:c>
      <x:c r="V126" s="10" t="str">
        <x:v>구현</x:v>
      </x:c>
      <x:c r="W126" s="5" t="str">
        <x:v>명시된 검색 입력과 상태·정렬·분류 필터, 초기화, URL 조건 유지, 총 건수, 빈 결과, 페이지, 결과 상태 알림과 상세 이동을 제공한다.</x:v>
      </x:c>
      <x:c r="X126" s="5" t="str">
        <x:v>apps/web/src/App.tsx#RequestList
apps/web/src/App.tsx#RequestTable
apps/web/src/StandardsBrowser.tsx#StandardsBrowser</x:v>
      </x:c>
      <x:c r="Y126" s="5" t="str">
        <x:v>MAN-UI-075</x:v>
      </x:c>
      <x:c r="Z126" s="10" t="str">
        <x:v>미실행</x:v>
      </x:c>
      <x:c r="AA126" s="10" t="str">
        <x:v>미실행</x:v>
      </x:c>
      <x:c r="AB126" s="5" t="str"/>
      <x:c r="AC126" s="5" t="n">
        <x:v>0</x:v>
      </x:c>
      <x:c r="AD126" s="5" t="n">
        <x:v>1</x:v>
      </x:c>
      <x:c r="AE126" s="10" t="str">
        <x:v>미실행</x:v>
      </x:c>
      <x:c r="AF126" s="5" t="str"/>
      <x:c r="AG126" s="5" t="str"/>
      <x:c r="AH126" s="5" t="str"/>
      <x:c r="AI126" s="10" t="str">
        <x:v>재확인필요</x:v>
      </x:c>
      <x:c r="AJ126" s="5" t="str">
        <x:f>IF(AND(M126="적용",V126="구현",X126&lt;&gt;"",Y126&lt;&gt;"",AB126&lt;&gt;"",AC126&gt;0,AD126&gt;0,AE126="통과",AF126="",AG126&lt;&gt;"",AH126&lt;&gt;"",OR(S126="자동",S126="수동",S126="자동+수동"),IF(OR(S126="자동",S126="자동+수동"),Z126="통과",TRUE),IF(OR(S126="수동",S126="자동+수동"),AA126="통과",TRUE)),"통과",IF(OR(Z126="실패",AA126="실패",AE126="실패"),"실패","보류"))</x:f>
        <x:v>보류</x:v>
      </x:c>
      <x:c r="AK126" s="5" t="str">
        <x:v>KRDS-SEC-078</x:v>
      </x:c>
      <x:c r="AL126" s="5" t="str"/>
      <x:c r="AM126" s="5" t="str">
        <x:v>입력 v0.1 계획 주석은 original_plan_note에 보존. 최신 구현·시험·증빙은 연결 적용기록을 참조하며 전체 준수·인증을 주장하지 않음.</x:v>
      </x:c>
    </x:row>
    <x:row r="127" ht="39.599998474121094" hidden="0" customHeight="1">
      <x:c r="A127" s="5" t="str">
        <x:v>UI-076</x:v>
      </x:c>
      <x:c r="B127" s="5" t="str">
        <x:v>KRDS UI/UX</x:v>
      </x:c>
      <x:c r="C127" s="5" t="str">
        <x:v>UI 서비스 패턴</x:v>
      </x:c>
      <x:c r="D127" s="5" t="str">
        <x:v>검색 결과 확인</x:v>
      </x:c>
      <x:c r="E127" s="5" t="str">
        <x:v>결과 수와 조건·빈 결과 안내</x:v>
      </x:c>
      <x:c r="F127" s="5" t="str">
        <x:v>SRC-001</x:v>
      </x:c>
      <x:c r="G127" s="5" t="str">
        <x:v>2025.08</x:v>
      </x:c>
      <x:c r="H127" s="5" t="str">
        <x:v>서비스 패턴 / 검색 / 검색 결과 확인</x:v>
      </x:c>
      <x:c r="I127" s="5" t="str">
        <x:v>929-943</x:v>
      </x:c>
      <x:c r="J127" s="5" t="str">
        <x:v>회사 채택안; 원문 의무수준과 별도 관리</x:v>
      </x:c>
      <x:c r="K127" s="5" t="str">
        <x:v>원문 등급 별도 확인</x:v>
      </x:c>
      <x:c r="L127" s="5" t="str">
        <x:v>MUST(안)</x:v>
      </x:c>
      <x:c r="M127" s="10" t="str">
        <x:v>적용</x:v>
      </x:c>
      <x:c r="N127" s="5" t="str">
        <x:v>업무요청 웹 샘플에 채택하는 회사 기준. 실제 이행은 구현 후 판정.</x:v>
      </x:c>
      <x:c r="O127" s="5" t="str">
        <x:v>관련 기능·적용 기관·계약 변경 시 재평가</x:v>
      </x:c>
      <x:c r="P127" s="5" t="str">
        <x:v>S03</x:v>
      </x:c>
      <x:c r="Q127" s="5" t="str">
        <x:v>검색어·총 결과 수·현재 필터·결과 없음 메시지 표시</x:v>
      </x:c>
      <x:c r="R127" s="5" t="str">
        <x:v>결과 상태 낭독과 검색어 강조의 대비 확인</x:v>
      </x:c>
      <x:c r="S127" s="10" t="str">
        <x:v>자동+수동</x:v>
      </x:c>
      <x:c r="T127" s="5" t="str">
        <x:v>UX·개발·QA</x:v>
      </x:c>
      <x:c r="U127" s="5" t="str">
        <x:v>P1</x:v>
      </x:c>
      <x:c r="V127" s="10" t="str">
        <x:v>구현</x:v>
      </x:c>
      <x:c r="W127" s="5" t="str">
        <x:v>명시된 검색 입력과 상태·정렬·분류 필터, 초기화, URL 조건 유지, 총 건수, 빈 결과, 페이지, 결과 상태 알림과 상세 이동을 제공한다.</x:v>
      </x:c>
      <x:c r="X127" s="5" t="str">
        <x:v>apps/web/src/App.tsx#RequestList
apps/web/src/App.tsx#RequestTable
apps/web/src/StandardsBrowser.tsx#StandardsBrowser</x:v>
      </x:c>
      <x:c r="Y127" s="5" t="str">
        <x:v>SCREEN-LIST
MAN-UI-076</x:v>
      </x:c>
      <x:c r="Z127" s="10" t="str">
        <x:v>미실행</x:v>
      </x:c>
      <x:c r="AA127" s="10" t="str">
        <x:v>미실행</x:v>
      </x:c>
      <x:c r="AB127" s="5" t="str">
        <x:v>SCREEN-LIST-2026-10-20T06-15-00-647Z</x:v>
      </x:c>
      <x:c r="AC127" s="5" t="n">
        <x:v>1</x:v>
      </x:c>
      <x:c r="AD127" s="5" t="n">
        <x:v>2</x:v>
      </x:c>
      <x:c r="AE127" s="10" t="str">
        <x:v>부분확인</x:v>
      </x:c>
      <x:c r="AF127" s="5" t="str"/>
      <x:c r="AG127" s="5" t="str"/>
      <x:c r="AH127" s="5" t="str"/>
      <x:c r="AI127" s="10" t="str">
        <x:v>재확인필요</x:v>
      </x:c>
      <x:c r="AJ127" s="5" t="str">
        <x:f>IF(AND(M127="적용",V127="구현",X127&lt;&gt;"",Y127&lt;&gt;"",AB127&lt;&gt;"",AC127&gt;0,AD127&gt;0,AE127="통과",AF127="",AG127&lt;&gt;"",AH127&lt;&gt;"",OR(S127="자동",S127="수동",S127="자동+수동"),IF(OR(S127="자동",S127="자동+수동"),Z127="통과",TRUE),IF(OR(S127="수동",S127="자동+수동"),AA127="통과",TRUE)),"통과",IF(OR(Z127="실패",AA127="실패",AE127="실패"),"실패","보류"))</x:f>
        <x:v>보류</x:v>
      </x:c>
      <x:c r="AK127" s="5" t="str">
        <x:v>KRDS-SEC-079</x:v>
      </x:c>
      <x:c r="AL127" s="5" t="str"/>
      <x:c r="AM127" s="5" t="str">
        <x:v>입력 v0.1 계획 주석은 original_plan_note에 보존. 최신 구현·시험·증빙은 연결 적용기록을 참조하며 전체 준수·인증을 주장하지 않음.</x:v>
      </x:c>
    </x:row>
    <x:row r="128" ht="39.599998474121094" hidden="0" customHeight="1">
      <x:c r="A128" s="5" t="str">
        <x:v>UI-077</x:v>
      </x:c>
      <x:c r="B128" s="5" t="str">
        <x:v>KRDS UI/UX</x:v>
      </x:c>
      <x:c r="C128" s="5" t="str">
        <x:v>UI 서비스 패턴</x:v>
      </x:c>
      <x:c r="D128" s="5" t="str">
        <x:v>상세 검색</x:v>
      </x:c>
      <x:c r="E128" s="5" t="str">
        <x:v>추가 조건의 의미와 적용 상태 표시</x:v>
      </x:c>
      <x:c r="F128" s="5" t="str">
        <x:v>SRC-001</x:v>
      </x:c>
      <x:c r="G128" s="5" t="str">
        <x:v>2025.08</x:v>
      </x:c>
      <x:c r="H128" s="5" t="str">
        <x:v>서비스 패턴 / 검색 / 상세 검색</x:v>
      </x:c>
      <x:c r="I128" s="5" t="str">
        <x:v>944-955</x:v>
      </x:c>
      <x:c r="J128" s="5" t="str">
        <x:v>회사 채택안; 원문 의무수준과 별도 관리</x:v>
      </x:c>
      <x:c r="K128" s="5" t="str">
        <x:v>원문 등급 별도 확인</x:v>
      </x:c>
      <x:c r="L128" s="5" t="str">
        <x:v>MUST(안)</x:v>
      </x:c>
      <x:c r="M128" s="10" t="str">
        <x:v>적용</x:v>
      </x:c>
      <x:c r="N128" s="5" t="str">
        <x:v>업무요청 웹 샘플에 채택하는 회사 기준. 실제 이행은 구현 후 판정.</x:v>
      </x:c>
      <x:c r="O128" s="5" t="str">
        <x:v>관련 기능·적용 기관·계약 변경 시 재평가</x:v>
      </x:c>
      <x:c r="P128" s="5" t="str">
        <x:v>S03</x:v>
      </x:c>
      <x:c r="Q128" s="5" t="str">
        <x:v>상태·기간·담당자 조건과 적용/초기화 버튼 제공</x:v>
      </x:c>
      <x:c r="R128" s="5" t="str">
        <x:v>조건 변경 후 결과 수·초점·URL 상태 확인</x:v>
      </x:c>
      <x:c r="S128" s="10" t="str">
        <x:v>자동+수동</x:v>
      </x:c>
      <x:c r="T128" s="5" t="str">
        <x:v>UX·개발·QA</x:v>
      </x:c>
      <x:c r="U128" s="5" t="str">
        <x:v>P1</x:v>
      </x:c>
      <x:c r="V128" s="10" t="str">
        <x:v>구현</x:v>
      </x:c>
      <x:c r="W128" s="5" t="str">
        <x:v>명시된 검색 입력과 상태·정렬·분류 필터, 초기화, URL 조건 유지, 총 건수, 빈 결과, 페이지, 결과 상태 알림과 상세 이동을 제공한다.</x:v>
      </x:c>
      <x:c r="X128" s="5" t="str">
        <x:v>apps/web/src/App.tsx#RequestList
apps/web/src/App.tsx#RequestTable
apps/web/src/StandardsBrowser.tsx#StandardsBrowser</x:v>
      </x:c>
      <x:c r="Y128" s="5" t="str">
        <x:v>MAN-UI-077</x:v>
      </x:c>
      <x:c r="Z128" s="10" t="str">
        <x:v>미실행</x:v>
      </x:c>
      <x:c r="AA128" s="10" t="str">
        <x:v>미실행</x:v>
      </x:c>
      <x:c r="AB128" s="5" t="str"/>
      <x:c r="AC128" s="5" t="n">
        <x:v>0</x:v>
      </x:c>
      <x:c r="AD128" s="5" t="n">
        <x:v>1</x:v>
      </x:c>
      <x:c r="AE128" s="10" t="str">
        <x:v>미실행</x:v>
      </x:c>
      <x:c r="AF128" s="5" t="str"/>
      <x:c r="AG128" s="5" t="str"/>
      <x:c r="AH128" s="5" t="str"/>
      <x:c r="AI128" s="10" t="str">
        <x:v>재확인필요</x:v>
      </x:c>
      <x:c r="AJ128" s="5" t="str">
        <x:f>IF(AND(M128="적용",V128="구현",X128&lt;&gt;"",Y128&lt;&gt;"",AB128&lt;&gt;"",AC128&gt;0,AD128&gt;0,AE128="통과",AF128="",AG128&lt;&gt;"",AH128&lt;&gt;"",OR(S128="자동",S128="수동",S128="자동+수동"),IF(OR(S128="자동",S128="자동+수동"),Z128="통과",TRUE),IF(OR(S128="수동",S128="자동+수동"),AA128="통과",TRUE)),"통과",IF(OR(Z128="실패",AA128="실패",AE128="실패"),"실패","보류"))</x:f>
        <x:v>보류</x:v>
      </x:c>
      <x:c r="AK128" s="5" t="str">
        <x:v>KRDS-SEC-080</x:v>
      </x:c>
      <x:c r="AL128" s="5" t="str"/>
      <x:c r="AM128" s="5" t="str">
        <x:v>입력 v0.1 계획 주석은 original_plan_note에 보존. 최신 구현·시험·증빙은 연결 적용기록을 참조하며 전체 준수·인증을 주장하지 않음.</x:v>
      </x:c>
    </x:row>
    <x:row r="129" ht="39.599998474121094" hidden="0" customHeight="1">
      <x:c r="A129" s="5" t="str">
        <x:v>UI-078</x:v>
      </x:c>
      <x:c r="B129" s="5" t="str">
        <x:v>KRDS UI/UX</x:v>
      </x:c>
      <x:c r="C129" s="5" t="str">
        <x:v>UI 서비스 패턴</x:v>
      </x:c>
      <x:c r="D129" s="5" t="str">
        <x:v>검색 결과 이용</x:v>
      </x:c>
      <x:c r="E129" s="5" t="str">
        <x:v>결과의 핵심정보와 목적지 식별</x:v>
      </x:c>
      <x:c r="F129" s="5" t="str">
        <x:v>SRC-001</x:v>
      </x:c>
      <x:c r="G129" s="5" t="str">
        <x:v>2025.08</x:v>
      </x:c>
      <x:c r="H129" s="5" t="str">
        <x:v>서비스 패턴 / 검색 / 검색 결과 이용</x:v>
      </x:c>
      <x:c r="I129" s="5" t="str">
        <x:v>956-967</x:v>
      </x:c>
      <x:c r="J129" s="5" t="str">
        <x:v>회사 채택안; 원문 의무수준과 별도 관리</x:v>
      </x:c>
      <x:c r="K129" s="5" t="str">
        <x:v>원문 등급 별도 확인</x:v>
      </x:c>
      <x:c r="L129" s="5" t="str">
        <x:v>MUST(안)</x:v>
      </x:c>
      <x:c r="M129" s="10" t="str">
        <x:v>적용</x:v>
      </x:c>
      <x:c r="N129" s="5" t="str">
        <x:v>업무요청 웹 샘플에 채택하는 회사 기준. 실제 이행은 구현 후 판정.</x:v>
      </x:c>
      <x:c r="O129" s="5" t="str">
        <x:v>관련 기능·적용 기관·계약 변경 시 재평가</x:v>
      </x:c>
      <x:c r="P129" s="5" t="str">
        <x:v>S03</x:v>
      </x:c>
      <x:c r="Q129" s="5" t="str">
        <x:v>제목·상태·날짜·작성자를 보여주고 상세 링크 제공</x:v>
      </x:c>
      <x:c r="R129" s="5" t="str">
        <x:v>링크명만 읽어도 대상 식별 가능 여부</x:v>
      </x:c>
      <x:c r="S129" s="10" t="str">
        <x:v>자동+수동</x:v>
      </x:c>
      <x:c r="T129" s="5" t="str">
        <x:v>UX·개발·QA</x:v>
      </x:c>
      <x:c r="U129" s="5" t="str">
        <x:v>P1</x:v>
      </x:c>
      <x:c r="V129" s="10" t="str">
        <x:v>구현</x:v>
      </x:c>
      <x:c r="W129" s="5" t="str">
        <x:v>명시된 검색 입력과 상태·정렬·분류 필터, 초기화, URL 조건 유지, 총 건수, 빈 결과, 페이지, 결과 상태 알림과 상세 이동을 제공한다.</x:v>
      </x:c>
      <x:c r="X129" s="5" t="str">
        <x:v>apps/web/src/App.tsx#RequestList
apps/web/src/App.tsx#RequestTable
apps/web/src/StandardsBrowser.tsx#StandardsBrowser</x:v>
      </x:c>
      <x:c r="Y129" s="5" t="str">
        <x:v>SCREEN-LIST
SCREEN-EMPTY-RESULTS
MAN-UI-078</x:v>
      </x:c>
      <x:c r="Z129" s="10" t="str">
        <x:v>미실행</x:v>
      </x:c>
      <x:c r="AA129" s="10" t="str">
        <x:v>미실행</x:v>
      </x:c>
      <x:c r="AB129" s="5" t="str">
        <x:v>SCREEN-LIST-2026-10-20T06-15-00-647Z
SCREEN-EMPTY-RESULTS-2026-10-20T06-15-00-647Z</x:v>
      </x:c>
      <x:c r="AC129" s="5" t="n">
        <x:v>2</x:v>
      </x:c>
      <x:c r="AD129" s="5" t="n">
        <x:v>3</x:v>
      </x:c>
      <x:c r="AE129" s="10" t="str">
        <x:v>부분확인</x:v>
      </x:c>
      <x:c r="AF129" s="5" t="str"/>
      <x:c r="AG129" s="5" t="str"/>
      <x:c r="AH129" s="5" t="str"/>
      <x:c r="AI129" s="10" t="str">
        <x:v>재확인필요</x:v>
      </x:c>
      <x:c r="AJ129" s="5" t="str">
        <x:f>IF(AND(M129="적용",V129="구현",X129&lt;&gt;"",Y129&lt;&gt;"",AB129&lt;&gt;"",AC129&gt;0,AD129&gt;0,AE129="통과",AF129="",AG129&lt;&gt;"",AH129&lt;&gt;"",OR(S129="자동",S129="수동",S129="자동+수동"),IF(OR(S129="자동",S129="자동+수동"),Z129="통과",TRUE),IF(OR(S129="수동",S129="자동+수동"),AA129="통과",TRUE)),"통과",IF(OR(Z129="실패",AA129="실패",AE129="실패"),"실패","보류"))</x:f>
        <x:v>보류</x:v>
      </x:c>
      <x:c r="AK129" s="5" t="str">
        <x:v>KRDS-SEC-081</x:v>
      </x:c>
      <x:c r="AL129" s="5" t="str"/>
      <x:c r="AM129" s="5" t="str">
        <x:v>입력 v0.1 계획 주석은 original_plan_note에 보존. 최신 구현·시험·증빙은 연결 적용기록을 참조하며 전체 준수·인증을 주장하지 않음.</x:v>
      </x:c>
    </x:row>
    <x:row r="130" ht="39.599998474121094" hidden="0" customHeight="1">
      <x:c r="A130" s="5" t="str">
        <x:v>UI-079</x:v>
      </x:c>
      <x:c r="B130" s="5" t="str">
        <x:v>KRDS UI/UX</x:v>
      </x:c>
      <x:c r="C130" s="5" t="str">
        <x:v>UI 서비스 패턴</x:v>
      </x:c>
      <x:c r="D130" s="5" t="str">
        <x:v>재검색</x:v>
      </x:c>
      <x:c r="E130" s="5" t="str">
        <x:v>이전 검색어와 조건을 수정 가능하게 유지</x:v>
      </x:c>
      <x:c r="F130" s="5" t="str">
        <x:v>SRC-001</x:v>
      </x:c>
      <x:c r="G130" s="5" t="str">
        <x:v>2025.08</x:v>
      </x:c>
      <x:c r="H130" s="5" t="str">
        <x:v>서비스 패턴 / 검색 / 재검색</x:v>
      </x:c>
      <x:c r="I130" s="5" t="str">
        <x:v>968-972</x:v>
      </x:c>
      <x:c r="J130" s="5" t="str">
        <x:v>회사 채택안; 원문 의무수준과 별도 관리</x:v>
      </x:c>
      <x:c r="K130" s="5" t="str">
        <x:v>원문 등급 별도 확인</x:v>
      </x:c>
      <x:c r="L130" s="5" t="str">
        <x:v>MUST(안)</x:v>
      </x:c>
      <x:c r="M130" s="10" t="str">
        <x:v>적용</x:v>
      </x:c>
      <x:c r="N130" s="5" t="str">
        <x:v>업무요청 웹 샘플에 채택하는 회사 기준. 실제 이행은 구현 후 판정.</x:v>
      </x:c>
      <x:c r="O130" s="5" t="str">
        <x:v>관련 기능·적용 기관·계약 변경 시 재평가</x:v>
      </x:c>
      <x:c r="P130" s="5" t="str">
        <x:v>S03</x:v>
      </x:c>
      <x:c r="Q130" s="5" t="str">
        <x:v>검색 결과 위에서 검색어와 조건을 다시 편집</x:v>
      </x:c>
      <x:c r="R130" s="5" t="str">
        <x:v>재검색 후 불필요한 값 초기화 여부 확인</x:v>
      </x:c>
      <x:c r="S130" s="10" t="str">
        <x:v>자동+수동</x:v>
      </x:c>
      <x:c r="T130" s="5" t="str">
        <x:v>UX·개발·QA</x:v>
      </x:c>
      <x:c r="U130" s="5" t="str">
        <x:v>P1</x:v>
      </x:c>
      <x:c r="V130" s="10" t="str">
        <x:v>구현</x:v>
      </x:c>
      <x:c r="W130" s="5" t="str">
        <x:v>명시된 검색 입력과 상태·정렬·분류 필터, 초기화, URL 조건 유지, 총 건수, 빈 결과, 페이지, 결과 상태 알림과 상세 이동을 제공한다.</x:v>
      </x:c>
      <x:c r="X130" s="5" t="str">
        <x:v>apps/web/src/App.tsx#RequestList
apps/web/src/App.tsx#RequestTable
apps/web/src/StandardsBrowser.tsx#StandardsBrowser</x:v>
      </x:c>
      <x:c r="Y130" s="5" t="str">
        <x:v>MAN-UI-079</x:v>
      </x:c>
      <x:c r="Z130" s="10" t="str">
        <x:v>미실행</x:v>
      </x:c>
      <x:c r="AA130" s="10" t="str">
        <x:v>미실행</x:v>
      </x:c>
      <x:c r="AB130" s="5" t="str"/>
      <x:c r="AC130" s="5" t="n">
        <x:v>0</x:v>
      </x:c>
      <x:c r="AD130" s="5" t="n">
        <x:v>1</x:v>
      </x:c>
      <x:c r="AE130" s="10" t="str">
        <x:v>미실행</x:v>
      </x:c>
      <x:c r="AF130" s="5" t="str"/>
      <x:c r="AG130" s="5" t="str"/>
      <x:c r="AH130" s="5" t="str"/>
      <x:c r="AI130" s="10" t="str">
        <x:v>재확인필요</x:v>
      </x:c>
      <x:c r="AJ130" s="5" t="str">
        <x:f>IF(AND(M130="적용",V130="구현",X130&lt;&gt;"",Y130&lt;&gt;"",AB130&lt;&gt;"",AC130&gt;0,AD130&gt;0,AE130="통과",AF130="",AG130&lt;&gt;"",AH130&lt;&gt;"",OR(S130="자동",S130="수동",S130="자동+수동"),IF(OR(S130="자동",S130="자동+수동"),Z130="통과",TRUE),IF(OR(S130="수동",S130="자동+수동"),AA130="통과",TRUE)),"통과",IF(OR(Z130="실패",AA130="실패",AE130="실패"),"실패","보류"))</x:f>
        <x:v>보류</x:v>
      </x:c>
      <x:c r="AK130" s="5" t="str">
        <x:v>KRDS-SEC-082</x:v>
      </x:c>
      <x:c r="AL130" s="5" t="str"/>
      <x:c r="AM130" s="5" t="str">
        <x:v>입력 v0.1 계획 주석은 original_plan_note에 보존. 최신 구현·시험·증빙은 연결 적용기록을 참조하며 전체 준수·인증을 주장하지 않음.</x:v>
      </x:c>
    </x:row>
    <x:row r="131" ht="39.599998474121094" hidden="0" customHeight="1">
      <x:c r="A131" s="5" t="str">
        <x:v>UI-080</x:v>
      </x:c>
      <x:c r="B131" s="5" t="str">
        <x:v>KRDS UI/UX</x:v>
      </x:c>
      <x:c r="C131" s="5" t="str">
        <x:v>UI 서비스 패턴</x:v>
      </x:c>
      <x:c r="D131" s="5" t="str">
        <x:v>검색 종료</x:v>
      </x:c>
      <x:c r="E131" s="5" t="str">
        <x:v>검색에서 다른 업무로 자연스럽게 이동</x:v>
      </x:c>
      <x:c r="F131" s="5" t="str">
        <x:v>SRC-001</x:v>
      </x:c>
      <x:c r="G131" s="5" t="str">
        <x:v>2025.08</x:v>
      </x:c>
      <x:c r="H131" s="5" t="str">
        <x:v>서비스 패턴 / 검색 / 검색 종료</x:v>
      </x:c>
      <x:c r="I131" s="5" t="str">
        <x:v>973-976</x:v>
      </x:c>
      <x:c r="J131" s="5" t="str">
        <x:v>회사 채택안; 원문 의무수준과 별도 관리</x:v>
      </x:c>
      <x:c r="K131" s="5" t="str">
        <x:v>원문 등급 별도 확인</x:v>
      </x:c>
      <x:c r="L131" s="5" t="str">
        <x:v>MUST(안)</x:v>
      </x:c>
      <x:c r="M131" s="10" t="str">
        <x:v>적용</x:v>
      </x:c>
      <x:c r="N131" s="5" t="str">
        <x:v>업무요청 웹 샘플에 채택하는 회사 기준. 실제 이행은 구현 후 판정.</x:v>
      </x:c>
      <x:c r="O131" s="5" t="str">
        <x:v>관련 기능·적용 기관·계약 변경 시 재평가</x:v>
      </x:c>
      <x:c r="P131" s="5" t="str">
        <x:v>S03</x:v>
      </x:c>
      <x:c r="Q131" s="5" t="str">
        <x:v>검색 종료 후 목록·등록·도움말 등 관련 업무 이동수단 제공</x:v>
      </x:c>
      <x:c r="R131" s="5" t="str">
        <x:v>목적 달성·결과 없음 상황의 다음 행동 확인</x:v>
      </x:c>
      <x:c r="S131" s="10" t="str">
        <x:v>자동+수동</x:v>
      </x:c>
      <x:c r="T131" s="5" t="str">
        <x:v>UX·개발·QA</x:v>
      </x:c>
      <x:c r="U131" s="5" t="str">
        <x:v>P1</x:v>
      </x:c>
      <x:c r="V131" s="10" t="str">
        <x:v>구현</x:v>
      </x:c>
      <x:c r="W131" s="5" t="str">
        <x:v>명시된 검색 입력과 상태·정렬·분류 필터, 초기화, URL 조건 유지, 총 건수, 빈 결과, 페이지, 결과 상태 알림과 상세 이동을 제공한다.</x:v>
      </x:c>
      <x:c r="X131" s="5" t="str">
        <x:v>apps/web/src/App.tsx#RequestList
apps/web/src/App.tsx#RequestTable
apps/web/src/StandardsBrowser.tsx#StandardsBrowser</x:v>
      </x:c>
      <x:c r="Y131" s="5" t="str">
        <x:v>MAN-UI-080</x:v>
      </x:c>
      <x:c r="Z131" s="10" t="str">
        <x:v>미실행</x:v>
      </x:c>
      <x:c r="AA131" s="10" t="str">
        <x:v>미실행</x:v>
      </x:c>
      <x:c r="AB131" s="5" t="str"/>
      <x:c r="AC131" s="5" t="n">
        <x:v>0</x:v>
      </x:c>
      <x:c r="AD131" s="5" t="n">
        <x:v>1</x:v>
      </x:c>
      <x:c r="AE131" s="10" t="str">
        <x:v>미실행</x:v>
      </x:c>
      <x:c r="AF131" s="5" t="str"/>
      <x:c r="AG131" s="5" t="str"/>
      <x:c r="AH131" s="5" t="str"/>
      <x:c r="AI131" s="10" t="str">
        <x:v>재확인필요</x:v>
      </x:c>
      <x:c r="AJ131" s="5" t="str">
        <x:f>IF(AND(M131="적용",V131="구현",X131&lt;&gt;"",Y131&lt;&gt;"",AB131&lt;&gt;"",AC131&gt;0,AD131&gt;0,AE131="통과",AF131="",AG131&lt;&gt;"",AH131&lt;&gt;"",OR(S131="자동",S131="수동",S131="자동+수동"),IF(OR(S131="자동",S131="자동+수동"),Z131="통과",TRUE),IF(OR(S131="수동",S131="자동+수동"),AA131="통과",TRUE)),"통과",IF(OR(Z131="실패",AA131="실패",AE131="실패"),"실패","보류"))</x:f>
        <x:v>보류</x:v>
      </x:c>
      <x:c r="AK131" s="5" t="str">
        <x:v>KRDS-SEC-083</x:v>
      </x:c>
      <x:c r="AL131" s="5" t="str"/>
      <x:c r="AM131" s="5" t="str">
        <x:v>입력 v0.1 계획 주석은 original_plan_note에 보존. 최신 구현·시험·증빙은 연결 적용기록을 참조하며 전체 준수·인증을 주장하지 않음.</x:v>
      </x:c>
    </x:row>
    <x:row r="132" ht="52.79999923706055" hidden="0" customHeight="1">
      <x:c r="A132" s="5" t="str">
        <x:v>UI-081</x:v>
      </x:c>
      <x:c r="B132" s="5" t="str">
        <x:v>KRDS UI/UX</x:v>
      </x:c>
      <x:c r="C132" s="5" t="str">
        <x:v>UI 서비스 패턴</x:v>
      </x:c>
      <x:c r="D132" s="5" t="str">
        <x:v>로그인 기능 찾기</x:v>
      </x:c>
      <x:c r="E132" s="5" t="str">
        <x:v>로그인 진입을 일관되게 제공</x:v>
      </x:c>
      <x:c r="F132" s="5" t="str">
        <x:v>SRC-001</x:v>
      </x:c>
      <x:c r="G132" s="5" t="str">
        <x:v>2025.08</x:v>
      </x:c>
      <x:c r="H132" s="5" t="str">
        <x:v>서비스 패턴 / 로그인 / 로그인 기능 찾기</x:v>
      </x:c>
      <x:c r="I132" s="5" t="str">
        <x:v>980-987</x:v>
      </x:c>
      <x:c r="J132" s="5" t="str">
        <x:v>회사 채택안; 원문 의무수준과 별도 관리</x:v>
      </x:c>
      <x:c r="K132" s="5" t="str">
        <x:v>원문 등급 별도 확인</x:v>
      </x:c>
      <x:c r="L132" s="5" t="str">
        <x:v>MUST(안)</x:v>
      </x:c>
      <x:c r="M132" s="10" t="str">
        <x:v>적용</x:v>
      </x:c>
      <x:c r="N132" s="5" t="str">
        <x:v>업무요청 웹 샘플에 채택하는 회사 기준. 실제 이행은 구현 후 판정.</x:v>
      </x:c>
      <x:c r="O132" s="5" t="str">
        <x:v>관련 기능·적용 기관·계약 변경 시 재평가</x:v>
      </x:c>
      <x:c r="P132" s="5" t="str">
        <x:v>S01, S05</x:v>
      </x:c>
      <x:c r="Q132" s="5" t="str">
        <x:v>헤더 로그인/사용자 메뉴와 보호화면 진입 안내</x:v>
      </x:c>
      <x:c r="R132" s="5" t="str">
        <x:v>비로그인·로그인 상태의 진입수단 확인</x:v>
      </x:c>
      <x:c r="S132" s="10" t="str">
        <x:v>자동+수동</x:v>
      </x:c>
      <x:c r="T132" s="5" t="str">
        <x:v>UX·개발·QA</x:v>
      </x:c>
      <x:c r="U132" s="5" t="str">
        <x:v>P1</x:v>
      </x:c>
      <x:c r="V132" s="10" t="str">
        <x:v>구현</x:v>
      </x:c>
      <x:c r="W132" s="5" t="str">
        <x:v>회사 샘플임을 표시하고 로그인 계정·권한 범위, 요청 절차·유형·필수자료·민감정보 금지·첨부 제한을 실행 전에 안내한다.</x:v>
      </x:c>
      <x:c r="X132" s="5" t="str">
        <x:v>apps/web/src/App.tsx#App
apps/web/src/App.tsx#Login
apps/web/src/App.tsx#Help
apps/web/src/App.tsx#RequestWizard</x:v>
      </x:c>
      <x:c r="Y132" s="5" t="str">
        <x:v>SCREEN-LOGIN
MAN-UI-081</x:v>
      </x:c>
      <x:c r="Z132" s="10" t="str">
        <x:v>미실행</x:v>
      </x:c>
      <x:c r="AA132" s="10" t="str">
        <x:v>미실행</x:v>
      </x:c>
      <x:c r="AB132" s="5" t="str">
        <x:v>SCREEN-LOGIN-2026-10-20T06-15-00-647Z</x:v>
      </x:c>
      <x:c r="AC132" s="5" t="n">
        <x:v>1</x:v>
      </x:c>
      <x:c r="AD132" s="5" t="n">
        <x:v>2</x:v>
      </x:c>
      <x:c r="AE132" s="10" t="str">
        <x:v>부분확인</x:v>
      </x:c>
      <x:c r="AF132" s="5" t="str"/>
      <x:c r="AG132" s="5" t="str"/>
      <x:c r="AH132" s="5" t="str"/>
      <x:c r="AI132" s="10" t="str">
        <x:v>재확인필요</x:v>
      </x:c>
      <x:c r="AJ132" s="5" t="str">
        <x:f>IF(AND(M132="적용",V132="구현",X132&lt;&gt;"",Y132&lt;&gt;"",AB132&lt;&gt;"",AC132&gt;0,AD132&gt;0,AE132="통과",AF132="",AG132&lt;&gt;"",AH132&lt;&gt;"",OR(S132="자동",S132="수동",S132="자동+수동"),IF(OR(S132="자동",S132="자동+수동"),Z132="통과",TRUE),IF(OR(S132="수동",S132="자동+수동"),AA132="통과",TRUE)),"통과",IF(OR(Z132="실패",AA132="실패",AE132="실패"),"실패","보류"))</x:f>
        <x:v>보류</x:v>
      </x:c>
      <x:c r="AK132" s="5" t="str">
        <x:v>KRDS-SEC-085</x:v>
      </x:c>
      <x:c r="AL132" s="5" t="str"/>
      <x:c r="AM132" s="5" t="str">
        <x:v>입력 v0.1 계획 주석은 original_plan_note에 보존. 최신 구현·시험·증빙은 연결 적용기록을 참조하며 전체 준수·인증을 주장하지 않음.</x:v>
      </x:c>
    </x:row>
    <x:row r="133" ht="52.79999923706055" hidden="0" customHeight="1">
      <x:c r="A133" s="5" t="str">
        <x:v>UI-082</x:v>
      </x:c>
      <x:c r="B133" s="5" t="str">
        <x:v>KRDS UI/UX</x:v>
      </x:c>
      <x:c r="C133" s="5" t="str">
        <x:v>UI 서비스 패턴</x:v>
      </x:c>
      <x:c r="D133" s="5" t="str">
        <x:v>로그인 안내</x:v>
      </x:c>
      <x:c r="E133" s="5" t="str">
        <x:v>인증 목적과 이용 범위를 사전 안내</x:v>
      </x:c>
      <x:c r="F133" s="5" t="str">
        <x:v>SRC-001</x:v>
      </x:c>
      <x:c r="G133" s="5" t="str">
        <x:v>2025.08</x:v>
      </x:c>
      <x:c r="H133" s="5" t="str">
        <x:v>서비스 패턴 / 로그인 / 로그인 안내</x:v>
      </x:c>
      <x:c r="I133" s="5" t="str">
        <x:v>988-997</x:v>
      </x:c>
      <x:c r="J133" s="5" t="str">
        <x:v>회사 채택안; 원문 의무수준과 별도 관리</x:v>
      </x:c>
      <x:c r="K133" s="5" t="str">
        <x:v>원문 등급 별도 확인</x:v>
      </x:c>
      <x:c r="L133" s="5" t="str">
        <x:v>MUST(안)</x:v>
      </x:c>
      <x:c r="M133" s="10" t="str">
        <x:v>적용</x:v>
      </x:c>
      <x:c r="N133" s="5" t="str">
        <x:v>업무요청 웹 샘플에 채택하는 회사 기준. 실제 이행은 구현 후 판정.</x:v>
      </x:c>
      <x:c r="O133" s="5" t="str">
        <x:v>관련 기능·적용 기관·계약 변경 시 재평가</x:v>
      </x:c>
      <x:c r="P133" s="5" t="str">
        <x:v>S01, S05</x:v>
      </x:c>
      <x:c r="Q133" s="5" t="str">
        <x:v>데모 계정·역할·로그인이 필요한 기능을 명시</x:v>
      </x:c>
      <x:c r="R133" s="5" t="str">
        <x:v>설명과 실제 권한 범위의 일치 검토</x:v>
      </x:c>
      <x:c r="S133" s="10" t="str">
        <x:v>자동+수동</x:v>
      </x:c>
      <x:c r="T133" s="5" t="str">
        <x:v>UX·개발·QA</x:v>
      </x:c>
      <x:c r="U133" s="5" t="str">
        <x:v>P1</x:v>
      </x:c>
      <x:c r="V133" s="10" t="str">
        <x:v>구현</x:v>
      </x:c>
      <x:c r="W133" s="5" t="str">
        <x:v>회사 샘플임을 표시하고 로그인 계정·권한 범위, 요청 절차·유형·필수자료·민감정보 금지·첨부 제한을 실행 전에 안내한다.</x:v>
      </x:c>
      <x:c r="X133" s="5" t="str">
        <x:v>apps/web/src/App.tsx#App
apps/web/src/App.tsx#Login
apps/web/src/App.tsx#Help
apps/web/src/App.tsx#RequestWizard</x:v>
      </x:c>
      <x:c r="Y133" s="5" t="str">
        <x:v>SCREEN-LOGIN
MAN-UI-082</x:v>
      </x:c>
      <x:c r="Z133" s="10" t="str">
        <x:v>미실행</x:v>
      </x:c>
      <x:c r="AA133" s="10" t="str">
        <x:v>미실행</x:v>
      </x:c>
      <x:c r="AB133" s="5" t="str">
        <x:v>SCREEN-LOGIN-2026-10-20T06-15-00-647Z</x:v>
      </x:c>
      <x:c r="AC133" s="5" t="n">
        <x:v>1</x:v>
      </x:c>
      <x:c r="AD133" s="5" t="n">
        <x:v>2</x:v>
      </x:c>
      <x:c r="AE133" s="10" t="str">
        <x:v>부분확인</x:v>
      </x:c>
      <x:c r="AF133" s="5" t="str"/>
      <x:c r="AG133" s="5" t="str"/>
      <x:c r="AH133" s="5" t="str"/>
      <x:c r="AI133" s="10" t="str">
        <x:v>재확인필요</x:v>
      </x:c>
      <x:c r="AJ133" s="5" t="str">
        <x:f>IF(AND(M133="적용",V133="구현",X133&lt;&gt;"",Y133&lt;&gt;"",AB133&lt;&gt;"",AC133&gt;0,AD133&gt;0,AE133="통과",AF133="",AG133&lt;&gt;"",AH133&lt;&gt;"",OR(S133="자동",S133="수동",S133="자동+수동"),IF(OR(S133="자동",S133="자동+수동"),Z133="통과",TRUE),IF(OR(S133="수동",S133="자동+수동"),AA133="통과",TRUE)),"통과",IF(OR(Z133="실패",AA133="실패",AE133="실패"),"실패","보류"))</x:f>
        <x:v>보류</x:v>
      </x:c>
      <x:c r="AK133" s="5" t="str">
        <x:v>KRDS-SEC-086</x:v>
      </x:c>
      <x:c r="AL133" s="5" t="str"/>
      <x:c r="AM133" s="5" t="str">
        <x:v>입력 v0.1 계획 주석은 original_plan_note에 보존. 최신 구현·시험·증빙은 연결 적용기록을 참조하며 전체 준수·인증을 주장하지 않음.</x:v>
      </x:c>
    </x:row>
    <x:row r="134" ht="26.399999618530273" hidden="0" customHeight="1">
      <x:c r="A134" s="5" t="str">
        <x:v>UI-083</x:v>
      </x:c>
      <x:c r="B134" s="5" t="str">
        <x:v>KRDS UI/UX</x:v>
      </x:c>
      <x:c r="C134" s="5" t="str">
        <x:v>UI 서비스 패턴</x:v>
      </x:c>
      <x:c r="D134" s="5" t="str">
        <x:v>로그인 방식 확인·선택</x:v>
      </x:c>
      <x:c r="E134" s="5" t="str">
        <x:v>인증방식을 사용자 용어로 설명</x:v>
      </x:c>
      <x:c r="F134" s="5" t="str">
        <x:v>SRC-001</x:v>
      </x:c>
      <x:c r="G134" s="5" t="str">
        <x:v>2025.08</x:v>
      </x:c>
      <x:c r="H134" s="5" t="str">
        <x:v>서비스 패턴 / 로그인 / 로그인 방식 확인·선택</x:v>
      </x:c>
      <x:c r="I134" s="5" t="str">
        <x:v>998-1013</x:v>
      </x:c>
      <x:c r="J134" s="5" t="str">
        <x:v>회사 채택안; 원문 의무수준과 별도 관리</x:v>
      </x:c>
      <x:c r="K134" s="5" t="str">
        <x:v>원문 등급 별도 확인</x:v>
      </x:c>
      <x:c r="L134" s="5" t="str">
        <x:v>MUST(안)</x:v>
      </x:c>
      <x:c r="M134" s="10" t="str">
        <x:v>조건부</x:v>
      </x:c>
      <x:c r="N134" s="5" t="str">
        <x:v>해당 기능 또는 서비스 조건이 실제 범위에 포함될 때 적용.</x:v>
      </x:c>
      <x:c r="O134" s="5" t="str">
        <x:v>해당 기능 또는 서비스 조건이 실제 범위에 포함될 때 적용.</x:v>
      </x:c>
      <x:c r="P134" s="5" t="str">
        <x:v>S01, S05</x:v>
      </x:c>
      <x:c r="Q134" s="5" t="str">
        <x:v>기본 샘플은 로컬 계정 하나로 시작; 여러 방식 추가 시 목적·사용절차 기준으로 설명</x:v>
      </x:c>
      <x:c r="R134" s="5" t="str">
        <x:v>복수 인증 도입 시 방식별 제약·도움말·접근성 확인</x:v>
      </x:c>
      <x:c r="S134" s="10" t="str">
        <x:v>자동+수동</x:v>
      </x:c>
      <x:c r="T134" s="5" t="str">
        <x:v>UX·개발·QA</x:v>
      </x:c>
      <x:c r="U134" s="5" t="str">
        <x:v>P1</x:v>
      </x:c>
      <x:c r="V134" s="10" t="str">
        <x:v>진행</x:v>
      </x:c>
      <x:c r="W134" s="5" t="str">
        <x:v>실제 연동된 이메일/비밀번호 방식만 한 가지 제공한다. 다중 인증방식의 목록 배치는 기능이 추가되면 검토한다.</x:v>
      </x:c>
      <x:c r="X134" s="5" t="str">
        <x:v>apps/web/src/App.tsx#Login</x:v>
      </x:c>
      <x:c r="Y134" s="5" t="str">
        <x:v>MAN-UI-083</x:v>
      </x:c>
      <x:c r="Z134" s="10" t="str">
        <x:v>미실행</x:v>
      </x:c>
      <x:c r="AA134" s="10" t="str">
        <x:v>미실행</x:v>
      </x:c>
      <x:c r="AB134" s="5" t="str"/>
      <x:c r="AC134" s="5" t="n">
        <x:v>0</x:v>
      </x:c>
      <x:c r="AD134" s="5" t="n">
        <x:v>1</x:v>
      </x:c>
      <x:c r="AE134" s="10" t="str">
        <x:v>미실행</x:v>
      </x:c>
      <x:c r="AF134" s="5" t="str"/>
      <x:c r="AG134" s="5" t="str"/>
      <x:c r="AH134" s="5" t="str"/>
      <x:c r="AI134" s="10" t="str">
        <x:v>재확인필요</x:v>
      </x:c>
      <x:c r="AJ134" s="5" t="str">
        <x:f>IF(AND(M134="적용",V134="구현",X134&lt;&gt;"",Y134&lt;&gt;"",AB134&lt;&gt;"",AC134&gt;0,AD134&gt;0,AE134="통과",AF134="",AG134&lt;&gt;"",AH134&lt;&gt;"",OR(S134="자동",S134="수동",S134="자동+수동"),IF(OR(S134="자동",S134="자동+수동"),Z134="통과",TRUE),IF(OR(S134="수동",S134="자동+수동"),AA134="통과",TRUE)),"통과",IF(OR(Z134="실패",AA134="실패",AE134="실패"),"실패","보류"))</x:f>
        <x:v>보류</x:v>
      </x:c>
      <x:c r="AK134" s="5" t="str">
        <x:v>KRDS-SEC-087</x:v>
      </x:c>
      <x:c r="AL134" s="5" t="str"/>
      <x:c r="AM134" s="5" t="str">
        <x:v>입력 v0.1 계획 주석은 original_plan_note에 보존. 최신 구현·시험·증빙은 연결 적용기록을 참조하며 전체 준수·인증을 주장하지 않음.</x:v>
      </x:c>
    </x:row>
    <x:row r="135" ht="39.599998474121094" hidden="0" customHeight="1">
      <x:c r="A135" s="5" t="str">
        <x:v>UI-084</x:v>
      </x:c>
      <x:c r="B135" s="5" t="str">
        <x:v>KRDS UI/UX</x:v>
      </x:c>
      <x:c r="C135" s="5" t="str">
        <x:v>UI 서비스 패턴</x:v>
      </x:c>
      <x:c r="D135" s="5" t="str">
        <x:v>로그인 정보 입력</x:v>
      </x:c>
      <x:c r="E135" s="5" t="str">
        <x:v>입력·붙여넣기·자동완성과 오류 안내 지원</x:v>
      </x:c>
      <x:c r="F135" s="5" t="str">
        <x:v>SRC-001</x:v>
      </x:c>
      <x:c r="G135" s="5" t="str">
        <x:v>2025.08</x:v>
      </x:c>
      <x:c r="H135" s="5" t="str">
        <x:v>서비스 패턴 / 로그인 / 로그인 정보 입력</x:v>
      </x:c>
      <x:c r="I135" s="5" t="str">
        <x:v>1014-1026</x:v>
      </x:c>
      <x:c r="J135" s="5" t="str">
        <x:v>회사 채택안; 원문 의무수준과 별도 관리</x:v>
      </x:c>
      <x:c r="K135" s="5" t="str">
        <x:v>원문 등급 별도 확인</x:v>
      </x:c>
      <x:c r="L135" s="5" t="str">
        <x:v>MUST(안)</x:v>
      </x:c>
      <x:c r="M135" s="10" t="str">
        <x:v>적용</x:v>
      </x:c>
      <x:c r="N135" s="5" t="str">
        <x:v>업무요청 웹 샘플에 채택하는 회사 기준. 실제 이행은 구현 후 판정.</x:v>
      </x:c>
      <x:c r="O135" s="5" t="str">
        <x:v>관련 기능·적용 기관·계약 변경 시 재평가</x:v>
      </x:c>
      <x:c r="P135" s="5" t="str">
        <x:v>S01, S05</x:v>
      </x:c>
      <x:c r="Q135" s="5" t="str">
        <x:v>아이디/암호 label·자동완성·암호 표시 전환, 붙여넣기 허용</x:v>
      </x:c>
      <x:c r="R135" s="5" t="str">
        <x:v>키보드·암호관리자·실패 메시지·재시도 확인</x:v>
      </x:c>
      <x:c r="S135" s="10" t="str">
        <x:v>자동+수동</x:v>
      </x:c>
      <x:c r="T135" s="5" t="str">
        <x:v>UX·개발·QA</x:v>
      </x:c>
      <x:c r="U135" s="5" t="str">
        <x:v>P1</x:v>
      </x:c>
      <x:c r="V135" s="10" t="str">
        <x:v>구현</x:v>
      </x:c>
      <x:c r="W135" s="5" t="str">
        <x:v>계정 이메일·비밀번호만 입력하고 autocomplete=username/current-password를 제공한다. 붙여넣기·비밀번호 관리자를 차단하지 않으며 기억·계산 CAPTCHA를 요구하지 않는다.</x:v>
      </x:c>
      <x:c r="X135" s="5" t="str">
        <x:v>apps/web/src/App.tsx#Login</x:v>
      </x:c>
      <x:c r="Y135" s="5" t="str">
        <x:v>E2E-WORKFLOW
SCREEN-LOGIN
MAN-UI-084</x:v>
      </x:c>
      <x:c r="Z135" s="10" t="str">
        <x:v>부분확인</x:v>
      </x:c>
      <x:c r="AA135" s="10" t="str">
        <x:v>미실행</x:v>
      </x:c>
      <x:c r="AB135" s="5" t="str">
        <x:v>E2E-WORKFLOW-2026-10-20T06-15-00-647Z
SCREEN-LOGIN-2026-10-20T06-15-00-647Z</x:v>
      </x:c>
      <x:c r="AC135" s="5" t="n">
        <x:v>2</x:v>
      </x:c>
      <x:c r="AD135" s="5" t="n">
        <x:v>3</x:v>
      </x:c>
      <x:c r="AE135" s="10" t="str">
        <x:v>부분확인</x:v>
      </x:c>
      <x:c r="AF135" s="5" t="str"/>
      <x:c r="AG135" s="5" t="str"/>
      <x:c r="AH135" s="5" t="str"/>
      <x:c r="AI135" s="10" t="str">
        <x:v>재확인필요</x:v>
      </x:c>
      <x:c r="AJ135" s="5" t="str">
        <x:f>IF(AND(M135="적용",V135="구현",X135&lt;&gt;"",Y135&lt;&gt;"",AB135&lt;&gt;"",AC135&gt;0,AD135&gt;0,AE135="통과",AF135="",AG135&lt;&gt;"",AH135&lt;&gt;"",OR(S135="자동",S135="수동",S135="자동+수동"),IF(OR(S135="자동",S135="자동+수동"),Z135="통과",TRUE),IF(OR(S135="수동",S135="자동+수동"),AA135="통과",TRUE)),"통과",IF(OR(Z135="실패",AA135="실패",AE135="실패"),"실패","보류"))</x:f>
        <x:v>보류</x:v>
      </x:c>
      <x:c r="AK135" s="5" t="str">
        <x:v>KRDS-SEC-088</x:v>
      </x:c>
      <x:c r="AL135" s="5" t="str"/>
      <x:c r="AM135" s="5" t="str">
        <x:v>입력 v0.1 계획 주석은 original_plan_note에 보존. 최신 구현·시험·증빙은 연결 적용기록을 참조하며 전체 준수·인증을 주장하지 않음.</x:v>
      </x:c>
    </x:row>
    <x:row r="136" ht="39.599998474121094" hidden="0" customHeight="1">
      <x:c r="A136" s="5" t="str">
        <x:v>UI-085</x:v>
      </x:c>
      <x:c r="B136" s="5" t="str">
        <x:v>KRDS UI/UX</x:v>
      </x:c>
      <x:c r="C136" s="5" t="str">
        <x:v>UI 서비스 패턴</x:v>
      </x:c>
      <x:c r="D136" s="5" t="str">
        <x:v>로그인 완료</x:v>
      </x:c>
      <x:c r="E136" s="5" t="str">
        <x:v>로그인 결과와 다음 이동을 분명히 함</x:v>
      </x:c>
      <x:c r="F136" s="5" t="str">
        <x:v>SRC-001</x:v>
      </x:c>
      <x:c r="G136" s="5" t="str">
        <x:v>2025.08</x:v>
      </x:c>
      <x:c r="H136" s="5" t="str">
        <x:v>서비스 패턴 / 로그인 / 로그인 완료</x:v>
      </x:c>
      <x:c r="I136" s="5" t="str">
        <x:v>1027-1033</x:v>
      </x:c>
      <x:c r="J136" s="5" t="str">
        <x:v>회사 채택안; 원문 의무수준과 별도 관리</x:v>
      </x:c>
      <x:c r="K136" s="5" t="str">
        <x:v>원문 등급 별도 확인</x:v>
      </x:c>
      <x:c r="L136" s="5" t="str">
        <x:v>MUST(안)</x:v>
      </x:c>
      <x:c r="M136" s="10" t="str">
        <x:v>적용</x:v>
      </x:c>
      <x:c r="N136" s="5" t="str">
        <x:v>업무요청 웹 샘플에 채택하는 회사 기준. 실제 이행은 구현 후 판정.</x:v>
      </x:c>
      <x:c r="O136" s="5" t="str">
        <x:v>관련 기능·적용 기관·계약 변경 시 재평가</x:v>
      </x:c>
      <x:c r="P136" s="5" t="str">
        <x:v>S01, S05</x:v>
      </x:c>
      <x:c r="Q136" s="5" t="str">
        <x:v>사용자·역할 상태를 알리고 원래 요청한 화면으로 이동</x:v>
      </x:c>
      <x:c r="R136" s="5" t="str">
        <x:v>리다이렉트·포커스·권한별 화면 확인</x:v>
      </x:c>
      <x:c r="S136" s="10" t="str">
        <x:v>자동+수동</x:v>
      </x:c>
      <x:c r="T136" s="5" t="str">
        <x:v>UX·개발·QA</x:v>
      </x:c>
      <x:c r="U136" s="5" t="str">
        <x:v>P1</x:v>
      </x:c>
      <x:c r="V136" s="10" t="str">
        <x:v>구현</x:v>
      </x:c>
      <x:c r="W136" s="5" t="str">
        <x:v>실제 서버 로그인 응답을 검증한 뒤 사용자 이름·역할·업무 현황을 표시한다. 인증 성공 후 새 CSRF 토큰을 발급받는다.</x:v>
      </x:c>
      <x:c r="X136" s="5" t="str">
        <x:v>apps/web/src/App.tsx#App
apps/web/src/App.tsx#Login
apps/web/src/App.tsx#Dashboard</x:v>
      </x:c>
      <x:c r="Y136" s="5" t="str">
        <x:v>E2E-WORKFLOW
MAN-UI-085</x:v>
      </x:c>
      <x:c r="Z136" s="10" t="str">
        <x:v>부분확인</x:v>
      </x:c>
      <x:c r="AA136" s="10" t="str">
        <x:v>미실행</x:v>
      </x:c>
      <x:c r="AB136" s="5" t="str">
        <x:v>E2E-WORKFLOW-2026-10-20T06-15-00-647Z</x:v>
      </x:c>
      <x:c r="AC136" s="5" t="n">
        <x:v>1</x:v>
      </x:c>
      <x:c r="AD136" s="5" t="n">
        <x:v>2</x:v>
      </x:c>
      <x:c r="AE136" s="10" t="str">
        <x:v>부분확인</x:v>
      </x:c>
      <x:c r="AF136" s="5" t="str"/>
      <x:c r="AG136" s="5" t="str"/>
      <x:c r="AH136" s="5" t="str"/>
      <x:c r="AI136" s="10" t="str">
        <x:v>재확인필요</x:v>
      </x:c>
      <x:c r="AJ136" s="5" t="str">
        <x:f>IF(AND(M136="적용",V136="구현",X136&lt;&gt;"",Y136&lt;&gt;"",AB136&lt;&gt;"",AC136&gt;0,AD136&gt;0,AE136="통과",AF136="",AG136&lt;&gt;"",AH136&lt;&gt;"",OR(S136="자동",S136="수동",S136="자동+수동"),IF(OR(S136="자동",S136="자동+수동"),Z136="통과",TRUE),IF(OR(S136="수동",S136="자동+수동"),AA136="통과",TRUE)),"통과",IF(OR(Z136="실패",AA136="실패",AE136="실패"),"실패","보류"))</x:f>
        <x:v>보류</x:v>
      </x:c>
      <x:c r="AK136" s="5" t="str">
        <x:v>KRDS-SEC-089</x:v>
      </x:c>
      <x:c r="AL136" s="5" t="str"/>
      <x:c r="AM136" s="5" t="str">
        <x:v>입력 v0.1 계획 주석은 original_plan_note에 보존. 최신 구현·시험·증빙은 연결 적용기록을 참조하며 전체 준수·인증을 주장하지 않음.</x:v>
      </x:c>
    </x:row>
    <x:row r="137" ht="26.399999618530273" hidden="0" customHeight="1">
      <x:c r="A137" s="5" t="str">
        <x:v>UI-086</x:v>
      </x:c>
      <x:c r="B137" s="5" t="str">
        <x:v>KRDS UI/UX</x:v>
      </x:c>
      <x:c r="C137" s="5" t="str">
        <x:v>UI 서비스 패턴</x:v>
      </x:c>
      <x:c r="D137" s="5" t="str">
        <x:v>서비스 이용</x:v>
      </x:c>
      <x:c r="E137" s="5" t="str">
        <x:v>세션 상태와 만료·연장 안내</x:v>
      </x:c>
      <x:c r="F137" s="5" t="str">
        <x:v>SRC-001</x:v>
      </x:c>
      <x:c r="G137" s="5" t="str">
        <x:v>2025.08</x:v>
      </x:c>
      <x:c r="H137" s="5" t="str">
        <x:v>서비스 패턴 / 로그인 / 서비스 이용</x:v>
      </x:c>
      <x:c r="I137" s="5" t="str">
        <x:v>1034-1042</x:v>
      </x:c>
      <x:c r="J137" s="5" t="str">
        <x:v>회사 채택안; 원문 의무수준과 별도 관리</x:v>
      </x:c>
      <x:c r="K137" s="5" t="str">
        <x:v>원문 등급 별도 확인</x:v>
      </x:c>
      <x:c r="L137" s="5" t="str">
        <x:v>MUST(안)</x:v>
      </x:c>
      <x:c r="M137" s="10" t="str">
        <x:v>적용</x:v>
      </x:c>
      <x:c r="N137" s="5" t="str">
        <x:v>업무요청 웹 샘플에 채택하는 회사 기준. 실제 이행은 구현 후 판정.</x:v>
      </x:c>
      <x:c r="O137" s="5" t="str">
        <x:v>관련 기능·적용 기관·계약 변경 시 재평가</x:v>
      </x:c>
      <x:c r="P137" s="5" t="str">
        <x:v>S01, S05</x:v>
      </x:c>
      <x:c r="Q137" s="5" t="str">
        <x:v>세션 만료 전 경고·연장·입력 보존 계획 적용</x:v>
      </x:c>
      <x:c r="R137" s="5" t="str">
        <x:v>타임아웃·연장·재로그인 후 작업 복구 확인</x:v>
      </x:c>
      <x:c r="S137" s="10" t="str">
        <x:v>자동+수동</x:v>
      </x:c>
      <x:c r="T137" s="5" t="str">
        <x:v>UX·개발·QA</x:v>
      </x:c>
      <x:c r="U137" s="5" t="str">
        <x:v>P1</x:v>
      </x:c>
      <x:c r="V137" s="10" t="str">
        <x:v>구현</x:v>
      </x:c>
      <x:c r="W137" s="5" t="str">
        <x:v>서버 expiresAt를 기준으로 남은 시간을 계산하고 기본60초 전 dialog 경고, 남은초, 연장/로그아웃을 제공한다. 연장 응답으로 타이머를 갱신하며 서버는 연장횟수를 제한하지 않는다.</x:v>
      </x:c>
      <x:c r="X137" s="5" t="str">
        <x:v>apps/web/src/App.tsx#App
apps/web/src/ui.tsx#Modal</x:v>
      </x:c>
      <x:c r="Y137" s="5" t="str">
        <x:v>MAN-UI-086</x:v>
      </x:c>
      <x:c r="Z137" s="10" t="str">
        <x:v>미실행</x:v>
      </x:c>
      <x:c r="AA137" s="10" t="str">
        <x:v>미실행</x:v>
      </x:c>
      <x:c r="AB137" s="5" t="str"/>
      <x:c r="AC137" s="5" t="n">
        <x:v>0</x:v>
      </x:c>
      <x:c r="AD137" s="5" t="n">
        <x:v>1</x:v>
      </x:c>
      <x:c r="AE137" s="10" t="str">
        <x:v>미실행</x:v>
      </x:c>
      <x:c r="AF137" s="5" t="str"/>
      <x:c r="AG137" s="5" t="str"/>
      <x:c r="AH137" s="5" t="str"/>
      <x:c r="AI137" s="10" t="str">
        <x:v>재확인필요</x:v>
      </x:c>
      <x:c r="AJ137" s="5" t="str">
        <x:f>IF(AND(M137="적용",V137="구현",X137&lt;&gt;"",Y137&lt;&gt;"",AB137&lt;&gt;"",AC137&gt;0,AD137&gt;0,AE137="통과",AF137="",AG137&lt;&gt;"",AH137&lt;&gt;"",OR(S137="자동",S137="수동",S137="자동+수동"),IF(OR(S137="자동",S137="자동+수동"),Z137="통과",TRUE),IF(OR(S137="수동",S137="자동+수동"),AA137="통과",TRUE)),"통과",IF(OR(Z137="실패",AA137="실패",AE137="실패"),"실패","보류"))</x:f>
        <x:v>보류</x:v>
      </x:c>
      <x:c r="AK137" s="5" t="str">
        <x:v>KRDS-SEC-090</x:v>
      </x:c>
      <x:c r="AL137" s="5" t="str"/>
      <x:c r="AM137" s="5" t="str">
        <x:v>입력 v0.1 계획 주석은 original_plan_note에 보존. 최신 구현·시험·증빙은 연결 적용기록을 참조하며 전체 준수·인증을 주장하지 않음.</x:v>
      </x:c>
    </x:row>
    <x:row r="138" ht="26.399999618530273" hidden="0" customHeight="1">
      <x:c r="A138" s="5" t="str">
        <x:v>UI-087</x:v>
      </x:c>
      <x:c r="B138" s="5" t="str">
        <x:v>KRDS UI/UX</x:v>
      </x:c>
      <x:c r="C138" s="5" t="str">
        <x:v>UI 서비스 패턴</x:v>
      </x:c>
      <x:c r="D138" s="5" t="str">
        <x:v>로그아웃</x:v>
      </x:c>
      <x:c r="E138" s="5" t="str">
        <x:v>명확한 종료와 보호 데이터 처리</x:v>
      </x:c>
      <x:c r="F138" s="5" t="str">
        <x:v>SRC-001</x:v>
      </x:c>
      <x:c r="G138" s="5" t="str">
        <x:v>2025.08</x:v>
      </x:c>
      <x:c r="H138" s="5" t="str">
        <x:v>서비스 패턴 / 로그인 / 로그아웃</x:v>
      </x:c>
      <x:c r="I138" s="5" t="str">
        <x:v>1043-1051</x:v>
      </x:c>
      <x:c r="J138" s="5" t="str">
        <x:v>회사 채택안; 원문 의무수준과 별도 관리</x:v>
      </x:c>
      <x:c r="K138" s="5" t="str">
        <x:v>원문 등급 별도 확인</x:v>
      </x:c>
      <x:c r="L138" s="5" t="str">
        <x:v>MUST(안)</x:v>
      </x:c>
      <x:c r="M138" s="10" t="str">
        <x:v>적용</x:v>
      </x:c>
      <x:c r="N138" s="5" t="str">
        <x:v>업무요청 웹 샘플에 채택하는 회사 기준. 실제 이행은 구현 후 판정.</x:v>
      </x:c>
      <x:c r="O138" s="5" t="str">
        <x:v>관련 기능·적용 기관·계약 변경 시 재평가</x:v>
      </x:c>
      <x:c r="P138" s="5" t="str">
        <x:v>S01, S05</x:v>
      </x:c>
      <x:c r="Q138" s="5" t="str">
        <x:v>로그아웃 수단·완료안내, 서버 세션 종료 및 보호화면 접근 제한</x:v>
      </x:c>
      <x:c r="R138" s="5" t="str">
        <x:v>로그아웃 뒤 뒤로가기·API 재요청 시 권한 확인</x:v>
      </x:c>
      <x:c r="S138" s="10" t="str">
        <x:v>자동+수동</x:v>
      </x:c>
      <x:c r="T138" s="5" t="str">
        <x:v>UX·개발·QA</x:v>
      </x:c>
      <x:c r="U138" s="5" t="str">
        <x:v>P1</x:v>
      </x:c>
      <x:c r="V138" s="10" t="str">
        <x:v>구현</x:v>
      </x:c>
      <x:c r="W138" s="5" t="str">
        <x:v>서버 logout 성공 후 인증 상태와 요청 작성 메모리를 지우고 초기 화면과 완료 안내를 표시한다.</x:v>
      </x:c>
      <x:c r="X138" s="5" t="str">
        <x:v>apps/web/src/App.tsx#App
apps/web/src/api.ts#api</x:v>
      </x:c>
      <x:c r="Y138" s="5" t="str">
        <x:v>MAN-UI-087</x:v>
      </x:c>
      <x:c r="Z138" s="10" t="str">
        <x:v>미실행</x:v>
      </x:c>
      <x:c r="AA138" s="10" t="str">
        <x:v>미실행</x:v>
      </x:c>
      <x:c r="AB138" s="5" t="str"/>
      <x:c r="AC138" s="5" t="n">
        <x:v>0</x:v>
      </x:c>
      <x:c r="AD138" s="5" t="n">
        <x:v>1</x:v>
      </x:c>
      <x:c r="AE138" s="10" t="str">
        <x:v>미실행</x:v>
      </x:c>
      <x:c r="AF138" s="5" t="str"/>
      <x:c r="AG138" s="5" t="str"/>
      <x:c r="AH138" s="5" t="str"/>
      <x:c r="AI138" s="10" t="str">
        <x:v>재확인필요</x:v>
      </x:c>
      <x:c r="AJ138" s="5" t="str">
        <x:f>IF(AND(M138="적용",V138="구현",X138&lt;&gt;"",Y138&lt;&gt;"",AB138&lt;&gt;"",AC138&gt;0,AD138&gt;0,AE138="통과",AF138="",AG138&lt;&gt;"",AH138&lt;&gt;"",OR(S138="자동",S138="수동",S138="자동+수동"),IF(OR(S138="자동",S138="자동+수동"),Z138="통과",TRUE),IF(OR(S138="수동",S138="자동+수동"),AA138="통과",TRUE)),"통과",IF(OR(Z138="실패",AA138="실패",AE138="실패"),"실패","보류"))</x:f>
        <x:v>보류</x:v>
      </x:c>
      <x:c r="AK138" s="5" t="str">
        <x:v>KRDS-SEC-091</x:v>
      </x:c>
      <x:c r="AL138" s="5" t="str"/>
      <x:c r="AM138" s="5" t="str">
        <x:v>입력 v0.1 계획 주석은 original_plan_note에 보존. 최신 구현·시험·증빙은 연결 적용기록을 참조하며 전체 준수·인증을 주장하지 않음.</x:v>
      </x:c>
    </x:row>
    <x:row r="139" ht="52.79999923706055" hidden="0" customHeight="1">
      <x:c r="A139" s="5" t="str">
        <x:v>UI-088</x:v>
      </x:c>
      <x:c r="B139" s="5" t="str">
        <x:v>KRDS UI/UX</x:v>
      </x:c>
      <x:c r="C139" s="5" t="str">
        <x:v>UI 서비스 패턴</x:v>
      </x:c>
      <x:c r="D139" s="5" t="str">
        <x:v>신청 대상 탐색</x:v>
      </x:c>
      <x:c r="E139" s="5" t="str">
        <x:v>적절한 요청 유형을 찾도록 안내</x:v>
      </x:c>
      <x:c r="F139" s="5" t="str">
        <x:v>SRC-001</x:v>
      </x:c>
      <x:c r="G139" s="5" t="str">
        <x:v>2025.08</x:v>
      </x:c>
      <x:c r="H139" s="5" t="str">
        <x:v>서비스 패턴 / 신청 / 신청 대상 탐색</x:v>
      </x:c>
      <x:c r="I139" s="5" t="str">
        <x:v>1055-1068</x:v>
      </x:c>
      <x:c r="J139" s="5" t="str">
        <x:v>회사 채택안; 원문 의무수준과 별도 관리</x:v>
      </x:c>
      <x:c r="K139" s="5" t="str">
        <x:v>원문 등급 별도 확인</x:v>
      </x:c>
      <x:c r="L139" s="5" t="str">
        <x:v>MUST(안)</x:v>
      </x:c>
      <x:c r="M139" s="10" t="str">
        <x:v>적용</x:v>
      </x:c>
      <x:c r="N139" s="5" t="str">
        <x:v>업무요청 웹 샘플에 채택하는 회사 기준. 실제 이행은 구현 후 판정.</x:v>
      </x:c>
      <x:c r="O139" s="5" t="str">
        <x:v>관련 기능·적용 기관·계약 변경 시 재평가</x:v>
      </x:c>
      <x:c r="P139" s="5" t="str">
        <x:v>S05</x:v>
      </x:c>
      <x:c r="Q139" s="5" t="str">
        <x:v>업무 요청 유형·설명·대상·담당부서를 제시</x:v>
      </x:c>
      <x:c r="R139" s="5" t="str">
        <x:v>검색/목록에서 적합한 업무 선택 과업</x:v>
      </x:c>
      <x:c r="S139" s="10" t="str">
        <x:v>자동+수동</x:v>
      </x:c>
      <x:c r="T139" s="5" t="str">
        <x:v>UX·개발·QA</x:v>
      </x:c>
      <x:c r="U139" s="5" t="str">
        <x:v>P1</x:v>
      </x:c>
      <x:c r="V139" s="10" t="str">
        <x:v>구현</x:v>
      </x:c>
      <x:c r="W139" s="5" t="str">
        <x:v>회사 샘플임을 표시하고 로그인 계정·권한 범위, 요청 절차·유형·필수자료·민감정보 금지·첨부 제한을 실행 전에 안내한다.</x:v>
      </x:c>
      <x:c r="X139" s="5" t="str">
        <x:v>apps/web/src/App.tsx#App
apps/web/src/App.tsx#Login
apps/web/src/App.tsx#Help
apps/web/src/App.tsx#RequestWizard</x:v>
      </x:c>
      <x:c r="Y139" s="5" t="str">
        <x:v>MAN-UI-088</x:v>
      </x:c>
      <x:c r="Z139" s="10" t="str">
        <x:v>미실행</x:v>
      </x:c>
      <x:c r="AA139" s="10" t="str">
        <x:v>미실행</x:v>
      </x:c>
      <x:c r="AB139" s="5" t="str"/>
      <x:c r="AC139" s="5" t="n">
        <x:v>0</x:v>
      </x:c>
      <x:c r="AD139" s="5" t="n">
        <x:v>1</x:v>
      </x:c>
      <x:c r="AE139" s="10" t="str">
        <x:v>미실행</x:v>
      </x:c>
      <x:c r="AF139" s="5" t="str"/>
      <x:c r="AG139" s="5" t="str"/>
      <x:c r="AH139" s="5" t="str"/>
      <x:c r="AI139" s="10" t="str">
        <x:v>재확인필요</x:v>
      </x:c>
      <x:c r="AJ139" s="5" t="str">
        <x:f>IF(AND(M139="적용",V139="구현",X139&lt;&gt;"",Y139&lt;&gt;"",AB139&lt;&gt;"",AC139&gt;0,AD139&gt;0,AE139="통과",AF139="",AG139&lt;&gt;"",AH139&lt;&gt;"",OR(S139="자동",S139="수동",S139="자동+수동"),IF(OR(S139="자동",S139="자동+수동"),Z139="통과",TRUE),IF(OR(S139="수동",S139="자동+수동"),AA139="통과",TRUE)),"통과",IF(OR(Z139="실패",AA139="실패",AE139="실패"),"실패","보류"))</x:f>
        <x:v>보류</x:v>
      </x:c>
      <x:c r="AK139" s="5" t="str">
        <x:v>KRDS-SEC-093</x:v>
      </x:c>
      <x:c r="AL139" s="5" t="str"/>
      <x:c r="AM139" s="5" t="str">
        <x:v>입력 v0.1 계획 주석은 original_plan_note에 보존. 최신 구현·시험·증빙은 연결 적용기록을 참조하며 전체 준수·인증을 주장하지 않음.</x:v>
      </x:c>
    </x:row>
    <x:row r="140" ht="52.79999923706055" hidden="0" customHeight="1">
      <x:c r="A140" s="5" t="str">
        <x:v>UI-089</x:v>
      </x:c>
      <x:c r="B140" s="5" t="str">
        <x:v>KRDS UI/UX</x:v>
      </x:c>
      <x:c r="C140" s="5" t="str">
        <x:v>UI 서비스 패턴</x:v>
      </x:c>
      <x:c r="D140" s="5" t="str">
        <x:v>서비스 정보 확인</x:v>
      </x:c>
      <x:c r="E140" s="5" t="str">
        <x:v>신청 전에 절차·필요자료·처리정보 안내</x:v>
      </x:c>
      <x:c r="F140" s="5" t="str">
        <x:v>SRC-001</x:v>
      </x:c>
      <x:c r="G140" s="5" t="str">
        <x:v>2025.08</x:v>
      </x:c>
      <x:c r="H140" s="5" t="str">
        <x:v>서비스 패턴 / 신청 / 서비스 정보 확인</x:v>
      </x:c>
      <x:c r="I140" s="5" t="str">
        <x:v>1069-1087</x:v>
      </x:c>
      <x:c r="J140" s="5" t="str">
        <x:v>회사 채택안; 원문 의무수준과 별도 관리</x:v>
      </x:c>
      <x:c r="K140" s="5" t="str">
        <x:v>원문 등급 별도 확인</x:v>
      </x:c>
      <x:c r="L140" s="5" t="str">
        <x:v>MUST(안)</x:v>
      </x:c>
      <x:c r="M140" s="10" t="str">
        <x:v>적용</x:v>
      </x:c>
      <x:c r="N140" s="5" t="str">
        <x:v>업무요청 웹 샘플에 채택하는 회사 기준. 실제 이행은 구현 후 판정.</x:v>
      </x:c>
      <x:c r="O140" s="5" t="str">
        <x:v>관련 기능·적용 기관·계약 변경 시 재평가</x:v>
      </x:c>
      <x:c r="P140" s="5" t="str">
        <x:v>S04, S05</x:v>
      </x:c>
      <x:c r="Q140" s="5" t="str">
        <x:v>요청 작성 전 필수 입력·첨부 규격·처리흐름 안내</x:v>
      </x:c>
      <x:c r="R140" s="5" t="str">
        <x:v>실제 양식·제약과 안내문 일치 확인</x:v>
      </x:c>
      <x:c r="S140" s="10" t="str">
        <x:v>자동+수동</x:v>
      </x:c>
      <x:c r="T140" s="5" t="str">
        <x:v>UX·개발·QA</x:v>
      </x:c>
      <x:c r="U140" s="5" t="str">
        <x:v>P1</x:v>
      </x:c>
      <x:c r="V140" s="10" t="str">
        <x:v>구현</x:v>
      </x:c>
      <x:c r="W140" s="5" t="str">
        <x:v>회사 샘플임을 표시하고 로그인 계정·권한 범위, 요청 절차·유형·필수자료·민감정보 금지·첨부 제한을 실행 전에 안내한다.</x:v>
      </x:c>
      <x:c r="X140" s="5" t="str">
        <x:v>apps/web/src/App.tsx#App
apps/web/src/App.tsx#Login
apps/web/src/App.tsx#Help
apps/web/src/App.tsx#RequestWizard</x:v>
      </x:c>
      <x:c r="Y140" s="5" t="str">
        <x:v>MAN-UI-089</x:v>
      </x:c>
      <x:c r="Z140" s="10" t="str">
        <x:v>미실행</x:v>
      </x:c>
      <x:c r="AA140" s="10" t="str">
        <x:v>미실행</x:v>
      </x:c>
      <x:c r="AB140" s="5" t="str"/>
      <x:c r="AC140" s="5" t="n">
        <x:v>0</x:v>
      </x:c>
      <x:c r="AD140" s="5" t="n">
        <x:v>1</x:v>
      </x:c>
      <x:c r="AE140" s="10" t="str">
        <x:v>미실행</x:v>
      </x:c>
      <x:c r="AF140" s="5" t="str"/>
      <x:c r="AG140" s="5" t="str"/>
      <x:c r="AH140" s="5" t="str"/>
      <x:c r="AI140" s="10" t="str">
        <x:v>재확인필요</x:v>
      </x:c>
      <x:c r="AJ140" s="5" t="str">
        <x:f>IF(AND(M140="적용",V140="구현",X140&lt;&gt;"",Y140&lt;&gt;"",AB140&lt;&gt;"",AC140&gt;0,AD140&gt;0,AE140="통과",AF140="",AG140&lt;&gt;"",AH140&lt;&gt;"",OR(S140="자동",S140="수동",S140="자동+수동"),IF(OR(S140="자동",S140="자동+수동"),Z140="통과",TRUE),IF(OR(S140="수동",S140="자동+수동"),AA140="통과",TRUE)),"통과",IF(OR(Z140="실패",AA140="실패",AE140="실패"),"실패","보류"))</x:f>
        <x:v>보류</x:v>
      </x:c>
      <x:c r="AK140" s="5" t="str">
        <x:v>KRDS-SEC-094</x:v>
      </x:c>
      <x:c r="AL140" s="5" t="str"/>
      <x:c r="AM140" s="5" t="str">
        <x:v>입력 v0.1 계획 주석은 original_plan_note에 보존. 최신 구현·시험·증빙은 연결 적용기록을 참조하며 전체 준수·인증을 주장하지 않음.</x:v>
      </x:c>
    </x:row>
    <x:row r="141" ht="52.79999923706055" hidden="0" customHeight="1">
      <x:c r="A141" s="5" t="str">
        <x:v>UI-090</x:v>
      </x:c>
      <x:c r="B141" s="5" t="str">
        <x:v>KRDS UI/UX</x:v>
      </x:c>
      <x:c r="C141" s="5" t="str">
        <x:v>UI 서비스 패턴</x:v>
      </x:c>
      <x:c r="D141" s="5" t="str">
        <x:v>유의 사항·자격 확인</x:v>
      </x:c>
      <x:c r="E141" s="5" t="str">
        <x:v>진행 가능 조건과 유의점을 먼저 확인</x:v>
      </x:c>
      <x:c r="F141" s="5" t="str">
        <x:v>SRC-001</x:v>
      </x:c>
      <x:c r="G141" s="5" t="str">
        <x:v>2025.08</x:v>
      </x:c>
      <x:c r="H141" s="5" t="str">
        <x:v>서비스 패턴 / 신청 / 유의 사항·자격 확인</x:v>
      </x:c>
      <x:c r="I141" s="5" t="str">
        <x:v>1088-1096</x:v>
      </x:c>
      <x:c r="J141" s="5" t="str">
        <x:v>회사 채택안; 원문 의무수준과 별도 관리</x:v>
      </x:c>
      <x:c r="K141" s="5" t="str">
        <x:v>원문 등급 별도 확인</x:v>
      </x:c>
      <x:c r="L141" s="5" t="str">
        <x:v>MUST(안)</x:v>
      </x:c>
      <x:c r="M141" s="10" t="str">
        <x:v>적용</x:v>
      </x:c>
      <x:c r="N141" s="5" t="str">
        <x:v>업무요청 웹 샘플에 채택하는 회사 기준. 실제 이행은 구현 후 판정.</x:v>
      </x:c>
      <x:c r="O141" s="5" t="str">
        <x:v>관련 기능·적용 기관·계약 변경 시 재평가</x:v>
      </x:c>
      <x:c r="P141" s="5" t="str">
        <x:v>S01~S08 / 공통</x:v>
      </x:c>
      <x:c r="Q141" s="5" t="str">
        <x:v>역할별 요청 가능 범위와 필수 자료를 사전 표시</x:v>
      </x:c>
      <x:c r="R141" s="5" t="str">
        <x:v>권한 부족·누락 자료에서 이해 가능한 대안 제공</x:v>
      </x:c>
      <x:c r="S141" s="10" t="str">
        <x:v>자동+수동</x:v>
      </x:c>
      <x:c r="T141" s="5" t="str">
        <x:v>UX·개발·QA</x:v>
      </x:c>
      <x:c r="U141" s="5" t="str">
        <x:v>P1</x:v>
      </x:c>
      <x:c r="V141" s="10" t="str">
        <x:v>구현</x:v>
      </x:c>
      <x:c r="W141" s="5" t="str">
        <x:v>회사 샘플임을 표시하고 로그인 계정·권한 범위, 요청 절차·유형·필수자료·민감정보 금지·첨부 제한을 실행 전에 안내한다.</x:v>
      </x:c>
      <x:c r="X141" s="5" t="str">
        <x:v>apps/web/src/App.tsx#App
apps/web/src/App.tsx#Login
apps/web/src/App.tsx#Help
apps/web/src/App.tsx#RequestWizard</x:v>
      </x:c>
      <x:c r="Y141" s="5" t="str">
        <x:v>MAN-UI-090</x:v>
      </x:c>
      <x:c r="Z141" s="10" t="str">
        <x:v>미실행</x:v>
      </x:c>
      <x:c r="AA141" s="10" t="str">
        <x:v>미실행</x:v>
      </x:c>
      <x:c r="AB141" s="5" t="str"/>
      <x:c r="AC141" s="5" t="n">
        <x:v>0</x:v>
      </x:c>
      <x:c r="AD141" s="5" t="n">
        <x:v>1</x:v>
      </x:c>
      <x:c r="AE141" s="10" t="str">
        <x:v>미실행</x:v>
      </x:c>
      <x:c r="AF141" s="5" t="str"/>
      <x:c r="AG141" s="5" t="str"/>
      <x:c r="AH141" s="5" t="str"/>
      <x:c r="AI141" s="10" t="str">
        <x:v>재확인필요</x:v>
      </x:c>
      <x:c r="AJ141" s="5" t="str">
        <x:f>IF(AND(M141="적용",V141="구현",X141&lt;&gt;"",Y141&lt;&gt;"",AB141&lt;&gt;"",AC141&gt;0,AD141&gt;0,AE141="통과",AF141="",AG141&lt;&gt;"",AH141&lt;&gt;"",OR(S141="자동",S141="수동",S141="자동+수동"),IF(OR(S141="자동",S141="자동+수동"),Z141="통과",TRUE),IF(OR(S141="수동",S141="자동+수동"),AA141="통과",TRUE)),"통과",IF(OR(Z141="실패",AA141="실패",AE141="실패"),"실패","보류"))</x:f>
        <x:v>보류</x:v>
      </x:c>
      <x:c r="AK141" s="5" t="str">
        <x:v>KRDS-SEC-095</x:v>
      </x:c>
      <x:c r="AL141" s="5" t="str"/>
      <x:c r="AM141" s="5" t="str">
        <x:v>입력 v0.1 계획 주석은 original_plan_note에 보존. 최신 구현·시험·증빙은 연결 적용기록을 참조하며 전체 준수·인증을 주장하지 않음.</x:v>
      </x:c>
    </x:row>
    <x:row r="142" ht="26.399999618530273" hidden="0" customHeight="1">
      <x:c r="A142" s="5" t="str">
        <x:v>UI-091</x:v>
      </x:c>
      <x:c r="B142" s="5" t="str">
        <x:v>KRDS UI/UX</x:v>
      </x:c>
      <x:c r="C142" s="5" t="str">
        <x:v>UI 서비스 패턴</x:v>
      </x:c>
      <x:c r="D142" s="5" t="str">
        <x:v>신청서 작성</x:v>
      </x:c>
      <x:c r="E142" s="5" t="str">
        <x:v>입력과 단계 이동을 안정적으로 수행</x:v>
      </x:c>
      <x:c r="F142" s="5" t="str">
        <x:v>SRC-001</x:v>
      </x:c>
      <x:c r="G142" s="5" t="str">
        <x:v>2025.08</x:v>
      </x:c>
      <x:c r="H142" s="5" t="str">
        <x:v>서비스 패턴 / 신청 / 신청서 작성</x:v>
      </x:c>
      <x:c r="I142" s="5" t="str">
        <x:v>1097-1111</x:v>
      </x:c>
      <x:c r="J142" s="5" t="str">
        <x:v>회사 채택안; 원문 의무수준과 별도 관리</x:v>
      </x:c>
      <x:c r="K142" s="5" t="str">
        <x:v>원문 등급 별도 확인</x:v>
      </x:c>
      <x:c r="L142" s="5" t="str">
        <x:v>MUST(안)</x:v>
      </x:c>
      <x:c r="M142" s="10" t="str">
        <x:v>적용</x:v>
      </x:c>
      <x:c r="N142" s="5" t="str">
        <x:v>업무요청 웹 샘플에 채택하는 회사 기준. 실제 이행은 구현 후 판정.</x:v>
      </x:c>
      <x:c r="O142" s="5" t="str">
        <x:v>관련 기능·적용 기관·계약 변경 시 재평가</x:v>
      </x:c>
      <x:c r="P142" s="5" t="str">
        <x:v>S04, S05</x:v>
      </x:c>
      <x:c r="Q142" s="5" t="str">
        <x:v>기본정보·첨부·검토 단계, 입력 보존·오류 수정 제공</x:v>
      </x:c>
      <x:c r="R142" s="5" t="str">
        <x:v>등록/수정·뒤로가기·네트워크 실패 복구 테스트</x:v>
      </x:c>
      <x:c r="S142" s="10" t="str">
        <x:v>자동+수동</x:v>
      </x:c>
      <x:c r="T142" s="5" t="str">
        <x:v>UX·개발·QA</x:v>
      </x:c>
      <x:c r="U142" s="5" t="str">
        <x:v>P1</x:v>
      </x:c>
      <x:c r="V142" s="10" t="str">
        <x:v>구현</x:v>
      </x:c>
      <x:c r="W142" s="5" t="str">
        <x:v>필수·선택·그룹을 표시하는 단계형 입력, 단계 이동 시 제목/내용/첨부 보존, 제출 전 검토와 이전 단계 수정, 중복 제출 차단 및 오류 후 입력 보존을 구현한다.</x:v>
      </x:c>
      <x:c r="X142" s="5" t="str">
        <x:v>apps/web/src/App.tsx#RequestWizard</x:v>
      </x:c>
      <x:c r="Y142" s="5" t="str">
        <x:v>MAN-UI-091</x:v>
      </x:c>
      <x:c r="Z142" s="10" t="str">
        <x:v>미실행</x:v>
      </x:c>
      <x:c r="AA142" s="10" t="str">
        <x:v>미실행</x:v>
      </x:c>
      <x:c r="AB142" s="5" t="str"/>
      <x:c r="AC142" s="5" t="n">
        <x:v>0</x:v>
      </x:c>
      <x:c r="AD142" s="5" t="n">
        <x:v>1</x:v>
      </x:c>
      <x:c r="AE142" s="10" t="str">
        <x:v>미실행</x:v>
      </x:c>
      <x:c r="AF142" s="5" t="str"/>
      <x:c r="AG142" s="5" t="str"/>
      <x:c r="AH142" s="5" t="str"/>
      <x:c r="AI142" s="10" t="str">
        <x:v>재확인필요</x:v>
      </x:c>
      <x:c r="AJ142" s="5" t="str">
        <x:f>IF(AND(M142="적용",V142="구현",X142&lt;&gt;"",Y142&lt;&gt;"",AB142&lt;&gt;"",AC142&gt;0,AD142&gt;0,AE142="통과",AF142="",AG142&lt;&gt;"",AH142&lt;&gt;"",OR(S142="자동",S142="수동",S142="자동+수동"),IF(OR(S142="자동",S142="자동+수동"),Z142="통과",TRUE),IF(OR(S142="수동",S142="자동+수동"),AA142="통과",TRUE)),"통과",IF(OR(Z142="실패",AA142="실패",AE142="실패"),"실패","보류"))</x:f>
        <x:v>보류</x:v>
      </x:c>
      <x:c r="AK142" s="5" t="str">
        <x:v>KRDS-SEC-096</x:v>
      </x:c>
      <x:c r="AL142" s="5" t="str"/>
      <x:c r="AM142" s="5" t="str">
        <x:v>입력 v0.1 계획 주석은 original_plan_note에 보존. 최신 구현·시험·증빙은 연결 적용기록을 참조하며 전체 준수·인증을 주장하지 않음.</x:v>
      </x:c>
    </x:row>
    <x:row r="143" ht="26.399999618530273" hidden="0" customHeight="1">
      <x:c r="A143" s="5" t="str">
        <x:v>UI-092</x:v>
      </x:c>
      <x:c r="B143" s="5" t="str">
        <x:v>KRDS UI/UX</x:v>
      </x:c>
      <x:c r="C143" s="5" t="str">
        <x:v>UI 서비스 패턴</x:v>
      </x:c>
      <x:c r="D143" s="5" t="str">
        <x:v>확인·확정</x:v>
      </x:c>
      <x:c r="E143" s="5" t="str">
        <x:v>제출 전에 입력 내용을 확인·수정</x:v>
      </x:c>
      <x:c r="F143" s="5" t="str">
        <x:v>SRC-001</x:v>
      </x:c>
      <x:c r="G143" s="5" t="str">
        <x:v>2025.08</x:v>
      </x:c>
      <x:c r="H143" s="5" t="str">
        <x:v>서비스 패턴 / 신청 / 확인·확정</x:v>
      </x:c>
      <x:c r="I143" s="5" t="str">
        <x:v>1112-1120</x:v>
      </x:c>
      <x:c r="J143" s="5" t="str">
        <x:v>회사 채택안; 원문 의무수준과 별도 관리</x:v>
      </x:c>
      <x:c r="K143" s="5" t="str">
        <x:v>원문 등급 별도 확인</x:v>
      </x:c>
      <x:c r="L143" s="5" t="str">
        <x:v>MUST(안)</x:v>
      </x:c>
      <x:c r="M143" s="10" t="str">
        <x:v>적용</x:v>
      </x:c>
      <x:c r="N143" s="5" t="str">
        <x:v>업무요청 웹 샘플에 채택하는 회사 기준. 실제 이행은 구현 후 판정.</x:v>
      </x:c>
      <x:c r="O143" s="5" t="str">
        <x:v>관련 기능·적용 기관·계약 변경 시 재평가</x:v>
      </x:c>
      <x:c r="P143" s="5" t="str">
        <x:v>S05</x:v>
      </x:c>
      <x:c r="Q143" s="5" t="str">
        <x:v>최종 검토 화면에 항목별 수정 링크와 제출/취소 제공</x:v>
      </x:c>
      <x:c r="R143" s="5" t="str">
        <x:v>중복 제출·수정 복귀·취소·접근 가능한 검토 확인</x:v>
      </x:c>
      <x:c r="S143" s="10" t="str">
        <x:v>자동+수동</x:v>
      </x:c>
      <x:c r="T143" s="5" t="str">
        <x:v>UX·개발·QA</x:v>
      </x:c>
      <x:c r="U143" s="5" t="str">
        <x:v>P1</x:v>
      </x:c>
      <x:c r="V143" s="10" t="str">
        <x:v>구현</x:v>
      </x:c>
      <x:c r="W143" s="5" t="str">
        <x:v>필수·선택·그룹을 표시하는 단계형 입력, 단계 이동 시 제목/내용/첨부 보존, 제출 전 검토와 이전 단계 수정, 중복 제출 차단 및 오류 후 입력 보존을 구현한다.</x:v>
      </x:c>
      <x:c r="X143" s="5" t="str">
        <x:v>apps/web/src/App.tsx#RequestWizard</x:v>
      </x:c>
      <x:c r="Y143" s="5" t="str">
        <x:v>E2E-WORKFLOW
MAN-UI-092</x:v>
      </x:c>
      <x:c r="Z143" s="10" t="str">
        <x:v>부분확인</x:v>
      </x:c>
      <x:c r="AA143" s="10" t="str">
        <x:v>미실행</x:v>
      </x:c>
      <x:c r="AB143" s="5" t="str">
        <x:v>E2E-WORKFLOW-2026-10-20T06-15-00-647Z</x:v>
      </x:c>
      <x:c r="AC143" s="5" t="n">
        <x:v>1</x:v>
      </x:c>
      <x:c r="AD143" s="5" t="n">
        <x:v>2</x:v>
      </x:c>
      <x:c r="AE143" s="10" t="str">
        <x:v>부분확인</x:v>
      </x:c>
      <x:c r="AF143" s="5" t="str"/>
      <x:c r="AG143" s="5" t="str"/>
      <x:c r="AH143" s="5" t="str"/>
      <x:c r="AI143" s="10" t="str">
        <x:v>재확인필요</x:v>
      </x:c>
      <x:c r="AJ143" s="5" t="str">
        <x:f>IF(AND(M143="적용",V143="구현",X143&lt;&gt;"",Y143&lt;&gt;"",AB143&lt;&gt;"",AC143&gt;0,AD143&gt;0,AE143="통과",AF143="",AG143&lt;&gt;"",AH143&lt;&gt;"",OR(S143="자동",S143="수동",S143="자동+수동"),IF(OR(S143="자동",S143="자동+수동"),Z143="통과",TRUE),IF(OR(S143="수동",S143="자동+수동"),AA143="통과",TRUE)),"통과",IF(OR(Z143="실패",AA143="실패",AE143="실패"),"실패","보류"))</x:f>
        <x:v>보류</x:v>
      </x:c>
      <x:c r="AK143" s="5" t="str">
        <x:v>KRDS-SEC-097</x:v>
      </x:c>
      <x:c r="AL143" s="5" t="str"/>
      <x:c r="AM143" s="5" t="str">
        <x:v>입력 v0.1 계획 주석은 original_plan_note에 보존. 최신 구현·시험·증빙은 연결 적용기록을 참조하며 전체 준수·인증을 주장하지 않음.</x:v>
      </x:c>
    </x:row>
    <x:row r="144" ht="26.399999618530273" hidden="0" customHeight="1">
      <x:c r="A144" s="5" t="str">
        <x:v>UI-093</x:v>
      </x:c>
      <x:c r="B144" s="5" t="str">
        <x:v>KRDS UI/UX</x:v>
      </x:c>
      <x:c r="C144" s="5" t="str">
        <x:v>UI 서비스 패턴</x:v>
      </x:c>
      <x:c r="D144" s="5" t="str">
        <x:v>완료</x:v>
      </x:c>
      <x:c r="E144" s="5" t="str">
        <x:v>처리 완료 여부와 후속 행동 안내</x:v>
      </x:c>
      <x:c r="F144" s="5" t="str">
        <x:v>SRC-001</x:v>
      </x:c>
      <x:c r="G144" s="5" t="str">
        <x:v>2025.08</x:v>
      </x:c>
      <x:c r="H144" s="5" t="str">
        <x:v>서비스 패턴 / 신청 / 완료</x:v>
      </x:c>
      <x:c r="I144" s="5" t="str">
        <x:v>1121-1128</x:v>
      </x:c>
      <x:c r="J144" s="5" t="str">
        <x:v>회사 채택안; 원문 의무수준과 별도 관리</x:v>
      </x:c>
      <x:c r="K144" s="5" t="str">
        <x:v>원문 등급 별도 확인</x:v>
      </x:c>
      <x:c r="L144" s="5" t="str">
        <x:v>MUST(안)</x:v>
      </x:c>
      <x:c r="M144" s="10" t="str">
        <x:v>적용</x:v>
      </x:c>
      <x:c r="N144" s="5" t="str">
        <x:v>업무요청 웹 샘플에 채택하는 회사 기준. 실제 이행은 구현 후 판정.</x:v>
      </x:c>
      <x:c r="O144" s="5" t="str">
        <x:v>관련 기능·적용 기관·계약 변경 시 재평가</x:v>
      </x:c>
      <x:c r="P144" s="5" t="str">
        <x:v>S05</x:v>
      </x:c>
      <x:c r="Q144" s="5" t="str">
        <x:v>접수번호·접수시각·현재상태·내 요청 보기 제공</x:v>
      </x:c>
      <x:c r="R144" s="5" t="str">
        <x:v>실제 저장값과 안내 일치·새로고침 중복 방지 확인</x:v>
      </x:c>
      <x:c r="S144" s="10" t="str">
        <x:v>자동+수동</x:v>
      </x:c>
      <x:c r="T144" s="5" t="str">
        <x:v>UX·개발·QA</x:v>
      </x:c>
      <x:c r="U144" s="5" t="str">
        <x:v>P1</x:v>
      </x:c>
      <x:c r="V144" s="10" t="str">
        <x:v>구현</x:v>
      </x:c>
      <x:c r="W144" s="5" t="str">
        <x:v>서버 저장 및 첨부 업로드 성공 후 완료 단계와 등록한 요청/목록 이동을 제공한다. 첨부 실패는 본문 저장과 구분하여 재시도한다.</x:v>
      </x:c>
      <x:c r="X144" s="5" t="str">
        <x:v>apps/web/src/App.tsx#RequestWizard</x:v>
      </x:c>
      <x:c r="Y144" s="5" t="str">
        <x:v>E2E-WORKFLOW
MAN-UI-093</x:v>
      </x:c>
      <x:c r="Z144" s="10" t="str">
        <x:v>부분확인</x:v>
      </x:c>
      <x:c r="AA144" s="10" t="str">
        <x:v>미실행</x:v>
      </x:c>
      <x:c r="AB144" s="5" t="str">
        <x:v>E2E-WORKFLOW-2026-10-20T06-15-00-647Z</x:v>
      </x:c>
      <x:c r="AC144" s="5" t="n">
        <x:v>1</x:v>
      </x:c>
      <x:c r="AD144" s="5" t="n">
        <x:v>2</x:v>
      </x:c>
      <x:c r="AE144" s="10" t="str">
        <x:v>부분확인</x:v>
      </x:c>
      <x:c r="AF144" s="5" t="str"/>
      <x:c r="AG144" s="5" t="str"/>
      <x:c r="AH144" s="5" t="str"/>
      <x:c r="AI144" s="10" t="str">
        <x:v>재확인필요</x:v>
      </x:c>
      <x:c r="AJ144" s="5" t="str">
        <x:f>IF(AND(M144="적용",V144="구현",X144&lt;&gt;"",Y144&lt;&gt;"",AB144&lt;&gt;"",AC144&gt;0,AD144&gt;0,AE144="통과",AF144="",AG144&lt;&gt;"",AH144&lt;&gt;"",OR(S144="자동",S144="수동",S144="자동+수동"),IF(OR(S144="자동",S144="자동+수동"),Z144="통과",TRUE),IF(OR(S144="수동",S144="자동+수동"),AA144="통과",TRUE)),"통과",IF(OR(Z144="실패",AA144="실패",AE144="실패"),"실패","보류"))</x:f>
        <x:v>보류</x:v>
      </x:c>
      <x:c r="AK144" s="5" t="str">
        <x:v>KRDS-SEC-098</x:v>
      </x:c>
      <x:c r="AL144" s="5" t="str"/>
      <x:c r="AM144" s="5" t="str">
        <x:v>입력 v0.1 계획 주석은 original_plan_note에 보존. 최신 구현·시험·증빙은 연결 적용기록을 참조하며 전체 준수·인증을 주장하지 않음.</x:v>
      </x:c>
    </x:row>
    <x:row r="145" ht="26.399999618530273" hidden="0" customHeight="1">
      <x:c r="A145" s="5" t="str">
        <x:v>UI-094</x:v>
      </x:c>
      <x:c r="B145" s="5" t="str">
        <x:v>KRDS UI/UX</x:v>
      </x:c>
      <x:c r="C145" s="5" t="str">
        <x:v>UI 서비스 패턴</x:v>
      </x:c>
      <x:c r="D145" s="5" t="str">
        <x:v>신청 결과 확인</x:v>
      </x:c>
      <x:c r="E145" s="5" t="str">
        <x:v>접수 후 상태와 이력을 확인</x:v>
      </x:c>
      <x:c r="F145" s="5" t="str">
        <x:v>SRC-001</x:v>
      </x:c>
      <x:c r="G145" s="5" t="str">
        <x:v>2025.08</x:v>
      </x:c>
      <x:c r="H145" s="5" t="str">
        <x:v>서비스 패턴 / 신청 / 신청 결과 확인</x:v>
      </x:c>
      <x:c r="I145" s="5" t="str">
        <x:v>1129-1142</x:v>
      </x:c>
      <x:c r="J145" s="5" t="str">
        <x:v>회사 채택안; 원문 의무수준과 별도 관리</x:v>
      </x:c>
      <x:c r="K145" s="5" t="str">
        <x:v>원문 등급 별도 확인</x:v>
      </x:c>
      <x:c r="L145" s="5" t="str">
        <x:v>MUST(안)</x:v>
      </x:c>
      <x:c r="M145" s="10" t="str">
        <x:v>적용</x:v>
      </x:c>
      <x:c r="N145" s="5" t="str">
        <x:v>업무요청 웹 샘플에 채택하는 회사 기준. 실제 이행은 구현 후 판정.</x:v>
      </x:c>
      <x:c r="O145" s="5" t="str">
        <x:v>관련 기능·적용 기관·계약 변경 시 재평가</x:v>
      </x:c>
      <x:c r="P145" s="5" t="str">
        <x:v>S05</x:v>
      </x:c>
      <x:c r="Q145" s="5" t="str">
        <x:v>내 요청·상세에서 처리상태·담당자·상태 변경 이력 제공</x:v>
      </x:c>
      <x:c r="R145" s="5" t="str">
        <x:v>권한별 목록·상세·상태변경 반영 테스트</x:v>
      </x:c>
      <x:c r="S145" s="10" t="str">
        <x:v>자동+수동</x:v>
      </x:c>
      <x:c r="T145" s="5" t="str">
        <x:v>UX·개발·QA</x:v>
      </x:c>
      <x:c r="U145" s="5" t="str">
        <x:v>P1</x:v>
      </x:c>
      <x:c r="V145" s="10" t="str">
        <x:v>구현</x:v>
      </x:c>
      <x:c r="W145" s="5" t="str">
        <x:v>상세에 제목·본문·작성자·한국시간 날짜·상태·인가된 첨부 다운로드·처리 이력을 표시한다.</x:v>
      </x:c>
      <x:c r="X145" s="5" t="str">
        <x:v>apps/web/src/App.tsx#RequestDetail</x:v>
      </x:c>
      <x:c r="Y145" s="5" t="str">
        <x:v>MAN-UI-094</x:v>
      </x:c>
      <x:c r="Z145" s="10" t="str">
        <x:v>미실행</x:v>
      </x:c>
      <x:c r="AA145" s="10" t="str">
        <x:v>미실행</x:v>
      </x:c>
      <x:c r="AB145" s="5" t="str"/>
      <x:c r="AC145" s="5" t="n">
        <x:v>0</x:v>
      </x:c>
      <x:c r="AD145" s="5" t="n">
        <x:v>1</x:v>
      </x:c>
      <x:c r="AE145" s="10" t="str">
        <x:v>미실행</x:v>
      </x:c>
      <x:c r="AF145" s="5" t="str"/>
      <x:c r="AG145" s="5" t="str"/>
      <x:c r="AH145" s="5" t="str"/>
      <x:c r="AI145" s="10" t="str">
        <x:v>재확인필요</x:v>
      </x:c>
      <x:c r="AJ145" s="5" t="str">
        <x:f>IF(AND(M145="적용",V145="구현",X145&lt;&gt;"",Y145&lt;&gt;"",AB145&lt;&gt;"",AC145&gt;0,AD145&gt;0,AE145="통과",AF145="",AG145&lt;&gt;"",AH145&lt;&gt;"",OR(S145="자동",S145="수동",S145="자동+수동"),IF(OR(S145="자동",S145="자동+수동"),Z145="통과",TRUE),IF(OR(S145="수동",S145="자동+수동"),AA145="통과",TRUE)),"통과",IF(OR(Z145="실패",AA145="실패",AE145="실패"),"실패","보류"))</x:f>
        <x:v>보류</x:v>
      </x:c>
      <x:c r="AK145" s="5" t="str">
        <x:v>KRDS-SEC-099</x:v>
      </x:c>
      <x:c r="AL145" s="5" t="str"/>
      <x:c r="AM145" s="5" t="str">
        <x:v>입력 v0.1 계획 주석은 original_plan_note에 보존. 최신 구현·시험·증빙은 연결 적용기록을 참조하며 전체 준수·인증을 주장하지 않음.</x:v>
      </x:c>
    </x:row>
    <x:row r="146" ht="26.399999618530273" hidden="0" customHeight="1">
      <x:c r="A146" s="5" t="str">
        <x:v>UI-095</x:v>
      </x:c>
      <x:c r="B146" s="5" t="str">
        <x:v>KRDS UI/UX</x:v>
      </x:c>
      <x:c r="C146" s="5" t="str">
        <x:v>UI 서비스 패턴</x:v>
      </x:c>
      <x:c r="D146" s="5" t="str">
        <x:v>정책 탐색</x:v>
      </x:c>
      <x:c r="E146" s="5" t="str">
        <x:v>정책 또는 처리기준의 탐색 경로 제공</x:v>
      </x:c>
      <x:c r="F146" s="5" t="str">
        <x:v>SRC-001</x:v>
      </x:c>
      <x:c r="G146" s="5" t="str">
        <x:v>2025.08</x:v>
      </x:c>
      <x:c r="H146" s="5" t="str">
        <x:v>서비스 패턴 / 정책 정보 확인 / 정책 탐색</x:v>
      </x:c>
      <x:c r="I146" s="5" t="str">
        <x:v>1146-1154</x:v>
      </x:c>
      <x:c r="J146" s="5" t="str">
        <x:v>회사 채택안; 원문 의무수준과 별도 관리</x:v>
      </x:c>
      <x:c r="K146" s="5" t="str">
        <x:v>원문 등급 별도 확인</x:v>
      </x:c>
      <x:c r="L146" s="5" t="str">
        <x:v>MUST(안)</x:v>
      </x:c>
      <x:c r="M146" s="10" t="str">
        <x:v>조건부</x:v>
      </x:c>
      <x:c r="N146" s="5" t="str">
        <x:v>해당 기능 또는 서비스 조건이 실제 범위에 포함될 때 적용.</x:v>
      </x:c>
      <x:c r="O146" s="5" t="str">
        <x:v>해당 기능 또는 서비스 조건이 실제 범위에 포함될 때 적용.</x:v>
      </x:c>
      <x:c r="P146" s="5" t="str">
        <x:v>S01~S08 / 공통</x:v>
      </x:c>
      <x:c r="Q146" s="5" t="str">
        <x:v>샘플은 도움말/업무 처리기준 콘텐츠에 패턴을 참고</x:v>
      </x:c>
      <x:c r="R146" s="5" t="str">
        <x:v>정책 기능 추가 시 탐색·분류·최신성 점검</x:v>
      </x:c>
      <x:c r="S146" s="10" t="str">
        <x:v>자동+수동</x:v>
      </x:c>
      <x:c r="T146" s="5" t="str">
        <x:v>UX·개발·QA</x:v>
      </x:c>
      <x:c r="U146" s="5" t="str">
        <x:v>P1</x:v>
      </x:c>
      <x:c r="V146" s="10" t="str">
        <x:v>진행</x:v>
      </x:c>
      <x:c r="W146" s="5" t="str">
        <x:v>표준 분류·검색·필터와 출처·판본·원문페이지·코드·시험·증빙을 제공하고 Excel/PPTX/HTML, 필터 결과JSON/CSV/Markdown을 내보낸다. 원문 전체 정책의 정확성 검토는 별도 미완료다.</x:v>
      </x:c>
      <x:c r="X146" s="5" t="str">
        <x:v>apps/web/src/StandardsBrowser.tsx#StandardsBrowser
apps/web/src/App.tsx#Privacy</x:v>
      </x:c>
      <x:c r="Y146" s="5" t="str">
        <x:v>MAN-UI-095</x:v>
      </x:c>
      <x:c r="Z146" s="10" t="str">
        <x:v>미실행</x:v>
      </x:c>
      <x:c r="AA146" s="10" t="str">
        <x:v>미실행</x:v>
      </x:c>
      <x:c r="AB146" s="5" t="str"/>
      <x:c r="AC146" s="5" t="n">
        <x:v>0</x:v>
      </x:c>
      <x:c r="AD146" s="5" t="n">
        <x:v>1</x:v>
      </x:c>
      <x:c r="AE146" s="10" t="str">
        <x:v>미실행</x:v>
      </x:c>
      <x:c r="AF146" s="5" t="str"/>
      <x:c r="AG146" s="5" t="str"/>
      <x:c r="AH146" s="5" t="str"/>
      <x:c r="AI146" s="10" t="str">
        <x:v>재확인필요</x:v>
      </x:c>
      <x:c r="AJ146" s="5" t="str">
        <x:f>IF(AND(M146="적용",V146="구현",X146&lt;&gt;"",Y146&lt;&gt;"",AB146&lt;&gt;"",AC146&gt;0,AD146&gt;0,AE146="통과",AF146="",AG146&lt;&gt;"",AH146&lt;&gt;"",OR(S146="자동",S146="수동",S146="자동+수동"),IF(OR(S146="자동",S146="자동+수동"),Z146="통과",TRUE),IF(OR(S146="수동",S146="자동+수동"),AA146="통과",TRUE)),"통과",IF(OR(Z146="실패",AA146="실패",AE146="실패"),"실패","보류"))</x:f>
        <x:v>보류</x:v>
      </x:c>
      <x:c r="AK146" s="5" t="str">
        <x:v>KRDS-SEC-101</x:v>
      </x:c>
      <x:c r="AL146" s="5" t="str"/>
      <x:c r="AM146" s="5" t="str">
        <x:v>입력 v0.1 계획 주석은 original_plan_note에 보존. 최신 구현·시험·증빙은 연결 적용기록을 참조하며 전체 준수·인증을 주장하지 않음.</x:v>
      </x:c>
    </x:row>
    <x:row r="147" ht="26.399999618530273" hidden="0" customHeight="1">
      <x:c r="A147" s="5" t="str">
        <x:v>UI-096</x:v>
      </x:c>
      <x:c r="B147" s="5" t="str">
        <x:v>KRDS UI/UX</x:v>
      </x:c>
      <x:c r="C147" s="5" t="str">
        <x:v>UI 서비스 패턴</x:v>
      </x:c>
      <x:c r="D147" s="5" t="str">
        <x:v>정보 확인</x:v>
      </x:c>
      <x:c r="E147" s="5" t="str">
        <x:v>정책 내용의 정확성과 이해도 관리</x:v>
      </x:c>
      <x:c r="F147" s="5" t="str">
        <x:v>SRC-001</x:v>
      </x:c>
      <x:c r="G147" s="5" t="str">
        <x:v>2025.08</x:v>
      </x:c>
      <x:c r="H147" s="5" t="str">
        <x:v>서비스 패턴 / 정책 정보 확인 / 정보 확인</x:v>
      </x:c>
      <x:c r="I147" s="5" t="str">
        <x:v>1155-1164</x:v>
      </x:c>
      <x:c r="J147" s="5" t="str">
        <x:v>회사 채택안; 원문 의무수준과 별도 관리</x:v>
      </x:c>
      <x:c r="K147" s="5" t="str">
        <x:v>원문 등급 별도 확인</x:v>
      </x:c>
      <x:c r="L147" s="5" t="str">
        <x:v>MUST(안)</x:v>
      </x:c>
      <x:c r="M147" s="10" t="str">
        <x:v>조건부</x:v>
      </x:c>
      <x:c r="N147" s="5" t="str">
        <x:v>해당 기능 또는 서비스 조건이 실제 범위에 포함될 때 적용.</x:v>
      </x:c>
      <x:c r="O147" s="5" t="str">
        <x:v>해당 기능 또는 서비스 조건이 실제 범위에 포함될 때 적용.</x:v>
      </x:c>
      <x:c r="P147" s="5" t="str">
        <x:v>S01~S08 / 공통</x:v>
      </x:c>
      <x:c r="Q147" s="5" t="str">
        <x:v>적용 대상·시행일·담당자·문의수단을 구조화</x:v>
      </x:c>
      <x:c r="R147" s="5" t="str">
        <x:v>개정 이력·정확성·읽기 쉬운 설명 점검</x:v>
      </x:c>
      <x:c r="S147" s="10" t="str">
        <x:v>자동+수동</x:v>
      </x:c>
      <x:c r="T147" s="5" t="str">
        <x:v>UX·개발·QA</x:v>
      </x:c>
      <x:c r="U147" s="5" t="str">
        <x:v>P1</x:v>
      </x:c>
      <x:c r="V147" s="10" t="str">
        <x:v>진행</x:v>
      </x:c>
      <x:c r="W147" s="5" t="str">
        <x:v>표준 분류·검색·필터와 출처·판본·원문페이지·코드·시험·증빙을 제공하고 Excel/PPTX/HTML, 필터 결과JSON/CSV/Markdown을 내보낸다. 원문 전체 정책의 정확성 검토는 별도 미완료다.</x:v>
      </x:c>
      <x:c r="X147" s="5" t="str">
        <x:v>apps/web/src/StandardsBrowser.tsx#StandardsBrowser
apps/web/src/App.tsx#Privacy</x:v>
      </x:c>
      <x:c r="Y147" s="5" t="str">
        <x:v>MAN-UI-096</x:v>
      </x:c>
      <x:c r="Z147" s="10" t="str">
        <x:v>미실행</x:v>
      </x:c>
      <x:c r="AA147" s="10" t="str">
        <x:v>미실행</x:v>
      </x:c>
      <x:c r="AB147" s="5" t="str"/>
      <x:c r="AC147" s="5" t="n">
        <x:v>0</x:v>
      </x:c>
      <x:c r="AD147" s="5" t="n">
        <x:v>1</x:v>
      </x:c>
      <x:c r="AE147" s="10" t="str">
        <x:v>미실행</x:v>
      </x:c>
      <x:c r="AF147" s="5" t="str"/>
      <x:c r="AG147" s="5" t="str"/>
      <x:c r="AH147" s="5" t="str"/>
      <x:c r="AI147" s="10" t="str">
        <x:v>재확인필요</x:v>
      </x:c>
      <x:c r="AJ147" s="5" t="str">
        <x:f>IF(AND(M147="적용",V147="구현",X147&lt;&gt;"",Y147&lt;&gt;"",AB147&lt;&gt;"",AC147&gt;0,AD147&gt;0,AE147="통과",AF147="",AG147&lt;&gt;"",AH147&lt;&gt;"",OR(S147="자동",S147="수동",S147="자동+수동"),IF(OR(S147="자동",S147="자동+수동"),Z147="통과",TRUE),IF(OR(S147="수동",S147="자동+수동"),AA147="통과",TRUE)),"통과",IF(OR(Z147="실패",AA147="실패",AE147="실패"),"실패","보류"))</x:f>
        <x:v>보류</x:v>
      </x:c>
      <x:c r="AK147" s="5" t="str">
        <x:v>KRDS-SEC-102</x:v>
      </x:c>
      <x:c r="AL147" s="5" t="str"/>
      <x:c r="AM147" s="5" t="str">
        <x:v>입력 v0.1 계획 주석은 original_plan_note에 보존. 최신 구현·시험·증빙은 연결 적용기록을 참조하며 전체 준수·인증을 주장하지 않음.</x:v>
      </x:c>
    </x:row>
    <x:row r="148" ht="26.399999618530273" hidden="0" customHeight="1">
      <x:c r="A148" s="5" t="str">
        <x:v>UI-097</x:v>
      </x:c>
      <x:c r="B148" s="5" t="str">
        <x:v>KRDS UI/UX</x:v>
      </x:c>
      <x:c r="C148" s="5" t="str">
        <x:v>UI 서비스 패턴</x:v>
      </x:c>
      <x:c r="D148" s="5" t="str">
        <x:v>정책 자료 탐색</x:v>
      </x:c>
      <x:c r="E148" s="5" t="str">
        <x:v>관련 자료의 형식과 접근 경로 제공</x:v>
      </x:c>
      <x:c r="F148" s="5" t="str">
        <x:v>SRC-001</x:v>
      </x:c>
      <x:c r="G148" s="5" t="str">
        <x:v>2025.08</x:v>
      </x:c>
      <x:c r="H148" s="5" t="str">
        <x:v>서비스 패턴 / 정책 정보 확인 / 정책 자료 탐색</x:v>
      </x:c>
      <x:c r="I148" s="5" t="str">
        <x:v>1165-1173</x:v>
      </x:c>
      <x:c r="J148" s="5" t="str">
        <x:v>회사 채택안; 원문 의무수준과 별도 관리</x:v>
      </x:c>
      <x:c r="K148" s="5" t="str">
        <x:v>원문 등급 별도 확인</x:v>
      </x:c>
      <x:c r="L148" s="5" t="str">
        <x:v>MUST(안)</x:v>
      </x:c>
      <x:c r="M148" s="10" t="str">
        <x:v>조건부</x:v>
      </x:c>
      <x:c r="N148" s="5" t="str">
        <x:v>해당 기능 또는 서비스 조건이 실제 범위에 포함될 때 적용.</x:v>
      </x:c>
      <x:c r="O148" s="5" t="str">
        <x:v>해당 기능 또는 서비스 조건이 실제 범위에 포함될 때 적용.</x:v>
      </x:c>
      <x:c r="P148" s="5" t="str">
        <x:v>S01~S08 / 공통</x:v>
      </x:c>
      <x:c r="Q148" s="5" t="str">
        <x:v>파일명·형식·크기와 HTML 대체내용을 함께 제공</x:v>
      </x:c>
      <x:c r="R148" s="5" t="str">
        <x:v>파일 다운로드·문서 접근성·대체내용 점검</x:v>
      </x:c>
      <x:c r="S148" s="10" t="str">
        <x:v>자동+수동</x:v>
      </x:c>
      <x:c r="T148" s="5" t="str">
        <x:v>UX·개발·QA</x:v>
      </x:c>
      <x:c r="U148" s="5" t="str">
        <x:v>P1</x:v>
      </x:c>
      <x:c r="V148" s="10" t="str">
        <x:v>진행</x:v>
      </x:c>
      <x:c r="W148" s="5" t="str">
        <x:v>표준 분류·검색·필터와 출처·판본·원문페이지·코드·시험·증빙을 제공하고 Excel/PPTX/HTML, 필터 결과JSON/CSV/Markdown을 내보낸다. 원문 전체 정책의 정확성 검토는 별도 미완료다.</x:v>
      </x:c>
      <x:c r="X148" s="5" t="str">
        <x:v>apps/web/src/StandardsBrowser.tsx#StandardsBrowser
apps/web/src/App.tsx#Privacy</x:v>
      </x:c>
      <x:c r="Y148" s="5" t="str">
        <x:v>MAN-UI-097</x:v>
      </x:c>
      <x:c r="Z148" s="10" t="str">
        <x:v>미실행</x:v>
      </x:c>
      <x:c r="AA148" s="10" t="str">
        <x:v>미실행</x:v>
      </x:c>
      <x:c r="AB148" s="5" t="str"/>
      <x:c r="AC148" s="5" t="n">
        <x:v>0</x:v>
      </x:c>
      <x:c r="AD148" s="5" t="n">
        <x:v>1</x:v>
      </x:c>
      <x:c r="AE148" s="10" t="str">
        <x:v>미실행</x:v>
      </x:c>
      <x:c r="AF148" s="5" t="str"/>
      <x:c r="AG148" s="5" t="str"/>
      <x:c r="AH148" s="5" t="str"/>
      <x:c r="AI148" s="10" t="str">
        <x:v>재확인필요</x:v>
      </x:c>
      <x:c r="AJ148" s="5" t="str">
        <x:f>IF(AND(M148="적용",V148="구현",X148&lt;&gt;"",Y148&lt;&gt;"",AB148&lt;&gt;"",AC148&gt;0,AD148&gt;0,AE148="통과",AF148="",AG148&lt;&gt;"",AH148&lt;&gt;"",OR(S148="자동",S148="수동",S148="자동+수동"),IF(OR(S148="자동",S148="자동+수동"),Z148="통과",TRUE),IF(OR(S148="수동",S148="자동+수동"),AA148="통과",TRUE)),"통과",IF(OR(Z148="실패",AA148="실패",AE148="실패"),"실패","보류"))</x:f>
        <x:v>보류</x:v>
      </x:c>
      <x:c r="AK148" s="5" t="str">
        <x:v>KRDS-SEC-103</x:v>
      </x:c>
      <x:c r="AL148" s="5" t="str"/>
      <x:c r="AM148" s="5" t="str">
        <x:v>입력 v0.1 계획 주석은 original_plan_note에 보존. 최신 구현·시험·증빙은 연결 적용기록을 참조하며 전체 준수·인증을 주장하지 않음.</x:v>
      </x:c>
    </x:row>
    <x:row r="149" ht="26.399999618530273" hidden="0" customHeight="1">
      <x:c r="A149" s="5" t="str">
        <x:v>UI-098</x:v>
      </x:c>
      <x:c r="B149" s="5" t="str">
        <x:v>KRDS UI/UX</x:v>
      </x:c>
      <x:c r="C149" s="5" t="str">
        <x:v>UI 상세 통제</x:v>
      </x:c>
      <x:c r="D149" s="5" t="str">
        <x:v>타이포그래피</x:v>
      </x:c>
      <x:c r="E149" s="5" t="str">
        <x:v>일반 텍스트4.5:1·큰 텍스트3:1 대비 보장</x:v>
      </x:c>
      <x:c r="F149" s="5" t="str">
        <x:v>SRC-001</x:v>
      </x:c>
      <x:c r="G149" s="5" t="str">
        <x:v>2025.08</x:v>
      </x:c>
      <x:c r="H149" s="5" t="str">
        <x:v>디자인 스타일 / 스타일 / 타이포그래피</x:v>
      </x:c>
      <x:c r="I149" s="5" t="str">
        <x:v>122</x:v>
      </x:c>
      <x:c r="J149" s="5" t="str">
        <x:v>회사 채택안; 원문 의무수준과 별도 관리</x:v>
      </x:c>
      <x:c r="K149" s="5" t="str">
        <x:v>원문 등급 별도 확인</x:v>
      </x:c>
      <x:c r="L149" s="5" t="str">
        <x:v>MUST(안)</x:v>
      </x:c>
      <x:c r="M149" s="10" t="str">
        <x:v>적용</x:v>
      </x:c>
      <x:c r="N149" s="5" t="str">
        <x:v>업무요청 웹 샘플에 채택하는 회사 기준. 실제 이행은 구현 후 판정.</x:v>
      </x:c>
      <x:c r="O149" s="5" t="str">
        <x:v>관련 기능·적용 기관·계약 변경 시 재평가</x:v>
      </x:c>
      <x:c r="P149" s="5" t="str">
        <x:v>S01~S08 / 공통</x:v>
      </x:c>
      <x:c r="Q149" s="5" t="str">
        <x:v>일반/hover/focus/selected 등 실제 상태별 토큰 조합을 측정</x:v>
      </x:c>
      <x:c r="R149" s="5" t="str">
        <x:v>대비 측정값과 화면·토큰 ID 저장</x:v>
      </x:c>
      <x:c r="S149" s="10" t="str">
        <x:v>자동+수동</x:v>
      </x:c>
      <x:c r="T149" s="5" t="str">
        <x:v>UX·개발·QA</x:v>
      </x:c>
      <x:c r="U149" s="5" t="str">
        <x:v>P1</x:v>
      </x:c>
      <x:c r="V149" s="10" t="str">
        <x:v>진행</x:v>
      </x:c>
      <x:c r="W149" s="5" t="str">
        <x:v>일반 텍스트 대비를 고려한 기본 팔레트와 시각 경계를 적용하고 axe에서 발견한 저대비를 수정했다. 모든 상태의 대비 수동 전수 실측은 남아 있다.</x:v>
      </x:c>
      <x:c r="X149" s="5" t="str">
        <x:v>apps/web/src/styles.css
packages/ui/tokens.css</x:v>
      </x:c>
      <x:c r="Y149" s="5" t="str">
        <x:v>E2E-ERROR
MAN-UI-098</x:v>
      </x:c>
      <x:c r="Z149" s="10" t="str">
        <x:v>부분확인</x:v>
      </x:c>
      <x:c r="AA149" s="10" t="str">
        <x:v>미실행</x:v>
      </x:c>
      <x:c r="AB149" s="5" t="str">
        <x:v>E2E-ERROR-2026-10-20T06-15-00-647Z</x:v>
      </x:c>
      <x:c r="AC149" s="5" t="n">
        <x:v>1</x:v>
      </x:c>
      <x:c r="AD149" s="5" t="n">
        <x:v>2</x:v>
      </x:c>
      <x:c r="AE149" s="10" t="str">
        <x:v>부분확인</x:v>
      </x:c>
      <x:c r="AF149" s="5" t="str"/>
      <x:c r="AG149" s="5" t="str"/>
      <x:c r="AH149" s="5" t="str"/>
      <x:c r="AI149" s="10" t="str">
        <x:v>재확인필요</x:v>
      </x:c>
      <x:c r="AJ149" s="5" t="str">
        <x:f>IF(AND(M149="적용",V149="구현",X149&lt;&gt;"",Y149&lt;&gt;"",AB149&lt;&gt;"",AC149&gt;0,AD149&gt;0,AE149="통과",AF149="",AG149&lt;&gt;"",AH149&lt;&gt;"",OR(S149="자동",S149="수동",S149="자동+수동"),IF(OR(S149="자동",S149="자동+수동"),Z149="통과",TRUE),IF(OR(S149="수동",S149="자동+수동"),AA149="통과",TRUE)),"통과",IF(OR(Z149="실패",AA149="실패",AE149="실패"),"실패","보류"))</x:f>
        <x:v>보류</x:v>
      </x:c>
      <x:c r="AK149" s="5" t="str">
        <x:v>KRDS-SEC-010</x:v>
      </x:c>
      <x:c r="AL149" s="5" t="str"/>
      <x:c r="AM149" s="5" t="str">
        <x:v>입력 v0.1 계획 주석은 original_plan_note에 보존. 최신 구현·시험·증빙은 연결 적용기록을 참조하며 전체 준수·인증을 주장하지 않음.</x:v>
      </x:c>
    </x:row>
    <x:row r="150" ht="26.399999618530273" hidden="0" customHeight="1">
      <x:c r="A150" s="5" t="str">
        <x:v>UI-099</x:v>
      </x:c>
      <x:c r="B150" s="5" t="str">
        <x:v>KRDS UI/UX</x:v>
      </x:c>
      <x:c r="C150" s="5" t="str">
        <x:v>UI 상세 통제</x:v>
      </x:c>
      <x:c r="D150" s="5" t="str">
        <x:v>타이포그래피</x:v>
      </x:c>
      <x:c r="E150" s="5" t="str">
        <x:v>선명한 모드의 역할별 강화 대비 적용</x:v>
      </x:c>
      <x:c r="F150" s="5" t="str">
        <x:v>SRC-001</x:v>
      </x:c>
      <x:c r="G150" s="5" t="str">
        <x:v>2025.08</x:v>
      </x:c>
      <x:c r="H150" s="5" t="str">
        <x:v>디자인 스타일 / 스타일 / 타이포그래피</x:v>
      </x:c>
      <x:c r="I150" s="5" t="str">
        <x:v>123</x:v>
      </x:c>
      <x:c r="J150" s="5" t="str">
        <x:v>회사 채택안; 원문 의무수준과 별도 관리</x:v>
      </x:c>
      <x:c r="K150" s="5" t="str">
        <x:v>원문 등급 별도 확인</x:v>
      </x:c>
      <x:c r="L150" s="5" t="str">
        <x:v>MUST(안)</x:v>
      </x:c>
      <x:c r="M150" s="10" t="str">
        <x:v>적용</x:v>
      </x:c>
      <x:c r="N150" s="5" t="str">
        <x:v>업무요청 웹 샘플에 채택하는 회사 기준. 실제 이행은 구현 후 판정.</x:v>
      </x:c>
      <x:c r="O150" s="5" t="str">
        <x:v>관련 기능·적용 기관·계약 변경 시 재평가</x:v>
      </x:c>
      <x:c r="P150" s="5" t="str">
        <x:v>S01~S08 / 공통</x:v>
      </x:c>
      <x:c r="Q150" s="5" t="str">
        <x:v>본문15:1, 헤딩·레이블·아이콘7:1, 시각 보조4.5:1을 별도 검증</x:v>
      </x:c>
      <x:c r="R150" s="5" t="str">
        <x:v>기본모드와 선명한 모드의 대비 결과표 작성</x:v>
      </x:c>
      <x:c r="S150" s="10" t="str">
        <x:v>자동+수동</x:v>
      </x:c>
      <x:c r="T150" s="5" t="str">
        <x:v>UX·개발·QA</x:v>
      </x:c>
      <x:c r="U150" s="5" t="str">
        <x:v>P1</x:v>
      </x:c>
      <x:c r="V150" s="10" t="str">
        <x:v>계획</x:v>
      </x:c>
      <x:c r="W150" s="5" t="str">
        <x:v>별도의 선명한 화면 모드를 제공하지 않는다. 기본 화면 접근성·시스템 forced-colors 대응만 구현했으며, KRDS 역할별 강화 대비15:1/7:1/4.5:1 테마는 구현·실측하지 않았다.</x:v>
      </x:c>
      <x:c r="X150" s="5" t="str"/>
      <x:c r="Y150" s="5" t="str">
        <x:v>MAN-UI-099</x:v>
      </x:c>
      <x:c r="Z150" s="10" t="str">
        <x:v>미실행</x:v>
      </x:c>
      <x:c r="AA150" s="10" t="str">
        <x:v>미실행</x:v>
      </x:c>
      <x:c r="AB150" s="5" t="str"/>
      <x:c r="AC150" s="5" t="n">
        <x:v>0</x:v>
      </x:c>
      <x:c r="AD150" s="5" t="n">
        <x:v>1</x:v>
      </x:c>
      <x:c r="AE150" s="10" t="str">
        <x:v>미실행</x:v>
      </x:c>
      <x:c r="AF150" s="5" t="str"/>
      <x:c r="AG150" s="5" t="str"/>
      <x:c r="AH150" s="5" t="str"/>
      <x:c r="AI150" s="10" t="str">
        <x:v>재확인필요</x:v>
      </x:c>
      <x:c r="AJ150" s="5" t="str">
        <x:f>IF(AND(M150="적용",V150="구현",X150&lt;&gt;"",Y150&lt;&gt;"",AB150&lt;&gt;"",AC150&gt;0,AD150&gt;0,AE150="통과",AF150="",AG150&lt;&gt;"",AH150&lt;&gt;"",OR(S150="자동",S150="수동",S150="자동+수동"),IF(OR(S150="자동",S150="자동+수동"),Z150="통과",TRUE),IF(OR(S150="수동",S150="자동+수동"),AA150="통과",TRUE)),"통과",IF(OR(Z150="실패",AA150="실패",AE150="실패"),"실패","보류"))</x:f>
        <x:v>보류</x:v>
      </x:c>
      <x:c r="AK150" s="5" t="str">
        <x:v>KRDS-SEC-010</x:v>
      </x:c>
      <x:c r="AL150" s="5" t="str"/>
      <x:c r="AM150" s="5" t="str">
        <x:v>입력 v0.1 계획 주석은 original_plan_note에 보존. 최신 구현·시험·증빙은 연결 적용기록을 참조하며 전체 준수·인증을 주장하지 않음.</x:v>
      </x:c>
    </x:row>
    <x:row r="151" ht="26.399999618530273" hidden="0" customHeight="1">
      <x:c r="A151" s="5" t="str">
        <x:v>UI-100</x:v>
      </x:c>
      <x:c r="B151" s="5" t="str">
        <x:v>KRDS UI/UX</x:v>
      </x:c>
      <x:c r="C151" s="5" t="str">
        <x:v>UI 상세 통제</x:v>
      </x:c>
      <x:c r="D151" s="5" t="str">
        <x:v>선명한 화면 모드</x:v>
      </x:c>
      <x:c r="E151" s="5" t="str">
        <x:v>테마 변경으로 콘텐츠·기능이 사라지지 않음</x:v>
      </x:c>
      <x:c r="F151" s="5" t="str">
        <x:v>SRC-001</x:v>
      </x:c>
      <x:c r="G151" s="5" t="str">
        <x:v>2025.08</x:v>
      </x:c>
      <x:c r="H151" s="5" t="str">
        <x:v>디자인 스타일 / 스타일 / 선명한 화면 모드</x:v>
      </x:c>
      <x:c r="I151" s="5" t="str">
        <x:v>204</x:v>
      </x:c>
      <x:c r="J151" s="5" t="str">
        <x:v>회사 채택안; 원문 의무수준과 별도 관리</x:v>
      </x:c>
      <x:c r="K151" s="5" t="str">
        <x:v>원문 등급 별도 확인</x:v>
      </x:c>
      <x:c r="L151" s="5" t="str">
        <x:v>MUST(안)</x:v>
      </x:c>
      <x:c r="M151" s="10" t="str">
        <x:v>적용</x:v>
      </x:c>
      <x:c r="N151" s="5" t="str">
        <x:v>업무요청 웹 샘플에 채택하는 회사 기준. 실제 이행은 구현 후 판정.</x:v>
      </x:c>
      <x:c r="O151" s="5" t="str">
        <x:v>관련 기능·적용 기관·계약 변경 시 재평가</x:v>
      </x:c>
      <x:c r="P151" s="5" t="str">
        <x:v>S01~S08 / 공통</x:v>
      </x:c>
      <x:c r="Q151" s="5" t="str">
        <x:v>이미지·SVG·테두리·포커스·상태색의 테마별 가시성 유지</x:v>
      </x:c>
      <x:c r="R151" s="5" t="str">
        <x:v>각 주요 화면에서 정상·선명한 모드 비교</x:v>
      </x:c>
      <x:c r="S151" s="10" t="str">
        <x:v>자동+수동</x:v>
      </x:c>
      <x:c r="T151" s="5" t="str">
        <x:v>UX·개발·QA</x:v>
      </x:c>
      <x:c r="U151" s="5" t="str">
        <x:v>P1</x:v>
      </x:c>
      <x:c r="V151" s="10" t="str">
        <x:v>계획</x:v>
      </x:c>
      <x:c r="W151" s="5" t="str">
        <x:v>별도의 선명한 화면 모드를 제공하지 않는다. 기본 화면 접근성·시스템 forced-colors 대응만 구현했으며, KRDS 역할별 강화 대비15:1/7:1/4.5:1 테마는 구현·실측하지 않았다.</x:v>
      </x:c>
      <x:c r="X151" s="5" t="str"/>
      <x:c r="Y151" s="5" t="str">
        <x:v>MAN-UI-100</x:v>
      </x:c>
      <x:c r="Z151" s="10" t="str">
        <x:v>미실행</x:v>
      </x:c>
      <x:c r="AA151" s="10" t="str">
        <x:v>미실행</x:v>
      </x:c>
      <x:c r="AB151" s="5" t="str"/>
      <x:c r="AC151" s="5" t="n">
        <x:v>0</x:v>
      </x:c>
      <x:c r="AD151" s="5" t="n">
        <x:v>1</x:v>
      </x:c>
      <x:c r="AE151" s="10" t="str">
        <x:v>미실행</x:v>
      </x:c>
      <x:c r="AF151" s="5" t="str"/>
      <x:c r="AG151" s="5" t="str"/>
      <x:c r="AH151" s="5" t="str"/>
      <x:c r="AI151" s="10" t="str">
        <x:v>재확인필요</x:v>
      </x:c>
      <x:c r="AJ151" s="5" t="str">
        <x:f>IF(AND(M151="적용",V151="구현",X151&lt;&gt;"",Y151&lt;&gt;"",AB151&lt;&gt;"",AC151&gt;0,AD151&gt;0,AE151="통과",AF151="",AG151&lt;&gt;"",AH151&lt;&gt;"",OR(S151="자동",S151="수동",S151="자동+수동"),IF(OR(S151="자동",S151="자동+수동"),Z151="통과",TRUE),IF(OR(S151="수동",S151="자동+수동"),AA151="통과",TRUE)),"통과",IF(OR(Z151="실패",AA151="실패",AE151="실패"),"실패","보류"))</x:f>
        <x:v>보류</x:v>
      </x:c>
      <x:c r="AK151" s="5" t="str">
        <x:v>KRDS-SEC-015</x:v>
      </x:c>
      <x:c r="AL151" s="5" t="str"/>
      <x:c r="AM151" s="5" t="str">
        <x:v>입력 v0.1 계획 주석은 original_plan_note에 보존. 최신 구현·시험·증빙은 연결 적용기록을 참조하며 전체 준수·인증을 주장하지 않음.</x:v>
      </x:c>
    </x:row>
    <x:row r="152" ht="26.399999618530273" hidden="0" customHeight="1">
      <x:c r="A152" s="5" t="str">
        <x:v>UI-101</x:v>
      </x:c>
      <x:c r="B152" s="5" t="str">
        <x:v>KRDS UI/UX</x:v>
      </x:c>
      <x:c r="C152" s="5" t="str">
        <x:v>UI 상세 통제</x:v>
      </x:c>
      <x:c r="D152" s="5" t="str">
        <x:v>헤더</x:v>
      </x:c>
      <x:c r="E152" s="5" t="str">
        <x:v>언어 선택에 국기 대신 언어 이름 사용</x:v>
      </x:c>
      <x:c r="F152" s="5" t="str">
        <x:v>SRC-001</x:v>
      </x:c>
      <x:c r="G152" s="5" t="str">
        <x:v>2025.08</x:v>
      </x:c>
      <x:c r="H152" s="5" t="str">
        <x:v>컴포넌트 / 아이덴티티 / 헤더</x:v>
      </x:c>
      <x:c r="I152" s="5" t="str">
        <x:v>239</x:v>
      </x:c>
      <x:c r="J152" s="5" t="str">
        <x:v>회사 채택안; 원문 의무수준과 별도 관리</x:v>
      </x:c>
      <x:c r="K152" s="5" t="str">
        <x:v>원문 등급 별도 확인</x:v>
      </x:c>
      <x:c r="L152" s="5" t="str">
        <x:v>MUST(안)</x:v>
      </x:c>
      <x:c r="M152" s="10" t="str">
        <x:v>조건부</x:v>
      </x:c>
      <x:c r="N152" s="5" t="str">
        <x:v>해당 기능 또는 서비스 조건이 실제 범위에 포함될 때 적용.</x:v>
      </x:c>
      <x:c r="O152" s="5" t="str">
        <x:v>해당 기능 또는 서비스 조건이 실제 범위에 포함될 때 적용.</x:v>
      </x:c>
      <x:c r="P152" s="5" t="str">
        <x:v>S01~S08 / 공통</x:v>
      </x:c>
      <x:c r="Q152" s="5" t="str">
        <x:v>다국어 전환기 도입 시 한국어/English 등 자국어명을 사용</x:v>
      </x:c>
      <x:c r="R152" s="5" t="str">
        <x:v>국가와 언어의 혼동·화면낭독 발음 점검</x:v>
      </x:c>
      <x:c r="S152" s="10" t="str">
        <x:v>자동+수동</x:v>
      </x:c>
      <x:c r="T152" s="5" t="str">
        <x:v>UX·개발·QA</x:v>
      </x:c>
      <x:c r="U152" s="5" t="str">
        <x:v>P1</x:v>
      </x:c>
      <x:c r="V152" s="10" t="str">
        <x:v>계획</x:v>
      </x:c>
      <x:c r="W152" s="5" t="str">
        <x:v>서비스 언어는 한국어 단일 언어이며 언어 변경 기능을 도입하지 않았다. 다국어 전환을 추가하면 언어 이름·lang·탐색 상태를 재평가한다.</x:v>
      </x:c>
      <x:c r="X152" s="5" t="str"/>
      <x:c r="Y152" s="5" t="str">
        <x:v>MAN-UI-101</x:v>
      </x:c>
      <x:c r="Z152" s="10" t="str">
        <x:v>미실행</x:v>
      </x:c>
      <x:c r="AA152" s="10" t="str">
        <x:v>미실행</x:v>
      </x:c>
      <x:c r="AB152" s="5" t="str"/>
      <x:c r="AC152" s="5" t="n">
        <x:v>0</x:v>
      </x:c>
      <x:c r="AD152" s="5" t="n">
        <x:v>1</x:v>
      </x:c>
      <x:c r="AE152" s="10" t="str">
        <x:v>미실행</x:v>
      </x:c>
      <x:c r="AF152" s="5" t="str"/>
      <x:c r="AG152" s="5" t="str"/>
      <x:c r="AH152" s="5" t="str"/>
      <x:c r="AI152" s="10" t="str">
        <x:v>재확인필요</x:v>
      </x:c>
      <x:c r="AJ152" s="5" t="str">
        <x:f>IF(AND(M152="적용",V152="구현",X152&lt;&gt;"",Y152&lt;&gt;"",AB152&lt;&gt;"",AC152&gt;0,AD152&gt;0,AE152="통과",AF152="",AG152&lt;&gt;"",AH152&lt;&gt;"",OR(S152="자동",S152="수동",S152="자동+수동"),IF(OR(S152="자동",S152="자동+수동"),Z152="통과",TRUE),IF(OR(S152="수동",S152="자동+수동"),AA152="통과",TRUE)),"통과",IF(OR(Z152="실패",AA152="실패",AE152="실패"),"실패","보류"))</x:f>
        <x:v>보류</x:v>
      </x:c>
      <x:c r="AK152" s="5" t="str">
        <x:v>KRDS-SEC-019</x:v>
      </x:c>
      <x:c r="AL152" s="5" t="str"/>
      <x:c r="AM152" s="5" t="str">
        <x:v>입력 v0.1 계획 주석은 original_plan_note에 보존. 최신 구현·시험·증빙은 연결 적용기록을 참조하며 전체 준수·인증을 주장하지 않음.</x:v>
      </x:c>
    </x:row>
    <x:row r="153" ht="26.399999618530273" hidden="0" customHeight="1">
      <x:c r="A153" s="5" t="str">
        <x:v>UI-102</x:v>
      </x:c>
      <x:c r="B153" s="5" t="str">
        <x:v>KRDS UI/UX</x:v>
      </x:c>
      <x:c r="C153" s="5" t="str">
        <x:v>UI 상세 통제</x:v>
      </x:c>
      <x:c r="D153" s="5" t="str">
        <x:v>건너뛰기 링크</x:v>
      </x:c>
      <x:c r="E153" s="5" t="str">
        <x:v>건너뛰기 목적지에 실제 키보드 초점 이동</x:v>
      </x:c>
      <x:c r="F153" s="5" t="str">
        <x:v>SRC-001</x:v>
      </x:c>
      <x:c r="G153" s="5" t="str">
        <x:v>2025.08</x:v>
      </x:c>
      <x:c r="H153" s="5" t="str">
        <x:v>컴포넌트 / 탐색 / 건너뛰기 링크</x:v>
      </x:c>
      <x:c r="I153" s="5" t="str">
        <x:v>261</x:v>
      </x:c>
      <x:c r="J153" s="5" t="str">
        <x:v>회사 채택안; 원문 의무수준과 별도 관리</x:v>
      </x:c>
      <x:c r="K153" s="5" t="str">
        <x:v>원문 등급 별도 확인</x:v>
      </x:c>
      <x:c r="L153" s="5" t="str">
        <x:v>MUST(안)</x:v>
      </x:c>
      <x:c r="M153" s="10" t="str">
        <x:v>적용</x:v>
      </x:c>
      <x:c r="N153" s="5" t="str">
        <x:v>업무요청 웹 샘플에 채택하는 회사 기준. 실제 이행은 구현 후 판정.</x:v>
      </x:c>
      <x:c r="O153" s="5" t="str">
        <x:v>관련 기능·적용 기관·계약 변경 시 재평가</x:v>
      </x:c>
      <x:c r="P153" s="5" t="str">
        <x:v>S01~S08 / 공통</x:v>
      </x:c>
      <x:c r="Q153" s="5" t="str">
        <x:v>main 또는 주제목에 초점을 옮기고 다음 Tab이 본문에서 시작</x:v>
      </x:c>
      <x:c r="R153" s="5" t="str">
        <x:v>Enter 후 activeElement와 다음 Tab 순서 확인</x:v>
      </x:c>
      <x:c r="S153" s="10" t="str">
        <x:v>자동+수동</x:v>
      </x:c>
      <x:c r="T153" s="5" t="str">
        <x:v>UX·개발·QA</x:v>
      </x:c>
      <x:c r="U153" s="5" t="str">
        <x:v>P0</x:v>
      </x:c>
      <x:c r="V153" s="10" t="str">
        <x:v>구현</x:v>
      </x:c>
      <x:c r="W153" s="5" t="str">
        <x:v>문서 첫 링크에 본문 바로가기를 제공하고 #main-content로 이동한다. 화면 전환 후 제목에 프로그램 초점을 옮긴다.</x:v>
      </x:c>
      <x:c r="X153" s="5" t="str">
        <x:v>apps/web/src/App.tsx#App
apps/web/src/styles.css</x:v>
      </x:c>
      <x:c r="Y153" s="5" t="str">
        <x:v>MAN-UI-102</x:v>
      </x:c>
      <x:c r="Z153" s="10" t="str">
        <x:v>미실행</x:v>
      </x:c>
      <x:c r="AA153" s="10" t="str">
        <x:v>미실행</x:v>
      </x:c>
      <x:c r="AB153" s="5" t="str"/>
      <x:c r="AC153" s="5" t="n">
        <x:v>0</x:v>
      </x:c>
      <x:c r="AD153" s="5" t="n">
        <x:v>1</x:v>
      </x:c>
      <x:c r="AE153" s="10" t="str">
        <x:v>미실행</x:v>
      </x:c>
      <x:c r="AF153" s="5" t="str"/>
      <x:c r="AG153" s="5" t="str"/>
      <x:c r="AH153" s="5" t="str"/>
      <x:c r="AI153" s="10" t="str">
        <x:v>재확인필요</x:v>
      </x:c>
      <x:c r="AJ153" s="5" t="str">
        <x:f>IF(AND(M153="적용",V153="구현",X153&lt;&gt;"",Y153&lt;&gt;"",AB153&lt;&gt;"",AC153&gt;0,AD153&gt;0,AE153="통과",AF153="",AG153&lt;&gt;"",AH153&lt;&gt;"",OR(S153="자동",S153="수동",S153="자동+수동"),IF(OR(S153="자동",S153="자동+수동"),Z153="통과",TRUE),IF(OR(S153="수동",S153="자동+수동"),AA153="통과",TRUE)),"통과",IF(OR(Z153="실패",AA153="실패",AE153="실패"),"실패","보류"))</x:f>
        <x:v>보류</x:v>
      </x:c>
      <x:c r="AK153" s="5" t="str">
        <x:v>KRDS-SEC-021</x:v>
      </x:c>
      <x:c r="AL153" s="5" t="str"/>
      <x:c r="AM153" s="5" t="str">
        <x:v>입력 v0.1 계획 주석은 original_plan_note에 보존. 최신 구현·시험·증빙은 연결 적용기록을 참조하며 전체 준수·인증을 주장하지 않음.</x:v>
      </x:c>
    </x:row>
    <x:row r="154" ht="26.399999618530273" hidden="0" customHeight="1">
      <x:c r="A154" s="5" t="str">
        <x:v>UI-103</x:v>
      </x:c>
      <x:c r="B154" s="5" t="str">
        <x:v>KRDS UI/UX</x:v>
      </x:c>
      <x:c r="C154" s="5" t="str">
        <x:v>UI 상세 통제</x:v>
      </x:c>
      <x:c r="D154" s="5" t="str">
        <x:v>메인 메뉴</x:v>
      </x:c>
      <x:c r="E154" s="5" t="str">
        <x:v>드롭다운 메뉴를 마우스오버만으로 열지 않음</x:v>
      </x:c>
      <x:c r="F154" s="5" t="str">
        <x:v>SRC-001</x:v>
      </x:c>
      <x:c r="G154" s="5" t="str">
        <x:v>2025.08</x:v>
      </x:c>
      <x:c r="H154" s="5" t="str">
        <x:v>컴포넌트 / 탐색 / 메인 메뉴</x:v>
      </x:c>
      <x:c r="I154" s="5" t="str">
        <x:v>275</x:v>
      </x:c>
      <x:c r="J154" s="5" t="str">
        <x:v>회사 채택안; 원문 의무수준과 별도 관리</x:v>
      </x:c>
      <x:c r="K154" s="5" t="str">
        <x:v>원문 등급 별도 확인</x:v>
      </x:c>
      <x:c r="L154" s="5" t="str">
        <x:v>MUST(안)</x:v>
      </x:c>
      <x:c r="M154" s="10" t="str">
        <x:v>적용</x:v>
      </x:c>
      <x:c r="N154" s="5" t="str">
        <x:v>업무요청 웹 샘플에 채택하는 회사 기준. 실제 이행은 구현 후 판정.</x:v>
      </x:c>
      <x:c r="O154" s="5" t="str">
        <x:v>관련 기능·적용 기관·계약 변경 시 재평가</x:v>
      </x:c>
      <x:c r="P154" s="5" t="str">
        <x:v>S01~S08 / 공통</x:v>
      </x:c>
      <x:c r="Q154" s="5" t="str">
        <x:v>명시적 버튼·클릭/키보드 조작·aria-expanded 사용</x:v>
      </x:c>
      <x:c r="R154" s="5" t="str">
        <x:v>포인터·키보드·터치로 동일 기능 수행</x:v>
      </x:c>
      <x:c r="S154" s="10" t="str">
        <x:v>자동+수동</x:v>
      </x:c>
      <x:c r="T154" s="5" t="str">
        <x:v>UX·개발·QA</x:v>
      </x:c>
      <x:c r="U154" s="5" t="str">
        <x:v>P1</x:v>
      </x:c>
      <x:c r="V154" s="10" t="str">
        <x:v>구현</x:v>
      </x:c>
      <x:c r="W154" s="5" t="str">
        <x:v>메뉴는 일반 링크 및 모바일 메뉴 버튼으로 열리며 마우스오버만으로 열리는 탐색을 사용하지 않는다.</x:v>
      </x:c>
      <x:c r="X154" s="5" t="str">
        <x:v>apps/web/src/App.tsx#App
apps/web/src/styles.css</x:v>
      </x:c>
      <x:c r="Y154" s="5" t="str">
        <x:v>MAN-UI-103</x:v>
      </x:c>
      <x:c r="Z154" s="10" t="str">
        <x:v>미실행</x:v>
      </x:c>
      <x:c r="AA154" s="10" t="str">
        <x:v>미실행</x:v>
      </x:c>
      <x:c r="AB154" s="5" t="str"/>
      <x:c r="AC154" s="5" t="n">
        <x:v>0</x:v>
      </x:c>
      <x:c r="AD154" s="5" t="n">
        <x:v>1</x:v>
      </x:c>
      <x:c r="AE154" s="10" t="str">
        <x:v>미실행</x:v>
      </x:c>
      <x:c r="AF154" s="5" t="str"/>
      <x:c r="AG154" s="5" t="str"/>
      <x:c r="AH154" s="5" t="str"/>
      <x:c r="AI154" s="10" t="str">
        <x:v>재확인필요</x:v>
      </x:c>
      <x:c r="AJ154" s="5" t="str">
        <x:f>IF(AND(M154="적용",V154="구현",X154&lt;&gt;"",Y154&lt;&gt;"",AB154&lt;&gt;"",AC154&gt;0,AD154&gt;0,AE154="통과",AF154="",AG154&lt;&gt;"",AH154&lt;&gt;"",OR(S154="자동",S154="수동",S154="자동+수동"),IF(OR(S154="자동",S154="자동+수동"),Z154="통과",TRUE),IF(OR(S154="수동",S154="자동+수동"),AA154="통과",TRUE)),"통과",IF(OR(Z154="실패",AA154="실패",AE154="실패"),"실패","보류"))</x:f>
        <x:v>보류</x:v>
      </x:c>
      <x:c r="AK154" s="5" t="str">
        <x:v>KRDS-SEC-022</x:v>
      </x:c>
      <x:c r="AL154" s="5" t="str"/>
      <x:c r="AM154" s="5" t="str">
        <x:v>입력 v0.1 계획 주석은 original_plan_note에 보존. 최신 구현·시험·증빙은 연결 적용기록을 참조하며 전체 준수·인증을 주장하지 않음.</x:v>
      </x:c>
    </x:row>
    <x:row r="155" ht="26.399999618530273" hidden="0" customHeight="1">
      <x:c r="A155" s="5" t="str">
        <x:v>UI-104</x:v>
      </x:c>
      <x:c r="B155" s="5" t="str">
        <x:v>KRDS UI/UX</x:v>
      </x:c>
      <x:c r="C155" s="5" t="str">
        <x:v>UI 상세 통제</x:v>
      </x:c>
      <x:c r="D155" s="5" t="str">
        <x:v>모달</x:v>
      </x:c>
      <x:c r="E155" s="5" t="str">
        <x:v>대화상자 닫기 버튼의 논리적 DOM 순서 유지</x:v>
      </x:c>
      <x:c r="F155" s="5" t="str">
        <x:v>SRC-001</x:v>
      </x:c>
      <x:c r="G155" s="5" t="str">
        <x:v>2025.08</x:v>
      </x:c>
      <x:c r="H155" s="5" t="str">
        <x:v>컴포넌트 / 레이아웃·표현 / 모달</x:v>
      </x:c>
      <x:c r="I155" s="5" t="str">
        <x:v>397</x:v>
      </x:c>
      <x:c r="J155" s="5" t="str">
        <x:v>회사 채택안; 원문 의무수준과 별도 관리</x:v>
      </x:c>
      <x:c r="K155" s="5" t="str">
        <x:v>원문 등급 별도 확인</x:v>
      </x:c>
      <x:c r="L155" s="5" t="str">
        <x:v>MUST(안)</x:v>
      </x:c>
      <x:c r="M155" s="10" t="str">
        <x:v>적용</x:v>
      </x:c>
      <x:c r="N155" s="5" t="str">
        <x:v>업무요청 웹 샘플에 채택하는 회사 기준. 실제 이행은 구현 후 판정.</x:v>
      </x:c>
      <x:c r="O155" s="5" t="str">
        <x:v>관련 기능·적용 기관·계약 변경 시 재평가</x:v>
      </x:c>
      <x:c r="P155" s="5" t="str">
        <x:v>S01~S08 / 공통</x:v>
      </x:c>
      <x:c r="Q155" s="5" t="str">
        <x:v>제목·본문·액션 이후 닫기 컨트롤을 마크업하고 시각적 위치는 스타일로 조정</x:v>
      </x:c>
      <x:c r="R155" s="5" t="str">
        <x:v>화면낭독 순서·Tab 순서·초점복귀 확인</x:v>
      </x:c>
      <x:c r="S155" s="10" t="str">
        <x:v>자동+수동</x:v>
      </x:c>
      <x:c r="T155" s="5" t="str">
        <x:v>UX·개발·QA</x:v>
      </x:c>
      <x:c r="U155" s="5" t="str">
        <x:v>P0</x:v>
      </x:c>
      <x:c r="V155" s="10" t="str">
        <x:v>구현</x:v>
      </x:c>
      <x:c r="W155" s="5" t="str">
        <x:v>네이티브 dialog.showModal과 고유 제목 ID, 닫기 버튼, Escape, 명시적 Tab/Shift+Tab 내부 순환 및 닫은 뒤 원래 초점 복귀를 구현한다.</x:v>
      </x:c>
      <x:c r="X155" s="5" t="str">
        <x:v>apps/web/src/ui.tsx#Modal</x:v>
      </x:c>
      <x:c r="Y155" s="5" t="str">
        <x:v>MAN-UI-104</x:v>
      </x:c>
      <x:c r="Z155" s="10" t="str">
        <x:v>미실행</x:v>
      </x:c>
      <x:c r="AA155" s="10" t="str">
        <x:v>미실행</x:v>
      </x:c>
      <x:c r="AB155" s="5" t="str"/>
      <x:c r="AC155" s="5" t="n">
        <x:v>0</x:v>
      </x:c>
      <x:c r="AD155" s="5" t="n">
        <x:v>1</x:v>
      </x:c>
      <x:c r="AE155" s="10" t="str">
        <x:v>미실행</x:v>
      </x:c>
      <x:c r="AF155" s="5" t="str"/>
      <x:c r="AG155" s="5" t="str"/>
      <x:c r="AH155" s="5" t="str"/>
      <x:c r="AI155" s="10" t="str">
        <x:v>재확인필요</x:v>
      </x:c>
      <x:c r="AJ155" s="5" t="str">
        <x:f>IF(AND(M155="적용",V155="구현",X155&lt;&gt;"",Y155&lt;&gt;"",AB155&lt;&gt;"",AC155&gt;0,AD155&gt;0,AE155="통과",AF155="",AG155&lt;&gt;"",AH155&lt;&gt;"",OR(S155="자동",S155="수동",S155="자동+수동"),IF(OR(S155="자동",S155="자동+수동"),Z155="통과",TRUE),IF(OR(S155="수동",S155="자동+수동"),AA155="통과",TRUE)),"통과",IF(OR(Z155="실패",AA155="실패",AE155="실패"),"실패","보류"))</x:f>
        <x:v>보류</x:v>
      </x:c>
      <x:c r="AK155" s="5" t="str">
        <x:v>KRDS-SEC-032</x:v>
      </x:c>
      <x:c r="AL155" s="5" t="str"/>
      <x:c r="AM155" s="5" t="str">
        <x:v>입력 v0.1 계획 주석은 original_plan_note에 보존. 최신 구현·시험·증빙은 연결 적용기록을 참조하며 전체 준수·인증을 주장하지 않음.</x:v>
      </x:c>
    </x:row>
    <x:row r="156" ht="26.399999618530273" hidden="0" customHeight="1">
      <x:c r="A156" s="5" t="str">
        <x:v>UI-105</x:v>
      </x:c>
      <x:c r="B156" s="5" t="str">
        <x:v>KRDS UI/UX</x:v>
      </x:c>
      <x:c r="C156" s="5" t="str">
        <x:v>UI 상세 통제</x:v>
      </x:c>
      <x:c r="D156" s="5" t="str">
        <x:v>모달</x:v>
      </x:c>
      <x:c r="E156" s="5" t="str">
        <x:v>모달 키보드 상호작용과 초점 복귀 구현</x:v>
      </x:c>
      <x:c r="F156" s="5" t="str">
        <x:v>SRC-001</x:v>
      </x:c>
      <x:c r="G156" s="5" t="str">
        <x:v>2025.08</x:v>
      </x:c>
      <x:c r="H156" s="5" t="str">
        <x:v>컴포넌트 / 레이아웃·표현 / 모달</x:v>
      </x:c>
      <x:c r="I156" s="5" t="str">
        <x:v>398</x:v>
      </x:c>
      <x:c r="J156" s="5" t="str">
        <x:v>회사 채택안; 원문 의무수준과 별도 관리</x:v>
      </x:c>
      <x:c r="K156" s="5" t="str">
        <x:v>원문 등급 별도 확인</x:v>
      </x:c>
      <x:c r="L156" s="5" t="str">
        <x:v>MUST(안)</x:v>
      </x:c>
      <x:c r="M156" s="10" t="str">
        <x:v>적용</x:v>
      </x:c>
      <x:c r="N156" s="5" t="str">
        <x:v>업무요청 웹 샘플에 채택하는 회사 기준. 실제 이행은 구현 후 판정.</x:v>
      </x:c>
      <x:c r="O156" s="5" t="str">
        <x:v>관련 기능·적용 기관·계약 변경 시 재평가</x:v>
      </x:c>
      <x:c r="P156" s="5" t="str">
        <x:v>S01~S08 / 공통</x:v>
      </x:c>
      <x:c r="Q156" s="5" t="str">
        <x:v>배경 inert, 내부 Tab 순환, Escape 닫기, 열기 버튼 복귀</x:v>
      </x:c>
      <x:c r="R156" s="5" t="str">
        <x:v>대화상자 E2E와 스크린리더 수동 시험</x:v>
      </x:c>
      <x:c r="S156" s="10" t="str">
        <x:v>자동+수동</x:v>
      </x:c>
      <x:c r="T156" s="5" t="str">
        <x:v>UX·개발·QA</x:v>
      </x:c>
      <x:c r="U156" s="5" t="str">
        <x:v>P0</x:v>
      </x:c>
      <x:c r="V156" s="10" t="str">
        <x:v>구현</x:v>
      </x:c>
      <x:c r="W156" s="5" t="str">
        <x:v>네이티브 dialog.showModal과 고유 제목 ID, 닫기 버튼, Escape, 명시적 Tab/Shift+Tab 내부 순환 및 닫은 뒤 원래 초점 복귀를 구현한다.</x:v>
      </x:c>
      <x:c r="X156" s="5" t="str">
        <x:v>apps/web/src/ui.tsx#Modal</x:v>
      </x:c>
      <x:c r="Y156" s="5" t="str">
        <x:v>MAN-UI-105</x:v>
      </x:c>
      <x:c r="Z156" s="10" t="str">
        <x:v>미실행</x:v>
      </x:c>
      <x:c r="AA156" s="10" t="str">
        <x:v>미실행</x:v>
      </x:c>
      <x:c r="AB156" s="5" t="str"/>
      <x:c r="AC156" s="5" t="n">
        <x:v>0</x:v>
      </x:c>
      <x:c r="AD156" s="5" t="n">
        <x:v>1</x:v>
      </x:c>
      <x:c r="AE156" s="10" t="str">
        <x:v>미실행</x:v>
      </x:c>
      <x:c r="AF156" s="5" t="str"/>
      <x:c r="AG156" s="5" t="str"/>
      <x:c r="AH156" s="5" t="str"/>
      <x:c r="AI156" s="10" t="str">
        <x:v>재확인필요</x:v>
      </x:c>
      <x:c r="AJ156" s="5" t="str">
        <x:f>IF(AND(M156="적용",V156="구현",X156&lt;&gt;"",Y156&lt;&gt;"",AB156&lt;&gt;"",AC156&gt;0,AD156&gt;0,AE156="통과",AF156="",AG156&lt;&gt;"",AH156&lt;&gt;"",OR(S156="자동",S156="수동",S156="자동+수동"),IF(OR(S156="자동",S156="자동+수동"),Z156="통과",TRUE),IF(OR(S156="수동",S156="자동+수동"),AA156="통과",TRUE)),"통과",IF(OR(Z156="실패",AA156="실패",AE156="실패"),"실패","보류"))</x:f>
        <x:v>보류</x:v>
      </x:c>
      <x:c r="AK156" s="5" t="str">
        <x:v>KRDS-SEC-032</x:v>
      </x:c>
      <x:c r="AL156" s="5" t="str"/>
      <x:c r="AM156" s="5" t="str">
        <x:v>입력 v0.1 계획 주석은 original_plan_note에 보존. 최신 구현·시험·증빙은 연결 적용기록을 참조하며 전체 준수·인증을 주장하지 않음.</x:v>
      </x:c>
    </x:row>
    <x:row r="157" ht="26.399999618530273" hidden="0" customHeight="1">
      <x:c r="A157" s="5" t="str">
        <x:v>UI-106</x:v>
      </x:c>
      <x:c r="B157" s="5" t="str">
        <x:v>KRDS UI/UX</x:v>
      </x:c>
      <x:c r="C157" s="5" t="str">
        <x:v>UI 상세 통제</x:v>
      </x:c>
      <x:c r="D157" s="5" t="str">
        <x:v>표</x:v>
      </x:c>
      <x:c r="E157" s="5" t="str">
        <x:v>표의 제목과 행·열 제목 관계 제공</x:v>
      </x:c>
      <x:c r="F157" s="5" t="str">
        <x:v>SRC-001</x:v>
      </x:c>
      <x:c r="G157" s="5" t="str">
        <x:v>2025.08</x:v>
      </x:c>
      <x:c r="H157" s="5" t="str">
        <x:v>컴포넌트 / 레이아웃·표현 / 표</x:v>
      </x:c>
      <x:c r="I157" s="5" t="str">
        <x:v>469</x:v>
      </x:c>
      <x:c r="J157" s="5" t="str">
        <x:v>회사 채택안; 원문 의무수준과 별도 관리</x:v>
      </x:c>
      <x:c r="K157" s="5" t="str">
        <x:v>원문 등급 별도 확인</x:v>
      </x:c>
      <x:c r="L157" s="5" t="str">
        <x:v>MUST(안)</x:v>
      </x:c>
      <x:c r="M157" s="10" t="str">
        <x:v>적용</x:v>
      </x:c>
      <x:c r="N157" s="5" t="str">
        <x:v>업무요청 웹 샘플에 채택하는 회사 기준. 실제 이행은 구현 후 판정.</x:v>
      </x:c>
      <x:c r="O157" s="5" t="str">
        <x:v>관련 기능·적용 기관·계약 변경 시 재평가</x:v>
      </x:c>
      <x:c r="P157" s="5" t="str">
        <x:v>S01~S08 / 공통</x:v>
      </x:c>
      <x:c r="Q157" s="5" t="str">
        <x:v>caption·th/scope 또는 복잡표 headers/id를 구현</x:v>
      </x:c>
      <x:c r="R157" s="5" t="str">
        <x:v>표 탐색 시 각 데이터의 제목 관계 낭독</x:v>
      </x:c>
      <x:c r="S157" s="10" t="str">
        <x:v>자동+수동</x:v>
      </x:c>
      <x:c r="T157" s="5" t="str">
        <x:v>UX·개발·QA</x:v>
      </x:c>
      <x:c r="U157" s="5" t="str">
        <x:v>P1</x:v>
      </x:c>
      <x:c r="V157" s="10" t="str">
        <x:v>구현</x:v>
      </x:c>
      <x:c r="W157" s="5" t="str">
        <x:v>요청 table에 caption, thead, th scope=col을 제공한다. 정렬은 명시적인 폼 제출로 실행하고 URL 및 화면에 기준을 표시한다. 좁은 화면에는 이름이 있는 스크롤 영역을 제공한다.</x:v>
      </x:c>
      <x:c r="X157" s="5" t="str">
        <x:v>apps/web/src/App.tsx#RequestTable
apps/web/src/App.tsx#RequestList</x:v>
      </x:c>
      <x:c r="Y157" s="5" t="str">
        <x:v>MAN-UI-106</x:v>
      </x:c>
      <x:c r="Z157" s="10" t="str">
        <x:v>미실행</x:v>
      </x:c>
      <x:c r="AA157" s="10" t="str">
        <x:v>미실행</x:v>
      </x:c>
      <x:c r="AB157" s="5" t="str"/>
      <x:c r="AC157" s="5" t="n">
        <x:v>0</x:v>
      </x:c>
      <x:c r="AD157" s="5" t="n">
        <x:v>1</x:v>
      </x:c>
      <x:c r="AE157" s="10" t="str">
        <x:v>미실행</x:v>
      </x:c>
      <x:c r="AF157" s="5" t="str"/>
      <x:c r="AG157" s="5" t="str"/>
      <x:c r="AH157" s="5" t="str"/>
      <x:c r="AI157" s="10" t="str">
        <x:v>재확인필요</x:v>
      </x:c>
      <x:c r="AJ157" s="5" t="str">
        <x:f>IF(AND(M157="적용",V157="구현",X157&lt;&gt;"",Y157&lt;&gt;"",AB157&lt;&gt;"",AC157&gt;0,AD157&gt;0,AE157="통과",AF157="",AG157&lt;&gt;"",AH157&lt;&gt;"",OR(S157="자동",S157="수동",S157="자동+수동"),IF(OR(S157="자동",S157="자동+수동"),Z157="통과",TRUE),IF(OR(S157="수동",S157="자동+수동"),AA157="통과",TRUE)),"통과",IF(OR(Z157="실패",AA157="실패",AE157="실패"),"실패","보류"))</x:f>
        <x:v>보류</x:v>
      </x:c>
      <x:c r="AK157" s="5" t="str">
        <x:v>KRDS-SEC-038</x:v>
      </x:c>
      <x:c r="AL157" s="5" t="str"/>
      <x:c r="AM157" s="5" t="str">
        <x:v>입력 v0.1 계획 주석은 original_plan_note에 보존. 최신 구현·시험·증빙은 연결 적용기록을 참조하며 전체 준수·인증을 주장하지 않음.</x:v>
      </x:c>
    </x:row>
    <x:row r="158" ht="26.399999618530273" hidden="0" customHeight="1">
      <x:c r="A158" s="5" t="str">
        <x:v>UI-107</x:v>
      </x:c>
      <x:c r="B158" s="5" t="str">
        <x:v>KRDS UI/UX</x:v>
      </x:c>
      <x:c r="C158" s="5" t="str">
        <x:v>UI 상세 통제</x:v>
      </x:c>
      <x:c r="D158" s="5" t="str">
        <x:v>체크박스</x:v>
      </x:c>
      <x:c r="E158" s="5" t="str">
        <x:v>체크 상태를 색상만으로 표현하지 않음</x:v>
      </x:c>
      <x:c r="F158" s="5" t="str">
        <x:v>SRC-001</x:v>
      </x:c>
      <x:c r="G158" s="5" t="str">
        <x:v>2025.08</x:v>
      </x:c>
      <x:c r="H158" s="5" t="str">
        <x:v>컴포넌트 / 선택 / 체크박스</x:v>
      </x:c>
      <x:c r="I158" s="5" t="str">
        <x:v>547</x:v>
      </x:c>
      <x:c r="J158" s="5" t="str">
        <x:v>회사 채택안; 원문 의무수준과 별도 관리</x:v>
      </x:c>
      <x:c r="K158" s="5" t="str">
        <x:v>원문 등급 별도 확인</x:v>
      </x:c>
      <x:c r="L158" s="5" t="str">
        <x:v>MUST(안)</x:v>
      </x:c>
      <x:c r="M158" s="10" t="str">
        <x:v>적용</x:v>
      </x:c>
      <x:c r="N158" s="5" t="str">
        <x:v>업무요청 웹 샘플에 채택하는 회사 기준. 실제 이행은 구현 후 판정.</x:v>
      </x:c>
      <x:c r="O158" s="5" t="str">
        <x:v>관련 기능·적용 기관·계약 변경 시 재평가</x:v>
      </x:c>
      <x:c r="P158" s="5" t="str">
        <x:v>S01~S08 / 공통</x:v>
      </x:c>
      <x:c r="Q158" s="5" t="str">
        <x:v>체크표시·mixed 표시와 checked 상태를 함께 제공</x:v>
      </x:c>
      <x:c r="R158" s="5" t="str">
        <x:v>색상 제거와 보조기술 상태 확인</x:v>
      </x:c>
      <x:c r="S158" s="10" t="str">
        <x:v>자동+수동</x:v>
      </x:c>
      <x:c r="T158" s="5" t="str">
        <x:v>UX·개발·QA</x:v>
      </x:c>
      <x:c r="U158" s="5" t="str">
        <x:v>P1</x:v>
      </x:c>
      <x:c r="V158" s="10" t="str">
        <x:v>구현</x:v>
      </x:c>
      <x:c r="W158" s="5" t="str">
        <x:v>갤러리에 native checkbox로 복수선택·모두 선택·일부 선택의 실제 indeterminate 속성·비활성 상태를 구현한다. 체크/중간상태를 색만으로 표현하지 않으며 그룹 legend와 label을 연결한다.</x:v>
      </x:c>
      <x:c r="X158" s="5" t="str">
        <x:v>apps/web/src/ui.tsx#CheckboxGroupExample</x:v>
      </x:c>
      <x:c r="Y158" s="5" t="str">
        <x:v>MAN-UI-107</x:v>
      </x:c>
      <x:c r="Z158" s="10" t="str">
        <x:v>미실행</x:v>
      </x:c>
      <x:c r="AA158" s="10" t="str">
        <x:v>미실행</x:v>
      </x:c>
      <x:c r="AB158" s="5" t="str"/>
      <x:c r="AC158" s="5" t="n">
        <x:v>0</x:v>
      </x:c>
      <x:c r="AD158" s="5" t="n">
        <x:v>1</x:v>
      </x:c>
      <x:c r="AE158" s="10" t="str">
        <x:v>미실행</x:v>
      </x:c>
      <x:c r="AF158" s="5" t="str"/>
      <x:c r="AG158" s="5" t="str"/>
      <x:c r="AH158" s="5" t="str"/>
      <x:c r="AI158" s="10" t="str">
        <x:v>재확인필요</x:v>
      </x:c>
      <x:c r="AJ158" s="5" t="str">
        <x:f>IF(AND(M158="적용",V158="구현",X158&lt;&gt;"",Y158&lt;&gt;"",AB158&lt;&gt;"",AC158&gt;0,AD158&gt;0,AE158="통과",AF158="",AG158&lt;&gt;"",AH158&lt;&gt;"",OR(S158="자동",S158="수동",S158="자동+수동"),IF(OR(S158="자동",S158="자동+수동"),Z158="통과",TRUE),IF(OR(S158="수동",S158="자동+수동"),AA158="통과",TRUE)),"통과",IF(OR(Z158="실패",AA158="실패",AE158="실패"),"실패","보류"))</x:f>
        <x:v>보류</x:v>
      </x:c>
      <x:c r="AK158" s="5" t="str">
        <x:v>KRDS-SEC-044</x:v>
      </x:c>
      <x:c r="AL158" s="5" t="str"/>
      <x:c r="AM158" s="5" t="str">
        <x:v>입력 v0.1 계획 주석은 original_plan_note에 보존. 최신 구현·시험·증빙은 연결 적용기록을 참조하며 전체 준수·인증을 주장하지 않음.</x:v>
      </x:c>
    </x:row>
    <x:row r="159" ht="39.599998474121094" hidden="0" customHeight="1">
      <x:c r="A159" s="5" t="str">
        <x:v>UI-108</x:v>
      </x:c>
      <x:c r="B159" s="5" t="str">
        <x:v>KRDS UI/UX</x:v>
      </x:c>
      <x:c r="C159" s="5" t="str">
        <x:v>UI 상세 통제</x:v>
      </x:c>
      <x:c r="D159" s="5" t="str">
        <x:v>셀렉트</x:v>
      </x:c>
      <x:c r="E159" s="5" t="str">
        <x:v>선택값 변경만으로 폼을 자동 제출하지 않음</x:v>
      </x:c>
      <x:c r="F159" s="5" t="str">
        <x:v>SRC-001</x:v>
      </x:c>
      <x:c r="G159" s="5" t="str">
        <x:v>2025.08</x:v>
      </x:c>
      <x:c r="H159" s="5" t="str">
        <x:v>컴포넌트 / 선택 / 셀렉트</x:v>
      </x:c>
      <x:c r="I159" s="5" t="str">
        <x:v>555</x:v>
      </x:c>
      <x:c r="J159" s="5" t="str">
        <x:v>회사 채택안; 원문 의무수준과 별도 관리</x:v>
      </x:c>
      <x:c r="K159" s="5" t="str">
        <x:v>원문 등급 별도 확인</x:v>
      </x:c>
      <x:c r="L159" s="5" t="str">
        <x:v>MUST(안)</x:v>
      </x:c>
      <x:c r="M159" s="10" t="str">
        <x:v>적용</x:v>
      </x:c>
      <x:c r="N159" s="5" t="str">
        <x:v>업무요청 웹 샘플에 채택하는 회사 기준. 실제 이행은 구현 후 판정.</x:v>
      </x:c>
      <x:c r="O159" s="5" t="str">
        <x:v>관련 기능·적용 기관·계약 변경 시 재평가</x:v>
      </x:c>
      <x:c r="P159" s="5" t="str">
        <x:v>S05</x:v>
      </x:c>
      <x:c r="Q159" s="5" t="str">
        <x:v>신청 제출은 별도 버튼으로 확정</x:v>
      </x:c>
      <x:c r="R159" s="5" t="str">
        <x:v>값 변경 시 의도하지 않은 이동·제출 부재 확인</x:v>
      </x:c>
      <x:c r="S159" s="10" t="str">
        <x:v>자동+수동</x:v>
      </x:c>
      <x:c r="T159" s="5" t="str">
        <x:v>UX·개발·QA</x:v>
      </x:c>
      <x:c r="U159" s="5" t="str">
        <x:v>P1</x:v>
      </x:c>
      <x:c r="V159" s="10" t="str">
        <x:v>구현</x:v>
      </x:c>
      <x:c r="W159" s="5" t="str">
        <x:v>native select와 label을 연결하고 요청 검색은 검색 버튼으로 명시 제출한다. 표준 필터의 즉시 갱신은 페이지 이동 없이 결과 수를 알린다.</x:v>
      </x:c>
      <x:c r="X159" s="5" t="str">
        <x:v>apps/web/src/App.tsx#RequestList
apps/web/src/StandardsBrowser.tsx#StandardsBrowser
apps/web/src/App.tsx#RequestDetail</x:v>
      </x:c>
      <x:c r="Y159" s="5" t="str">
        <x:v>MAN-UI-108</x:v>
      </x:c>
      <x:c r="Z159" s="10" t="str">
        <x:v>미실행</x:v>
      </x:c>
      <x:c r="AA159" s="10" t="str">
        <x:v>미실행</x:v>
      </x:c>
      <x:c r="AB159" s="5" t="str"/>
      <x:c r="AC159" s="5" t="n">
        <x:v>0</x:v>
      </x:c>
      <x:c r="AD159" s="5" t="n">
        <x:v>1</x:v>
      </x:c>
      <x:c r="AE159" s="10" t="str">
        <x:v>미실행</x:v>
      </x:c>
      <x:c r="AF159" s="5" t="str"/>
      <x:c r="AG159" s="5" t="str"/>
      <x:c r="AH159" s="5" t="str"/>
      <x:c r="AI159" s="10" t="str">
        <x:v>재확인필요</x:v>
      </x:c>
      <x:c r="AJ159" s="5" t="str">
        <x:f>IF(AND(M159="적용",V159="구현",X159&lt;&gt;"",Y159&lt;&gt;"",AB159&lt;&gt;"",AC159&gt;0,AD159&gt;0,AE159="통과",AF159="",AG159&lt;&gt;"",AH159&lt;&gt;"",OR(S159="자동",S159="수동",S159="자동+수동"),IF(OR(S159="자동",S159="자동+수동"),Z159="통과",TRUE),IF(OR(S159="수동",S159="자동+수동"),AA159="통과",TRUE)),"통과",IF(OR(Z159="실패",AA159="실패",AE159="실패"),"실패","보류"))</x:f>
        <x:v>보류</x:v>
      </x:c>
      <x:c r="AK159" s="5" t="str">
        <x:v>KRDS-SEC-045</x:v>
      </x:c>
      <x:c r="AL159" s="5" t="str"/>
      <x:c r="AM159" s="5" t="str">
        <x:v>입력 v0.1 계획 주석은 original_plan_note에 보존. 최신 구현·시험·증빙은 연결 적용기록을 참조하며 전체 준수·인증을 주장하지 않음.</x:v>
      </x:c>
    </x:row>
    <x:row r="160" ht="26.399999618530273" hidden="0" customHeight="1">
      <x:c r="A160" s="5" t="str">
        <x:v>UI-109</x:v>
      </x:c>
      <x:c r="B160" s="5" t="str">
        <x:v>KRDS UI/UX</x:v>
      </x:c>
      <x:c r="C160" s="5" t="str">
        <x:v>UI 상세 통제</x:v>
      </x:c>
      <x:c r="D160" s="5" t="str">
        <x:v>토글 스위치</x:v>
      </x:c>
      <x:c r="E160" s="5" t="str">
        <x:v>스위치의 상태와 키보드 초점 표시</x:v>
      </x:c>
      <x:c r="F160" s="5" t="str">
        <x:v>SRC-001</x:v>
      </x:c>
      <x:c r="G160" s="5" t="str">
        <x:v>2025.08</x:v>
      </x:c>
      <x:c r="H160" s="5" t="str">
        <x:v>컴포넌트 / 선택 / 토글 스위치</x:v>
      </x:c>
      <x:c r="I160" s="5" t="str">
        <x:v>578</x:v>
      </x:c>
      <x:c r="J160" s="5" t="str">
        <x:v>회사 채택안; 원문 의무수준과 별도 관리</x:v>
      </x:c>
      <x:c r="K160" s="5" t="str">
        <x:v>원문 등급 별도 확인</x:v>
      </x:c>
      <x:c r="L160" s="5" t="str">
        <x:v>MUST(안)</x:v>
      </x:c>
      <x:c r="M160" s="10" t="str">
        <x:v>적용</x:v>
      </x:c>
      <x:c r="N160" s="5" t="str">
        <x:v>업무요청 웹 샘플에 채택하는 회사 기준. 실제 이행은 구현 후 판정.</x:v>
      </x:c>
      <x:c r="O160" s="5" t="str">
        <x:v>관련 기능·적용 기관·계약 변경 시 재평가</x:v>
      </x:c>
      <x:c r="P160" s="5" t="str">
        <x:v>S01~S08 / 공통</x:v>
      </x:c>
      <x:c r="Q160" s="5" t="str">
        <x:v>키보드 접근 가능한 실제 컨트롤에 상태·포커스 스타일 적용</x:v>
      </x:c>
      <x:c r="R160" s="5" t="str">
        <x:v>Tab/Space·checked와 포커스링 확인</x:v>
      </x:c>
      <x:c r="S160" s="10" t="str">
        <x:v>자동+수동</x:v>
      </x:c>
      <x:c r="T160" s="5" t="str">
        <x:v>UX·개발·QA</x:v>
      </x:c>
      <x:c r="U160" s="5" t="str">
        <x:v>P1</x:v>
      </x:c>
      <x:c r="V160" s="10" t="str">
        <x:v>구현</x:v>
      </x:c>
      <x:c r="W160" s="5" t="str">
        <x:v>갤러리의 native checkbox role=switch로 이름과 켜짐/꺼짐·비활성 상태를 제공한다. Space 조작과 명시적 aria-checked 및 가시적인 초점·손잡이 위치·상태 텍스트를 함께 제공한다.</x:v>
      </x:c>
      <x:c r="X160" s="5" t="str">
        <x:v>apps/web/src/ui.tsx#SwitchExample
apps/web/src/styles.css</x:v>
      </x:c>
      <x:c r="Y160" s="5" t="str">
        <x:v>MAN-UI-109</x:v>
      </x:c>
      <x:c r="Z160" s="10" t="str">
        <x:v>미실행</x:v>
      </x:c>
      <x:c r="AA160" s="10" t="str">
        <x:v>미실행</x:v>
      </x:c>
      <x:c r="AB160" s="5" t="str"/>
      <x:c r="AC160" s="5" t="n">
        <x:v>0</x:v>
      </x:c>
      <x:c r="AD160" s="5" t="n">
        <x:v>1</x:v>
      </x:c>
      <x:c r="AE160" s="10" t="str">
        <x:v>미실행</x:v>
      </x:c>
      <x:c r="AF160" s="5" t="str"/>
      <x:c r="AG160" s="5" t="str"/>
      <x:c r="AH160" s="5" t="str"/>
      <x:c r="AI160" s="10" t="str">
        <x:v>재확인필요</x:v>
      </x:c>
      <x:c r="AJ160" s="5" t="str">
        <x:f>IF(AND(M160="적용",V160="구현",X160&lt;&gt;"",Y160&lt;&gt;"",AB160&lt;&gt;"",AC160&gt;0,AD160&gt;0,AE160="통과",AF160="",AG160&lt;&gt;"",AH160&lt;&gt;"",OR(S160="자동",S160="수동",S160="자동+수동"),IF(OR(S160="자동",S160="자동+수동"),Z160="통과",TRUE),IF(OR(S160="수동",S160="자동+수동"),AA160="통과",TRUE)),"통과",IF(OR(Z160="실패",AA160="실패",AE160="실패"),"실패","보류"))</x:f>
        <x:v>보류</x:v>
      </x:c>
      <x:c r="AK160" s="5" t="str">
        <x:v>KRDS-SEC-047</x:v>
      </x:c>
      <x:c r="AL160" s="5" t="str"/>
      <x:c r="AM160" s="5" t="str">
        <x:v>입력 v0.1 계획 주석은 original_plan_note에 보존. 최신 구현·시험·증빙은 연결 적용기록을 참조하며 전체 준수·인증을 주장하지 않음.</x:v>
      </x:c>
    </x:row>
    <x:row r="161" ht="26.399999618530273" hidden="0" customHeight="1">
      <x:c r="A161" s="5" t="str">
        <x:v>UI-110</x:v>
      </x:c>
      <x:c r="B161" s="5" t="str">
        <x:v>KRDS UI/UX</x:v>
      </x:c>
      <x:c r="C161" s="5" t="str">
        <x:v>UI 상세 통제</x:v>
      </x:c>
      <x:c r="D161" s="5" t="str">
        <x:v>툴팁</x:v>
      </x:c>
      <x:c r="E161" s="5" t="str">
        <x:v>툴팁에 필수 설명을 독점 배치하지 않음</x:v>
      </x:c>
      <x:c r="F161" s="5" t="str">
        <x:v>SRC-001</x:v>
      </x:c>
      <x:c r="G161" s="5" t="str">
        <x:v>2025.08</x:v>
      </x:c>
      <x:c r="H161" s="5" t="str">
        <x:v>컴포넌트 / 도움 / 툴팁</x:v>
      </x:c>
      <x:c r="I161" s="5" t="str">
        <x:v>652</x:v>
      </x:c>
      <x:c r="J161" s="5" t="str">
        <x:v>회사 채택안; 원문 의무수준과 별도 관리</x:v>
      </x:c>
      <x:c r="K161" s="5" t="str">
        <x:v>원문 등급 별도 확인</x:v>
      </x:c>
      <x:c r="L161" s="5" t="str">
        <x:v>MUST(안)</x:v>
      </x:c>
      <x:c r="M161" s="10" t="str">
        <x:v>적용</x:v>
      </x:c>
      <x:c r="N161" s="5" t="str">
        <x:v>업무요청 웹 샘플에 채택하는 회사 기준. 실제 이행은 구현 후 판정.</x:v>
      </x:c>
      <x:c r="O161" s="5" t="str">
        <x:v>관련 기능·적용 기관·계약 변경 시 재평가</x:v>
      </x:c>
      <x:c r="P161" s="5" t="str">
        <x:v>S05</x:v>
      </x:c>
      <x:c r="Q161" s="5" t="str">
        <x:v>필수 입력 안내·오류는 화면 본문에 항상 제공</x:v>
      </x:c>
      <x:c r="R161" s="5" t="str">
        <x:v>터치·확대·보조기술에서도 필수 내용 확인</x:v>
      </x:c>
      <x:c r="S161" s="10" t="str">
        <x:v>자동+수동</x:v>
      </x:c>
      <x:c r="T161" s="5" t="str">
        <x:v>UX·개발·QA</x:v>
      </x:c>
      <x:c r="U161" s="5" t="str">
        <x:v>P1</x:v>
      </x:c>
      <x:c r="V161" s="10" t="str">
        <x:v>구현</x:v>
      </x:c>
      <x:c r="W161" s="5" t="str">
        <x:v>필수 입력 조건과 도움말은 항상 보이는 본문 및 aria-describedby에 배치하며 툴팁에 독점하지 않는다.</x:v>
      </x:c>
      <x:c r="X161" s="5" t="str">
        <x:v>apps/web/src/App.tsx#Help
apps/web/src/App.tsx#RequestWizard</x:v>
      </x:c>
      <x:c r="Y161" s="5" t="str">
        <x:v>MAN-UI-110</x:v>
      </x:c>
      <x:c r="Z161" s="10" t="str">
        <x:v>미실행</x:v>
      </x:c>
      <x:c r="AA161" s="10" t="str">
        <x:v>미실행</x:v>
      </x:c>
      <x:c r="AB161" s="5" t="str"/>
      <x:c r="AC161" s="5" t="n">
        <x:v>0</x:v>
      </x:c>
      <x:c r="AD161" s="5" t="n">
        <x:v>1</x:v>
      </x:c>
      <x:c r="AE161" s="10" t="str">
        <x:v>미실행</x:v>
      </x:c>
      <x:c r="AF161" s="5" t="str"/>
      <x:c r="AG161" s="5" t="str"/>
      <x:c r="AH161" s="5" t="str"/>
      <x:c r="AI161" s="10" t="str">
        <x:v>재확인필요</x:v>
      </x:c>
      <x:c r="AJ161" s="5" t="str">
        <x:f>IF(AND(M161="적용",V161="구현",X161&lt;&gt;"",Y161&lt;&gt;"",AB161&lt;&gt;"",AC161&gt;0,AD161&gt;0,AE161="통과",AF161="",AG161&lt;&gt;"",AH161&lt;&gt;"",OR(S161="자동",S161="수동",S161="자동+수동"),IF(OR(S161="자동",S161="자동+수동"),Z161="통과",TRUE),IF(OR(S161="수동",S161="자동+수동"),AA161="통과",TRUE)),"통과",IF(OR(Z161="실패",AA161="실패",AE161="실패"),"실패","보류"))</x:f>
        <x:v>보류</x:v>
      </x:c>
      <x:c r="AK161" s="5" t="str">
        <x:v>KRDS-SEC-054</x:v>
      </x:c>
      <x:c r="AL161" s="5" t="str"/>
      <x:c r="AM161" s="5" t="str">
        <x:v>입력 v0.1 계획 주석은 original_plan_note에 보존. 최신 구현·시험·증빙은 연결 적용기록을 참조하며 전체 준수·인증을 주장하지 않음.</x:v>
      </x:c>
    </x:row>
    <x:row r="162" ht="52.79999923706055" hidden="0" customHeight="1">
      <x:c r="A162" s="5" t="str">
        <x:v>UI-111</x:v>
      </x:c>
      <x:c r="B162" s="5" t="str">
        <x:v>KRDS UI/UX</x:v>
      </x:c>
      <x:c r="C162" s="5" t="str">
        <x:v>UI 상세 통제</x:v>
      </x:c>
      <x:c r="D162" s="5" t="str">
        <x:v>파일 업로드</x:v>
      </x:c>
      <x:c r="E162" s="5" t="str">
        <x:v>첨부 유형·크기·개수의 제약을 사전 안내</x:v>
      </x:c>
      <x:c r="F162" s="5" t="str">
        <x:v>SRC-001</x:v>
      </x:c>
      <x:c r="G162" s="5" t="str">
        <x:v>2025.08</x:v>
      </x:c>
      <x:c r="H162" s="5" t="str">
        <x:v>컴포넌트 / 입력 / 파일 업로드</x:v>
      </x:c>
      <x:c r="I162" s="5" t="str">
        <x:v>701</x:v>
      </x:c>
      <x:c r="J162" s="5" t="str">
        <x:v>회사 채택안; 원문 의무수준과 별도 관리</x:v>
      </x:c>
      <x:c r="K162" s="5" t="str">
        <x:v>원문 등급 별도 확인</x:v>
      </x:c>
      <x:c r="L162" s="5" t="str">
        <x:v>MUST(안)</x:v>
      </x:c>
      <x:c r="M162" s="10" t="str">
        <x:v>적용</x:v>
      </x:c>
      <x:c r="N162" s="5" t="str">
        <x:v>업무요청 웹 샘플에 채택하는 회사 기준. 실제 이행은 구현 후 판정.</x:v>
      </x:c>
      <x:c r="O162" s="5" t="str">
        <x:v>관련 기능·적용 기관·계약 변경 시 재평가</x:v>
      </x:c>
      <x:c r="P162" s="5" t="str">
        <x:v>S04, S05</x:v>
      </x:c>
      <x:c r="Q162" s="5" t="str">
        <x:v>업무·보안상 필요한 파일 허용목록과 제한을 명시하고 서버에서도 동일 검증</x:v>
      </x:c>
      <x:c r="R162" s="5" t="str">
        <x:v>허용·금지 확장자, 위장 MIME, 초과크기·개수 검증</x:v>
      </x:c>
      <x:c r="S162" s="10" t="str">
        <x:v>자동+수동</x:v>
      </x:c>
      <x:c r="T162" s="5" t="str">
        <x:v>UX·개발·QA</x:v>
      </x:c>
      <x:c r="U162" s="5" t="str">
        <x:v>P0</x:v>
      </x:c>
      <x:c r="V162" s="10" t="str">
        <x:v>구현</x:v>
      </x:c>
      <x:c r="W162" s="5" t="str">
        <x:v>파일 선택 버튼으로 TXT/PDF/PNG·파일당5MB·최대3개를 사전 안내한다. 선택만으로 제출하지 않고 검토/업로드 버튼을 요구한다. 프런트 안내와 별도로 서버 실제형식 검증을 이용한다.</x:v>
      </x:c>
      <x:c r="X162" s="5" t="str">
        <x:v>apps/web/src/App.tsx#RequestWizard
apps/web/src/App.tsx#RequestDetail
apps/web/src/App.tsx#validateFiles
apps/web/src/api.ts#uploadFiles</x:v>
      </x:c>
      <x:c r="Y162" s="5" t="str">
        <x:v>MAN-UI-111</x:v>
      </x:c>
      <x:c r="Z162" s="10" t="str">
        <x:v>미실행</x:v>
      </x:c>
      <x:c r="AA162" s="10" t="str">
        <x:v>미실행</x:v>
      </x:c>
      <x:c r="AB162" s="5" t="str"/>
      <x:c r="AC162" s="5" t="n">
        <x:v>0</x:v>
      </x:c>
      <x:c r="AD162" s="5" t="n">
        <x:v>1</x:v>
      </x:c>
      <x:c r="AE162" s="10" t="str">
        <x:v>미실행</x:v>
      </x:c>
      <x:c r="AF162" s="5" t="str"/>
      <x:c r="AG162" s="5" t="str"/>
      <x:c r="AH162" s="5" t="str"/>
      <x:c r="AI162" s="10" t="str">
        <x:v>재확인필요</x:v>
      </x:c>
      <x:c r="AJ162" s="5" t="str">
        <x:f>IF(AND(M162="적용",V162="구현",X162&lt;&gt;"",Y162&lt;&gt;"",AB162&lt;&gt;"",AC162&gt;0,AD162&gt;0,AE162="통과",AF162="",AG162&lt;&gt;"",AH162&lt;&gt;"",OR(S162="자동",S162="수동",S162="자동+수동"),IF(OR(S162="자동",S162="자동+수동"),Z162="통과",TRUE),IF(OR(S162="수동",S162="자동+수동"),AA162="통과",TRUE)),"통과",IF(OR(Z162="실패",AA162="실패",AE162="실패"),"실패","보류"))</x:f>
        <x:v>보류</x:v>
      </x:c>
      <x:c r="AK162" s="5" t="str">
        <x:v>KRDS-SEC-058</x:v>
      </x:c>
      <x:c r="AL162" s="5" t="str"/>
      <x:c r="AM162" s="5" t="str">
        <x:v>입력 v0.1 계획 주석은 original_plan_note에 보존. 최신 구현·시험·증빙은 연결 적용기록을 참조하며 전체 준수·인증을 주장하지 않음.</x:v>
      </x:c>
    </x:row>
    <x:row r="163" ht="52.79999923706055" hidden="0" customHeight="1">
      <x:c r="A163" s="5" t="str">
        <x:v>UI-112</x:v>
      </x:c>
      <x:c r="B163" s="5" t="str">
        <x:v>KRDS UI/UX</x:v>
      </x:c>
      <x:c r="C163" s="5" t="str">
        <x:v>UI 상세 통제</x:v>
      </x:c>
      <x:c r="D163" s="5" t="str">
        <x:v>파일 업로드</x:v>
      </x:c>
      <x:c r="E163" s="5" t="str">
        <x:v>파일 선택만으로 업무를 자동 제출하지 않음</x:v>
      </x:c>
      <x:c r="F163" s="5" t="str">
        <x:v>SRC-001</x:v>
      </x:c>
      <x:c r="G163" s="5" t="str">
        <x:v>2025.08</x:v>
      </x:c>
      <x:c r="H163" s="5" t="str">
        <x:v>컴포넌트 / 입력 / 파일 업로드</x:v>
      </x:c>
      <x:c r="I163" s="5" t="str">
        <x:v>708</x:v>
      </x:c>
      <x:c r="J163" s="5" t="str">
        <x:v>회사 채택안; 원문 의무수준과 별도 관리</x:v>
      </x:c>
      <x:c r="K163" s="5" t="str">
        <x:v>원문 등급 별도 확인</x:v>
      </x:c>
      <x:c r="L163" s="5" t="str">
        <x:v>MUST(안)</x:v>
      </x:c>
      <x:c r="M163" s="10" t="str">
        <x:v>적용</x:v>
      </x:c>
      <x:c r="N163" s="5" t="str">
        <x:v>업무요청 웹 샘플에 채택하는 회사 기준. 실제 이행은 구현 후 판정.</x:v>
      </x:c>
      <x:c r="O163" s="5" t="str">
        <x:v>관련 기능·적용 기관·계약 변경 시 재평가</x:v>
      </x:c>
      <x:c r="P163" s="5" t="str">
        <x:v>S04, S05</x:v>
      </x:c>
      <x:c r="Q163" s="5" t="str">
        <x:v>선택·업로드 준비와 최종 업무 제출을 분리</x:v>
      </x:c>
      <x:c r="R163" s="5" t="str">
        <x:v>파일 선택 후 확인 가능한 상태와 취소 경로 확인</x:v>
      </x:c>
      <x:c r="S163" s="10" t="str">
        <x:v>자동+수동</x:v>
      </x:c>
      <x:c r="T163" s="5" t="str">
        <x:v>UX·개발·QA</x:v>
      </x:c>
      <x:c r="U163" s="5" t="str">
        <x:v>P0</x:v>
      </x:c>
      <x:c r="V163" s="10" t="str">
        <x:v>구현</x:v>
      </x:c>
      <x:c r="W163" s="5" t="str">
        <x:v>파일 선택 버튼으로 TXT/PDF/PNG·파일당5MB·최대3개를 사전 안내한다. 선택만으로 제출하지 않고 검토/업로드 버튼을 요구한다. 프런트 안내와 별도로 서버 실제형식 검증을 이용한다.</x:v>
      </x:c>
      <x:c r="X163" s="5" t="str">
        <x:v>apps/web/src/App.tsx#RequestWizard
apps/web/src/App.tsx#RequestDetail
apps/web/src/App.tsx#validateFiles
apps/web/src/api.ts#uploadFiles</x:v>
      </x:c>
      <x:c r="Y163" s="5" t="str">
        <x:v>MAN-UI-112</x:v>
      </x:c>
      <x:c r="Z163" s="10" t="str">
        <x:v>미실행</x:v>
      </x:c>
      <x:c r="AA163" s="10" t="str">
        <x:v>미실행</x:v>
      </x:c>
      <x:c r="AB163" s="5" t="str"/>
      <x:c r="AC163" s="5" t="n">
        <x:v>0</x:v>
      </x:c>
      <x:c r="AD163" s="5" t="n">
        <x:v>1</x:v>
      </x:c>
      <x:c r="AE163" s="10" t="str">
        <x:v>미실행</x:v>
      </x:c>
      <x:c r="AF163" s="5" t="str"/>
      <x:c r="AG163" s="5" t="str"/>
      <x:c r="AH163" s="5" t="str"/>
      <x:c r="AI163" s="10" t="str">
        <x:v>재확인필요</x:v>
      </x:c>
      <x:c r="AJ163" s="5" t="str">
        <x:f>IF(AND(M163="적용",V163="구현",X163&lt;&gt;"",Y163&lt;&gt;"",AB163&lt;&gt;"",AC163&gt;0,AD163&gt;0,AE163="통과",AF163="",AG163&lt;&gt;"",AH163&lt;&gt;"",OR(S163="자동",S163="수동",S163="자동+수동"),IF(OR(S163="자동",S163="자동+수동"),Z163="통과",TRUE),IF(OR(S163="수동",S163="자동+수동"),AA163="통과",TRUE)),"통과",IF(OR(Z163="실패",AA163="실패",AE163="실패"),"실패","보류"))</x:f>
        <x:v>보류</x:v>
      </x:c>
      <x:c r="AK163" s="5" t="str">
        <x:v>KRDS-SEC-058</x:v>
      </x:c>
      <x:c r="AL163" s="5" t="str"/>
      <x:c r="AM163" s="5" t="str">
        <x:v>입력 v0.1 계획 주석은 original_plan_note에 보존. 최신 구현·시험·증빙은 연결 적용기록을 참조하며 전체 준수·인증을 주장하지 않음.</x:v>
      </x:c>
    </x:row>
    <x:row r="164" ht="52.79999923706055" hidden="0" customHeight="1">
      <x:c r="A164" s="5" t="str">
        <x:v>UI-113</x:v>
      </x:c>
      <x:c r="B164" s="5" t="str">
        <x:v>KRDS UI/UX</x:v>
      </x:c>
      <x:c r="C164" s="5" t="str">
        <x:v>UI 상세 통제</x:v>
      </x:c>
      <x:c r="D164" s="5" t="str">
        <x:v>파일 업로드</x:v>
      </x:c>
      <x:c r="E164" s="5" t="str">
        <x:v>드래그앤드롭 외에 파일 선택 대안 제공</x:v>
      </x:c>
      <x:c r="F164" s="5" t="str">
        <x:v>SRC-001</x:v>
      </x:c>
      <x:c r="G164" s="5" t="str">
        <x:v>2025.08</x:v>
      </x:c>
      <x:c r="H164" s="5" t="str">
        <x:v>컴포넌트 / 입력 / 파일 업로드</x:v>
      </x:c>
      <x:c r="I164" s="5" t="str">
        <x:v>711</x:v>
      </x:c>
      <x:c r="J164" s="5" t="str">
        <x:v>회사 채택안; 원문 의무수준과 별도 관리</x:v>
      </x:c>
      <x:c r="K164" s="5" t="str">
        <x:v>원문 등급 별도 확인</x:v>
      </x:c>
      <x:c r="L164" s="5" t="str">
        <x:v>MUST(안)</x:v>
      </x:c>
      <x:c r="M164" s="10" t="str">
        <x:v>적용</x:v>
      </x:c>
      <x:c r="N164" s="5" t="str">
        <x:v>업무요청 웹 샘플에 채택하는 회사 기준. 실제 이행은 구현 후 판정.</x:v>
      </x:c>
      <x:c r="O164" s="5" t="str">
        <x:v>관련 기능·적용 기관·계약 변경 시 재평가</x:v>
      </x:c>
      <x:c r="P164" s="5" t="str">
        <x:v>S04, S05</x:v>
      </x:c>
      <x:c r="Q164" s="5" t="str">
        <x:v>브라우저 기본 file input과 label/버튼으로 동일 첨부 기능 제공</x:v>
      </x:c>
      <x:c r="R164" s="5" t="str">
        <x:v>키보드만으로 선택·삭제·재시도 완료</x:v>
      </x:c>
      <x:c r="S164" s="10" t="str">
        <x:v>자동+수동</x:v>
      </x:c>
      <x:c r="T164" s="5" t="str">
        <x:v>UX·개발·QA</x:v>
      </x:c>
      <x:c r="U164" s="5" t="str">
        <x:v>P0</x:v>
      </x:c>
      <x:c r="V164" s="10" t="str">
        <x:v>구현</x:v>
      </x:c>
      <x:c r="W164" s="5" t="str">
        <x:v>파일 선택 버튼으로 TXT/PDF/PNG·파일당5MB·최대3개를 사전 안내한다. 선택만으로 제출하지 않고 검토/업로드 버튼을 요구한다. 프런트 안내와 별도로 서버 실제형식 검증을 이용한다.</x:v>
      </x:c>
      <x:c r="X164" s="5" t="str">
        <x:v>apps/web/src/App.tsx#RequestWizard
apps/web/src/App.tsx#RequestDetail
apps/web/src/App.tsx#validateFiles
apps/web/src/api.ts#uploadFiles</x:v>
      </x:c>
      <x:c r="Y164" s="5" t="str">
        <x:v>MAN-UI-113</x:v>
      </x:c>
      <x:c r="Z164" s="10" t="str">
        <x:v>미실행</x:v>
      </x:c>
      <x:c r="AA164" s="10" t="str">
        <x:v>미실행</x:v>
      </x:c>
      <x:c r="AB164" s="5" t="str"/>
      <x:c r="AC164" s="5" t="n">
        <x:v>0</x:v>
      </x:c>
      <x:c r="AD164" s="5" t="n">
        <x:v>1</x:v>
      </x:c>
      <x:c r="AE164" s="10" t="str">
        <x:v>미실행</x:v>
      </x:c>
      <x:c r="AF164" s="5" t="str"/>
      <x:c r="AG164" s="5" t="str"/>
      <x:c r="AH164" s="5" t="str"/>
      <x:c r="AI164" s="10" t="str">
        <x:v>재확인필요</x:v>
      </x:c>
      <x:c r="AJ164" s="5" t="str">
        <x:f>IF(AND(M164="적용",V164="구현",X164&lt;&gt;"",Y164&lt;&gt;"",AB164&lt;&gt;"",AC164&gt;0,AD164&gt;0,AE164="통과",AF164="",AG164&lt;&gt;"",AH164&lt;&gt;"",OR(S164="자동",S164="수동",S164="자동+수동"),IF(OR(S164="자동",S164="자동+수동"),Z164="통과",TRUE),IF(OR(S164="수동",S164="자동+수동"),AA164="통과",TRUE)),"통과",IF(OR(Z164="실패",AA164="실패",AE164="실패"),"실패","보류"))</x:f>
        <x:v>보류</x:v>
      </x:c>
      <x:c r="AK164" s="5" t="str">
        <x:v>KRDS-SEC-058</x:v>
      </x:c>
      <x:c r="AL164" s="5" t="str"/>
      <x:c r="AM164" s="5" t="str">
        <x:v>입력 v0.1 계획 주석은 original_plan_note에 보존. 최신 구현·시험·증빙은 연결 적용기록을 참조하며 전체 준수·인증을 주장하지 않음.</x:v>
      </x:c>
    </x:row>
    <x:row r="165" ht="39.599998474121094" hidden="0" customHeight="1">
      <x:c r="A165" s="5" t="str">
        <x:v>UI-114</x:v>
      </x:c>
      <x:c r="B165" s="5" t="str">
        <x:v>KRDS UI/UX</x:v>
      </x:c>
      <x:c r="C165" s="5" t="str">
        <x:v>UI 상세 통제</x:v>
      </x:c>
      <x:c r="D165" s="5" t="str">
        <x:v>파일 업로드</x:v>
      </x:c>
      <x:c r="E165" s="5" t="str">
        <x:v>파일 상태를 스크린리더로 확인 가능하게 함</x:v>
      </x:c>
      <x:c r="F165" s="5" t="str">
        <x:v>SRC-001</x:v>
      </x:c>
      <x:c r="G165" s="5" t="str">
        <x:v>2025.08</x:v>
      </x:c>
      <x:c r="H165" s="5" t="str">
        <x:v>컴포넌트 / 입력 / 파일 업로드</x:v>
      </x:c>
      <x:c r="I165" s="5" t="str">
        <x:v>712</x:v>
      </x:c>
      <x:c r="J165" s="5" t="str">
        <x:v>회사 채택안; 원문 의무수준과 별도 관리</x:v>
      </x:c>
      <x:c r="K165" s="5" t="str">
        <x:v>원문 등급 별도 확인</x:v>
      </x:c>
      <x:c r="L165" s="5" t="str">
        <x:v>MUST(안)</x:v>
      </x:c>
      <x:c r="M165" s="10" t="str">
        <x:v>적용</x:v>
      </x:c>
      <x:c r="N165" s="5" t="str">
        <x:v>업무요청 웹 샘플에 채택하는 회사 기준. 실제 이행은 구현 후 판정.</x:v>
      </x:c>
      <x:c r="O165" s="5" t="str">
        <x:v>관련 기능·적용 기관·계약 변경 시 재평가</x:v>
      </x:c>
      <x:c r="P165" s="5" t="str">
        <x:v>S04, S05</x:v>
      </x:c>
      <x:c r="Q165" s="5" t="str">
        <x:v>파일명·크기·진행·오류와 고유한 삭제 이름 제공</x:v>
      </x:c>
      <x:c r="R165" s="5" t="str">
        <x:v>진행 낭독 과다 여부와 성공/실패 알림 확인</x:v>
      </x:c>
      <x:c r="S165" s="10" t="str">
        <x:v>자동+수동</x:v>
      </x:c>
      <x:c r="T165" s="5" t="str">
        <x:v>UX·개발·QA</x:v>
      </x:c>
      <x:c r="U165" s="5" t="str">
        <x:v>P0</x:v>
      </x:c>
      <x:c r="V165" s="10" t="str">
        <x:v>진행</x:v>
      </x:c>
      <x:c r="W165" s="5" t="str">
        <x:v>업로드 진행률 progress/role=status, 실패 alert, 취소·재시도와 파일 선택 목록을 제공한다. 선택된 파일 변경과 진행률의 실제 화면낭독기 음성 검증은 미실행이다.</x:v>
      </x:c>
      <x:c r="X165" s="5" t="str">
        <x:v>apps/web/src/api.ts#uploadFiles
apps/web/src/App.tsx#RequestWizard
apps/web/src/App.tsx#RequestDetail</x:v>
      </x:c>
      <x:c r="Y165" s="5" t="str">
        <x:v>MAN-UI-114</x:v>
      </x:c>
      <x:c r="Z165" s="10" t="str">
        <x:v>미실행</x:v>
      </x:c>
      <x:c r="AA165" s="10" t="str">
        <x:v>미실행</x:v>
      </x:c>
      <x:c r="AB165" s="5" t="str"/>
      <x:c r="AC165" s="5" t="n">
        <x:v>0</x:v>
      </x:c>
      <x:c r="AD165" s="5" t="n">
        <x:v>1</x:v>
      </x:c>
      <x:c r="AE165" s="10" t="str">
        <x:v>미실행</x:v>
      </x:c>
      <x:c r="AF165" s="5" t="str"/>
      <x:c r="AG165" s="5" t="str"/>
      <x:c r="AH165" s="5" t="str"/>
      <x:c r="AI165" s="10" t="str">
        <x:v>재확인필요</x:v>
      </x:c>
      <x:c r="AJ165" s="5" t="str">
        <x:f>IF(AND(M165="적용",V165="구현",X165&lt;&gt;"",Y165&lt;&gt;"",AB165&lt;&gt;"",AC165&gt;0,AD165&gt;0,AE165="통과",AF165="",AG165&lt;&gt;"",AH165&lt;&gt;"",OR(S165="자동",S165="수동",S165="자동+수동"),IF(OR(S165="자동",S165="자동+수동"),Z165="통과",TRUE),IF(OR(S165="수동",S165="자동+수동"),AA165="통과",TRUE)),"통과",IF(OR(Z165="실패",AA165="실패",AE165="실패"),"실패","보류"))</x:f>
        <x:v>보류</x:v>
      </x:c>
      <x:c r="AK165" s="5" t="str">
        <x:v>KRDS-SEC-058</x:v>
      </x:c>
      <x:c r="AL165" s="5" t="str"/>
      <x:c r="AM165" s="5" t="str">
        <x:v>입력 v0.1 계획 주석은 original_plan_note에 보존. 최신 구현·시험·증빙은 연결 적용기록을 참조하며 전체 준수·인증을 주장하지 않음.</x:v>
      </x:c>
    </x:row>
    <x:row r="166" ht="39.599998474121094" hidden="0" customHeight="1">
      <x:c r="A166" s="5" t="str">
        <x:v>UI-115</x:v>
      </x:c>
      <x:c r="B166" s="5" t="str">
        <x:v>KRDS UI/UX</x:v>
      </x:c>
      <x:c r="C166" s="5" t="str">
        <x:v>UI 상세 통제</x:v>
      </x:c>
      <x:c r="D166" s="5" t="str">
        <x:v>숨긴 콘텐츠</x:v>
      </x:c>
      <x:c r="E166" s="5" t="str">
        <x:v>보조기술 설명을 display:none으로 숨기지 않음</x:v>
      </x:c>
      <x:c r="F166" s="5" t="str">
        <x:v>SRC-001</x:v>
      </x:c>
      <x:c r="G166" s="5" t="str">
        <x:v>2025.08</x:v>
      </x:c>
      <x:c r="H166" s="5" t="str">
        <x:v>컴포넌트 / 콘텐츠 / 숨긴 콘텐츠</x:v>
      </x:c>
      <x:c r="I166" s="5" t="str">
        <x:v>749</x:v>
      </x:c>
      <x:c r="J166" s="5" t="str">
        <x:v>회사 채택안; 원문 의무수준과 별도 관리</x:v>
      </x:c>
      <x:c r="K166" s="5" t="str">
        <x:v>원문 등급 별도 확인</x:v>
      </x:c>
      <x:c r="L166" s="5" t="str">
        <x:v>MUST(안)</x:v>
      </x:c>
      <x:c r="M166" s="10" t="str">
        <x:v>적용</x:v>
      </x:c>
      <x:c r="N166" s="5" t="str">
        <x:v>업무요청 웹 샘플에 채택하는 회사 기준. 실제 이행은 구현 후 판정.</x:v>
      </x:c>
      <x:c r="O166" s="5" t="str">
        <x:v>관련 기능·적용 기관·계약 변경 시 재평가</x:v>
      </x:c>
      <x:c r="P166" s="5" t="str">
        <x:v>S01~S08 / 공통</x:v>
      </x:c>
      <x:c r="Q166" s="5" t="str">
        <x:v>검증된 visually-hidden 스타일 적용, aria-hidden과 혼용 방지</x:v>
      </x:c>
      <x:c r="R166" s="5" t="str">
        <x:v>접근성 트리의 설명 존재와 시각적 포커스 확인</x:v>
      </x:c>
      <x:c r="S166" s="10" t="str">
        <x:v>자동+수동</x:v>
      </x:c>
      <x:c r="T166" s="5" t="str">
        <x:v>UX·개발·QA</x:v>
      </x:c>
      <x:c r="U166" s="5" t="str">
        <x:v>P1</x:v>
      </x:c>
      <x:c r="V166" s="10" t="str">
        <x:v>구현</x:v>
      </x:c>
      <x:c r="W166" s="5" t="str">
        <x:v>sr-only를 시각적 클리핑 방식으로 구현하여 표 caption, 통계 텍스트, 검색 이름을 보조기술에 남긴다. display:none으로 의미 정보를 숨기지 않는다.</x:v>
      </x:c>
      <x:c r="X166" s="5" t="str">
        <x:v>apps/web/src/styles.css
apps/web/src/App.tsx#RequestTable
apps/web/src/App.tsx#Dashboard</x:v>
      </x:c>
      <x:c r="Y166" s="5" t="str">
        <x:v>MAN-UI-115</x:v>
      </x:c>
      <x:c r="Z166" s="10" t="str">
        <x:v>미실행</x:v>
      </x:c>
      <x:c r="AA166" s="10" t="str">
        <x:v>미실행</x:v>
      </x:c>
      <x:c r="AB166" s="5" t="str"/>
      <x:c r="AC166" s="5" t="n">
        <x:v>0</x:v>
      </x:c>
      <x:c r="AD166" s="5" t="n">
        <x:v>1</x:v>
      </x:c>
      <x:c r="AE166" s="10" t="str">
        <x:v>미실행</x:v>
      </x:c>
      <x:c r="AF166" s="5" t="str"/>
      <x:c r="AG166" s="5" t="str"/>
      <x:c r="AH166" s="5" t="str"/>
      <x:c r="AI166" s="10" t="str">
        <x:v>재확인필요</x:v>
      </x:c>
      <x:c r="AJ166" s="5" t="str">
        <x:f>IF(AND(M166="적용",V166="구현",X166&lt;&gt;"",Y166&lt;&gt;"",AB166&lt;&gt;"",AC166&gt;0,AD166&gt;0,AE166="통과",AF166="",AG166&lt;&gt;"",AH166&lt;&gt;"",OR(S166="자동",S166="수동",S166="자동+수동"),IF(OR(S166="자동",S166="자동+수동"),Z166="통과",TRUE),IF(OR(S166="수동",S166="자동+수동"),AA166="통과",TRUE)),"통과",IF(OR(Z166="실패",AA166="실패",AE166="실패"),"실패","보류"))</x:f>
        <x:v>보류</x:v>
      </x:c>
      <x:c r="AK166" s="5" t="str">
        <x:v>KRDS-SEC-062</x:v>
      </x:c>
      <x:c r="AL166" s="5" t="str"/>
      <x:c r="AM166" s="5" t="str">
        <x:v>입력 v0.1 계획 주석은 original_plan_note에 보존. 최신 구현·시험·증빙은 연결 적용기록을 참조하며 전체 준수·인증을 주장하지 않음.</x:v>
      </x:c>
    </x:row>
    <x:row r="167" ht="26.399999618530273" hidden="0" customHeight="1">
      <x:c r="A167" s="5" t="str">
        <x:v>UI-116</x:v>
      </x:c>
      <x:c r="B167" s="5" t="str">
        <x:v>KRDS UI/UX</x:v>
      </x:c>
      <x:c r="C167" s="5" t="str">
        <x:v>UI 상세 통제</x:v>
      </x:c>
      <x:c r="D167" s="5" t="str">
        <x:v>오류</x:v>
      </x:c>
      <x:c r="E167" s="5" t="str">
        <x:v>오류 발생 후 입력값을 보존</x:v>
      </x:c>
      <x:c r="F167" s="5" t="str">
        <x:v>SRC-001</x:v>
      </x:c>
      <x:c r="G167" s="5" t="str">
        <x:v>2025.08</x:v>
      </x:c>
      <x:c r="H167" s="5" t="str">
        <x:v>기본 패턴 / 패턴 / 오류</x:v>
      </x:c>
      <x:c r="I167" s="5" t="str">
        <x:v>831</x:v>
      </x:c>
      <x:c r="J167" s="5" t="str">
        <x:v>회사 채택안; 원문 의무수준과 별도 관리</x:v>
      </x:c>
      <x:c r="K167" s="5" t="str">
        <x:v>원문 등급 별도 확인</x:v>
      </x:c>
      <x:c r="L167" s="5" t="str">
        <x:v>MUST(안)</x:v>
      </x:c>
      <x:c r="M167" s="10" t="str">
        <x:v>적용</x:v>
      </x:c>
      <x:c r="N167" s="5" t="str">
        <x:v>업무요청 웹 샘플에 채택하는 회사 기준. 실제 이행은 구현 후 판정.</x:v>
      </x:c>
      <x:c r="O167" s="5" t="str">
        <x:v>관련 기능·적용 기관·계약 변경 시 재평가</x:v>
      </x:c>
      <x:c r="P167" s="5" t="str">
        <x:v>S05</x:v>
      </x:c>
      <x:c r="Q167" s="5" t="str">
        <x:v>안전하게 보존 가능한 필드값을 유지하고 오류 수정에 필요한 초점 제공</x:v>
      </x:c>
      <x:c r="R167" s="5" t="str">
        <x:v>서버 검증 실패 후 기존 입력과 첨부 유지 확인</x:v>
      </x:c>
      <x:c r="S167" s="10" t="str">
        <x:v>자동+수동</x:v>
      </x:c>
      <x:c r="T167" s="5" t="str">
        <x:v>UX·개발·QA</x:v>
      </x:c>
      <x:c r="U167" s="5" t="str">
        <x:v>P0</x:v>
      </x:c>
      <x:c r="V167" s="10" t="str">
        <x:v>구현</x:v>
      </x:c>
      <x:c r="W167" s="5" t="str">
        <x:v>필수·선택·그룹을 표시하는 단계형 입력, 단계 이동 시 제목/내용/첨부 보존, 제출 전 검토와 이전 단계 수정, 중복 제출 차단 및 오류 후 입력 보존을 구현한다.</x:v>
      </x:c>
      <x:c r="X167" s="5" t="str">
        <x:v>apps/web/src/App.tsx#RequestWizard</x:v>
      </x:c>
      <x:c r="Y167" s="5" t="str">
        <x:v>MAN-UI-116</x:v>
      </x:c>
      <x:c r="Z167" s="10" t="str">
        <x:v>미실행</x:v>
      </x:c>
      <x:c r="AA167" s="10" t="str">
        <x:v>미실행</x:v>
      </x:c>
      <x:c r="AB167" s="5" t="str"/>
      <x:c r="AC167" s="5" t="n">
        <x:v>0</x:v>
      </x:c>
      <x:c r="AD167" s="5" t="n">
        <x:v>1</x:v>
      </x:c>
      <x:c r="AE167" s="10" t="str">
        <x:v>미실행</x:v>
      </x:c>
      <x:c r="AF167" s="5" t="str"/>
      <x:c r="AG167" s="5" t="str"/>
      <x:c r="AH167" s="5" t="str"/>
      <x:c r="AI167" s="10" t="str">
        <x:v>재확인필요</x:v>
      </x:c>
      <x:c r="AJ167" s="5" t="str">
        <x:f>IF(AND(M167="적용",V167="구현",X167&lt;&gt;"",Y167&lt;&gt;"",AB167&lt;&gt;"",AC167&gt;0,AD167&gt;0,AE167="통과",AF167="",AG167&lt;&gt;"",AH167&lt;&gt;"",OR(S167="자동",S167="수동",S167="자동+수동"),IF(OR(S167="자동",S167="자동+수동"),Z167="통과",TRUE),IF(OR(S167="수동",S167="자동+수동"),AA167="통과",TRUE)),"통과",IF(OR(Z167="실패",AA167="실패",AE167="실패"),"실패","보류"))</x:f>
        <x:v>보류</x:v>
      </x:c>
      <x:c r="AK167" s="5" t="str">
        <x:v>KRDS-SEC-069</x:v>
      </x:c>
      <x:c r="AL167" s="5" t="str"/>
      <x:c r="AM167" s="5" t="str">
        <x:v>입력 v0.1 계획 주석은 original_plan_note에 보존. 최신 구현·시험·증빙은 연결 적용기록을 참조하며 전체 준수·인증을 주장하지 않음.</x:v>
      </x:c>
    </x:row>
    <x:row r="168" ht="39.599998474121094" hidden="0" customHeight="1">
      <x:c r="A168" s="5" t="str">
        <x:v>UI-117</x:v>
      </x:c>
      <x:c r="B168" s="5" t="str">
        <x:v>KRDS UI/UX</x:v>
      </x:c>
      <x:c r="C168" s="5" t="str">
        <x:v>UI 상세 통제</x:v>
      </x:c>
      <x:c r="D168" s="5" t="str">
        <x:v>입력폼</x:v>
      </x:c>
      <x:c r="E168" s="5" t="str">
        <x:v>각 필드와 그룹에 접근 가능한 이름 제공</x:v>
      </x:c>
      <x:c r="F168" s="5" t="str">
        <x:v>SRC-001</x:v>
      </x:c>
      <x:c r="G168" s="5" t="str">
        <x:v>2025.08</x:v>
      </x:c>
      <x:c r="H168" s="5" t="str">
        <x:v>기본 패턴 / 패턴 / 입력폼</x:v>
      </x:c>
      <x:c r="I168" s="5" t="str">
        <x:v>847</x:v>
      </x:c>
      <x:c r="J168" s="5" t="str">
        <x:v>회사 채택안; 원문 의무수준과 별도 관리</x:v>
      </x:c>
      <x:c r="K168" s="5" t="str">
        <x:v>원문 등급 별도 확인</x:v>
      </x:c>
      <x:c r="L168" s="5" t="str">
        <x:v>MUST(안)</x:v>
      </x:c>
      <x:c r="M168" s="10" t="str">
        <x:v>적용</x:v>
      </x:c>
      <x:c r="N168" s="5" t="str">
        <x:v>업무요청 웹 샘플에 채택하는 회사 기준. 실제 이행은 구현 후 판정.</x:v>
      </x:c>
      <x:c r="O168" s="5" t="str">
        <x:v>관련 기능·적용 기관·계약 변경 시 재평가</x:v>
      </x:c>
      <x:c r="P168" s="5" t="str">
        <x:v>S05</x:v>
      </x:c>
      <x:c r="Q168" s="5" t="str">
        <x:v>label-for/id·fieldset/legend와 aria-describedby로 연결</x:v>
      </x:c>
      <x:c r="R168" s="5" t="str">
        <x:v>이름·역할·설명·필수여부를 스크린리더로 확인</x:v>
      </x:c>
      <x:c r="S168" s="10" t="str">
        <x:v>자동+수동</x:v>
      </x:c>
      <x:c r="T168" s="5" t="str">
        <x:v>UX·개발·QA</x:v>
      </x:c>
      <x:c r="U168" s="5" t="str">
        <x:v>P0</x:v>
      </x:c>
      <x:c r="V168" s="10" t="str">
        <x:v>구현</x:v>
      </x:c>
      <x:c r="W168" s="5" t="str">
        <x:v>각 입력에 지속적인 label/legend, 필수/선택, 길이·형식 예시와 aria-describedby 연결을 제공한다. 오류 필드는 aria-invalid 및 오류 ID를 연결한다.</x:v>
      </x:c>
      <x:c r="X168" s="5" t="str">
        <x:v>apps/web/src/App.tsx#RequestWizard
apps/web/src/App.tsx#Login
apps/web/src/App.tsx#RequestDetail</x:v>
      </x:c>
      <x:c r="Y168" s="5" t="str">
        <x:v>MAN-UI-117</x:v>
      </x:c>
      <x:c r="Z168" s="10" t="str">
        <x:v>미실행</x:v>
      </x:c>
      <x:c r="AA168" s="10" t="str">
        <x:v>미실행</x:v>
      </x:c>
      <x:c r="AB168" s="5" t="str"/>
      <x:c r="AC168" s="5" t="n">
        <x:v>0</x:v>
      </x:c>
      <x:c r="AD168" s="5" t="n">
        <x:v>1</x:v>
      </x:c>
      <x:c r="AE168" s="10" t="str">
        <x:v>미실행</x:v>
      </x:c>
      <x:c r="AF168" s="5" t="str"/>
      <x:c r="AG168" s="5" t="str"/>
      <x:c r="AH168" s="5" t="str"/>
      <x:c r="AI168" s="10" t="str">
        <x:v>재확인필요</x:v>
      </x:c>
      <x:c r="AJ168" s="5" t="str">
        <x:f>IF(AND(M168="적용",V168="구현",X168&lt;&gt;"",Y168&lt;&gt;"",AB168&lt;&gt;"",AC168&gt;0,AD168&gt;0,AE168="통과",AF168="",AG168&lt;&gt;"",AH168&lt;&gt;"",OR(S168="자동",S168="수동",S168="자동+수동"),IF(OR(S168="자동",S168="자동+수동"),Z168="통과",TRUE),IF(OR(S168="수동",S168="자동+수동"),AA168="통과",TRUE)),"통과",IF(OR(Z168="실패",AA168="실패",AE168="실패"),"실패","보류"))</x:f>
        <x:v>보류</x:v>
      </x:c>
      <x:c r="AK168" s="5" t="str">
        <x:v>KRDS-SEC-070</x:v>
      </x:c>
      <x:c r="AL168" s="5" t="str"/>
      <x:c r="AM168" s="5" t="str">
        <x:v>입력 v0.1 계획 주석은 original_plan_note에 보존. 최신 구현·시험·증빙은 연결 적용기록을 참조하며 전체 준수·인증을 주장하지 않음.</x:v>
      </x:c>
    </x:row>
    <x:row r="169" ht="52.79999923706055" hidden="0" customHeight="1">
      <x:c r="A169" s="5" t="str">
        <x:v>UI-118</x:v>
      </x:c>
      <x:c r="B169" s="5" t="str">
        <x:v>KRDS UI/UX</x:v>
      </x:c>
      <x:c r="C169" s="5" t="str">
        <x:v>UI 상세 통제</x:v>
      </x:c>
      <x:c r="D169" s="5" t="str">
        <x:v>입력폼</x:v>
      </x:c>
      <x:c r="E169" s="5" t="str">
        <x:v>오류가 있는 항목과 수정방법을 특정</x:v>
      </x:c>
      <x:c r="F169" s="5" t="str">
        <x:v>SRC-001</x:v>
      </x:c>
      <x:c r="G169" s="5" t="str">
        <x:v>2025.08</x:v>
      </x:c>
      <x:c r="H169" s="5" t="str">
        <x:v>기본 패턴 / 패턴 / 입력폼</x:v>
      </x:c>
      <x:c r="I169" s="5" t="str">
        <x:v>848</x:v>
      </x:c>
      <x:c r="J169" s="5" t="str">
        <x:v>회사 채택안; 원문 의무수준과 별도 관리</x:v>
      </x:c>
      <x:c r="K169" s="5" t="str">
        <x:v>원문 등급 별도 확인</x:v>
      </x:c>
      <x:c r="L169" s="5" t="str">
        <x:v>MUST(안)</x:v>
      </x:c>
      <x:c r="M169" s="10" t="str">
        <x:v>적용</x:v>
      </x:c>
      <x:c r="N169" s="5" t="str">
        <x:v>업무요청 웹 샘플에 채택하는 회사 기준. 실제 이행은 구현 후 판정.</x:v>
      </x:c>
      <x:c r="O169" s="5" t="str">
        <x:v>관련 기능·적용 기관·계약 변경 시 재평가</x:v>
      </x:c>
      <x:c r="P169" s="5" t="str">
        <x:v>S05</x:v>
      </x:c>
      <x:c r="Q169" s="5" t="str">
        <x:v>오류 요약의 링크를 필드에 연결하고 aria-invalid 설정</x:v>
      </x:c>
      <x:c r="R169" s="5" t="str">
        <x:v>오류 요약에서 필드 이동 후 수정 성공 확인</x:v>
      </x:c>
      <x:c r="S169" s="10" t="str">
        <x:v>자동+수동</x:v>
      </x:c>
      <x:c r="T169" s="5" t="str">
        <x:v>UX·개발·QA</x:v>
      </x:c>
      <x:c r="U169" s="5" t="str">
        <x:v>P0</x:v>
      </x:c>
      <x:c r="V169" s="10" t="str">
        <x:v>구현</x:v>
      </x:c>
      <x:c r="W169" s="5" t="str">
        <x:v>클라이언트와 서버 ProblemDetails errors의 제목·유형·내용·파일 오류를 필드별로 연결한다. 오류 단계로 돌아가 입력값을 유지하고 오류요약에 초점을 옮기며 필드 링크·aria-invalid·설명과 수정방법을 제공한다. 실제 보조기술 음성 검증은 별도 미실행이다.</x:v>
      </x:c>
      <x:c r="X169" s="5" t="str">
        <x:v>apps/web/src/App.tsx#RequestWizard
apps/web/src/api.ts#ApiError
apps/web/src/api.ts#parseFieldErrors
apps/web/src/ui.tsx#ErrorBox</x:v>
      </x:c>
      <x:c r="Y169" s="5" t="str">
        <x:v>MAN-UI-118</x:v>
      </x:c>
      <x:c r="Z169" s="10" t="str">
        <x:v>미실행</x:v>
      </x:c>
      <x:c r="AA169" s="10" t="str">
        <x:v>미실행</x:v>
      </x:c>
      <x:c r="AB169" s="5" t="str"/>
      <x:c r="AC169" s="5" t="n">
        <x:v>0</x:v>
      </x:c>
      <x:c r="AD169" s="5" t="n">
        <x:v>1</x:v>
      </x:c>
      <x:c r="AE169" s="10" t="str">
        <x:v>미실행</x:v>
      </x:c>
      <x:c r="AF169" s="5" t="str"/>
      <x:c r="AG169" s="5" t="str"/>
      <x:c r="AH169" s="5" t="str"/>
      <x:c r="AI169" s="10" t="str">
        <x:v>재확인필요</x:v>
      </x:c>
      <x:c r="AJ169" s="5" t="str">
        <x:f>IF(AND(M169="적용",V169="구현",X169&lt;&gt;"",Y169&lt;&gt;"",AB169&lt;&gt;"",AC169&gt;0,AD169&gt;0,AE169="통과",AF169="",AG169&lt;&gt;"",AH169&lt;&gt;"",OR(S169="자동",S169="수동",S169="자동+수동"),IF(OR(S169="자동",S169="자동+수동"),Z169="통과",TRUE),IF(OR(S169="수동",S169="자동+수동"),AA169="통과",TRUE)),"통과",IF(OR(Z169="실패",AA169="실패",AE169="실패"),"실패","보류"))</x:f>
        <x:v>보류</x:v>
      </x:c>
      <x:c r="AK169" s="5" t="str">
        <x:v>KRDS-SEC-070</x:v>
      </x:c>
      <x:c r="AL169" s="5" t="str"/>
      <x:c r="AM169" s="5" t="str">
        <x:v>입력 v0.1 계획 주석은 original_plan_note에 보존. 최신 구현·시험·증빙은 연결 적용기록을 참조하며 전체 준수·인증을 주장하지 않음.</x:v>
      </x:c>
    </x:row>
    <x:row r="170" ht="26.399999618530273" hidden="0" customHeight="1">
      <x:c r="A170" s="5" t="str">
        <x:v>UI-119</x:v>
      </x:c>
      <x:c r="B170" s="5" t="str">
        <x:v>KRDS UI/UX</x:v>
      </x:c>
      <x:c r="C170" s="5" t="str">
        <x:v>UI 상세 통제</x:v>
      </x:c>
      <x:c r="D170" s="5" t="str">
        <x:v>입력폼</x:v>
      </x:c>
      <x:c r="E170" s="5" t="str">
        <x:v>반복 입력 데이터의 재입력을 최소화</x:v>
      </x:c>
      <x:c r="F170" s="5" t="str">
        <x:v>SRC-001</x:v>
      </x:c>
      <x:c r="G170" s="5" t="str">
        <x:v>2025.08</x:v>
      </x:c>
      <x:c r="H170" s="5" t="str">
        <x:v>기본 패턴 / 패턴 / 입력폼</x:v>
      </x:c>
      <x:c r="I170" s="5" t="str">
        <x:v>849</x:v>
      </x:c>
      <x:c r="J170" s="5" t="str">
        <x:v>회사 채택안; 원문 의무수준과 별도 관리</x:v>
      </x:c>
      <x:c r="K170" s="5" t="str">
        <x:v>원문 등급 별도 확인</x:v>
      </x:c>
      <x:c r="L170" s="5" t="str">
        <x:v>MUST(안)</x:v>
      </x:c>
      <x:c r="M170" s="10" t="str">
        <x:v>적용</x:v>
      </x:c>
      <x:c r="N170" s="5" t="str">
        <x:v>업무요청 웹 샘플에 채택하는 회사 기준. 실제 이행은 구현 후 판정.</x:v>
      </x:c>
      <x:c r="O170" s="5" t="str">
        <x:v>관련 기능·적용 기관·계약 변경 시 재평가</x:v>
      </x:c>
      <x:c r="P170" s="5" t="str">
        <x:v>S05</x:v>
      </x:c>
      <x:c r="Q170" s="5" t="str">
        <x:v>같은 정보는 자동 채움·동일 정보 선택·수정 방식으로 제공</x:v>
      </x:c>
      <x:c r="R170" s="5" t="str">
        <x:v>단계 왕복 시 불필요한 재입력 요구 부재 확인</x:v>
      </x:c>
      <x:c r="S170" s="10" t="str">
        <x:v>자동+수동</x:v>
      </x:c>
      <x:c r="T170" s="5" t="str">
        <x:v>UX·개발·QA</x:v>
      </x:c>
      <x:c r="U170" s="5" t="str">
        <x:v>P0</x:v>
      </x:c>
      <x:c r="V170" s="10" t="str">
        <x:v>구현</x:v>
      </x:c>
      <x:c r="W170" s="5" t="str">
        <x:v>필수·선택·그룹을 표시하는 단계형 입력, 단계 이동 시 제목/내용/첨부 보존, 제출 전 검토와 이전 단계 수정, 중복 제출 차단 및 오류 후 입력 보존을 구현한다.</x:v>
      </x:c>
      <x:c r="X170" s="5" t="str">
        <x:v>apps/web/src/App.tsx#RequestWizard</x:v>
      </x:c>
      <x:c r="Y170" s="5" t="str">
        <x:v>MAN-UI-119</x:v>
      </x:c>
      <x:c r="Z170" s="10" t="str">
        <x:v>미실행</x:v>
      </x:c>
      <x:c r="AA170" s="10" t="str">
        <x:v>미실행</x:v>
      </x:c>
      <x:c r="AB170" s="5" t="str"/>
      <x:c r="AC170" s="5" t="n">
        <x:v>0</x:v>
      </x:c>
      <x:c r="AD170" s="5" t="n">
        <x:v>1</x:v>
      </x:c>
      <x:c r="AE170" s="10" t="str">
        <x:v>미실행</x:v>
      </x:c>
      <x:c r="AF170" s="5" t="str"/>
      <x:c r="AG170" s="5" t="str"/>
      <x:c r="AH170" s="5" t="str"/>
      <x:c r="AI170" s="10" t="str">
        <x:v>재확인필요</x:v>
      </x:c>
      <x:c r="AJ170" s="5" t="str">
        <x:f>IF(AND(M170="적용",V170="구현",X170&lt;&gt;"",Y170&lt;&gt;"",AB170&lt;&gt;"",AC170&gt;0,AD170&gt;0,AE170="통과",AF170="",AG170&lt;&gt;"",AH170&lt;&gt;"",OR(S170="자동",S170="수동",S170="자동+수동"),IF(OR(S170="자동",S170="자동+수동"),Z170="통과",TRUE),IF(OR(S170="수동",S170="자동+수동"),AA170="통과",TRUE)),"통과",IF(OR(Z170="실패",AA170="실패",AE170="실패"),"실패","보류"))</x:f>
        <x:v>보류</x:v>
      </x:c>
      <x:c r="AK170" s="5" t="str">
        <x:v>KRDS-SEC-070</x:v>
      </x:c>
      <x:c r="AL170" s="5" t="str"/>
      <x:c r="AM170" s="5" t="str">
        <x:v>입력 v0.1 계획 주석은 original_plan_note에 보존. 최신 구현·시험·증빙은 연결 적용기록을 참조하며 전체 준수·인증을 주장하지 않음.</x:v>
      </x:c>
    </x:row>
    <x:row r="171" ht="26.399999618530273" hidden="0" customHeight="1">
      <x:c r="A171" s="5" t="str">
        <x:v>UI-120</x:v>
      </x:c>
      <x:c r="B171" s="5" t="str">
        <x:v>KRDS UI/UX</x:v>
      </x:c>
      <x:c r="C171" s="5" t="str">
        <x:v>UI 상세 통제</x:v>
      </x:c>
      <x:c r="D171" s="5" t="str">
        <x:v>상세 검색</x:v>
      </x:c>
      <x:c r="E171" s="5" t="str">
        <x:v>검색 조건 변경 결과를 비시각적으로 안내</x:v>
      </x:c>
      <x:c r="F171" s="5" t="str">
        <x:v>SRC-001</x:v>
      </x:c>
      <x:c r="G171" s="5" t="str">
        <x:v>2025.08</x:v>
      </x:c>
      <x:c r="H171" s="5" t="str">
        <x:v>서비스 패턴 / 검색 / 상세 검색</x:v>
      </x:c>
      <x:c r="I171" s="5" t="str">
        <x:v>954</x:v>
      </x:c>
      <x:c r="J171" s="5" t="str">
        <x:v>회사 채택안; 원문 의무수준과 별도 관리</x:v>
      </x:c>
      <x:c r="K171" s="5" t="str">
        <x:v>원문 등급 별도 확인</x:v>
      </x:c>
      <x:c r="L171" s="5" t="str">
        <x:v>MUST(안)</x:v>
      </x:c>
      <x:c r="M171" s="10" t="str">
        <x:v>적용</x:v>
      </x:c>
      <x:c r="N171" s="5" t="str">
        <x:v>업무요청 웹 샘플에 채택하는 회사 기준. 실제 이행은 구현 후 판정.</x:v>
      </x:c>
      <x:c r="O171" s="5" t="str">
        <x:v>관련 기능·적용 기관·계약 변경 시 재평가</x:v>
      </x:c>
      <x:c r="P171" s="5" t="str">
        <x:v>S03</x:v>
      </x:c>
      <x:c r="Q171" s="5" t="str">
        <x:v>결과 수 영역에 polite live-region을 적용</x:v>
      </x:c>
      <x:c r="R171" s="5" t="str">
        <x:v>키보드 초점을 옮기지 않고 결과 수 안내 확인</x:v>
      </x:c>
      <x:c r="S171" s="10" t="str">
        <x:v>자동+수동</x:v>
      </x:c>
      <x:c r="T171" s="5" t="str">
        <x:v>UX·개발·QA</x:v>
      </x:c>
      <x:c r="U171" s="5" t="str">
        <x:v>P1</x:v>
      </x:c>
      <x:c r="V171" s="10" t="str">
        <x:v>구현</x:v>
      </x:c>
      <x:c r="W171" s="5" t="str">
        <x:v>검색/표준 필터 변경 후 role=status 결과 수를 갱신하고 적용 조건·초기화·빈 결과를 제공한다.</x:v>
      </x:c>
      <x:c r="X171" s="5" t="str">
        <x:v>apps/web/src/App.tsx#RequestList
apps/web/src/StandardsBrowser.tsx#StandardsBrowser</x:v>
      </x:c>
      <x:c r="Y171" s="5" t="str">
        <x:v>MAN-UI-120</x:v>
      </x:c>
      <x:c r="Z171" s="10" t="str">
        <x:v>미실행</x:v>
      </x:c>
      <x:c r="AA171" s="10" t="str">
        <x:v>미실행</x:v>
      </x:c>
      <x:c r="AB171" s="5" t="str"/>
      <x:c r="AC171" s="5" t="n">
        <x:v>0</x:v>
      </x:c>
      <x:c r="AD171" s="5" t="n">
        <x:v>1</x:v>
      </x:c>
      <x:c r="AE171" s="10" t="str">
        <x:v>미실행</x:v>
      </x:c>
      <x:c r="AF171" s="5" t="str"/>
      <x:c r="AG171" s="5" t="str"/>
      <x:c r="AH171" s="5" t="str"/>
      <x:c r="AI171" s="10" t="str">
        <x:v>재확인필요</x:v>
      </x:c>
      <x:c r="AJ171" s="5" t="str">
        <x:f>IF(AND(M171="적용",V171="구현",X171&lt;&gt;"",Y171&lt;&gt;"",AB171&lt;&gt;"",AC171&gt;0,AD171&gt;0,AE171="통과",AF171="",AG171&lt;&gt;"",AH171&lt;&gt;"",OR(S171="자동",S171="수동",S171="자동+수동"),IF(OR(S171="자동",S171="자동+수동"),Z171="통과",TRUE),IF(OR(S171="수동",S171="자동+수동"),AA171="통과",TRUE)),"통과",IF(OR(Z171="실패",AA171="실패",AE171="실패"),"실패","보류"))</x:f>
        <x:v>보류</x:v>
      </x:c>
      <x:c r="AK171" s="5" t="str">
        <x:v>KRDS-SEC-080</x:v>
      </x:c>
      <x:c r="AL171" s="5" t="str"/>
      <x:c r="AM171" s="5" t="str">
        <x:v>입력 v0.1 계획 주석은 original_plan_note에 보존. 최신 구현·시험·증빙은 연결 적용기록을 참조하며 전체 준수·인증을 주장하지 않음.</x:v>
      </x:c>
    </x:row>
    <x:row r="172" ht="26.399999618530273" hidden="0" customHeight="1">
      <x:c r="A172" s="5" t="str">
        <x:v>UI-121</x:v>
      </x:c>
      <x:c r="B172" s="5" t="str">
        <x:v>KRDS UI/UX</x:v>
      </x:c>
      <x:c r="C172" s="5" t="str">
        <x:v>UI 상세 통제</x:v>
      </x:c>
      <x:c r="D172" s="5" t="str">
        <x:v>로그인 방식 확인·선택</x:v>
      </x:c>
      <x:c r="E172" s="5" t="str">
        <x:v>인지시험에 의존하지 않는 인증 제공</x:v>
      </x:c>
      <x:c r="F172" s="5" t="str">
        <x:v>SRC-001</x:v>
      </x:c>
      <x:c r="G172" s="5" t="str">
        <x:v>2025.08</x:v>
      </x:c>
      <x:c r="H172" s="5" t="str">
        <x:v>서비스 패턴 / 로그인 / 로그인 방식 확인·선택</x:v>
      </x:c>
      <x:c r="I172" s="5" t="str">
        <x:v>1012</x:v>
      </x:c>
      <x:c r="J172" s="5" t="str">
        <x:v>회사 채택안; 원문 의무수준과 별도 관리</x:v>
      </x:c>
      <x:c r="K172" s="5" t="str">
        <x:v>원문 등급 별도 확인</x:v>
      </x:c>
      <x:c r="L172" s="5" t="str">
        <x:v>MUST(안)</x:v>
      </x:c>
      <x:c r="M172" s="10" t="str">
        <x:v>적용</x:v>
      </x:c>
      <x:c r="N172" s="5" t="str">
        <x:v>업무요청 웹 샘플에 채택하는 회사 기준. 실제 이행은 구현 후 판정.</x:v>
      </x:c>
      <x:c r="O172" s="5" t="str">
        <x:v>관련 기능·적용 기관·계약 변경 시 재평가</x:v>
      </x:c>
      <x:c r="P172" s="5" t="str">
        <x:v>S01, S05</x:v>
      </x:c>
      <x:c r="Q172" s="5" t="str">
        <x:v>비밀번호 관리자·붙여넣기 허용, 퍼즐·기억력 시험을 유일 인증으로 사용하지 않음</x:v>
      </x:c>
      <x:c r="R172" s="5" t="str">
        <x:v>인증 경로의 대체수단과 붙여넣기 실제 동작 확인</x:v>
      </x:c>
      <x:c r="S172" s="10" t="str">
        <x:v>자동+수동</x:v>
      </x:c>
      <x:c r="T172" s="5" t="str">
        <x:v>UX·개발·QA</x:v>
      </x:c>
      <x:c r="U172" s="5" t="str">
        <x:v>P0</x:v>
      </x:c>
      <x:c r="V172" s="10" t="str">
        <x:v>구현</x:v>
      </x:c>
      <x:c r="W172" s="5" t="str">
        <x:v>계정 이메일·비밀번호만 입력하고 autocomplete=username/current-password를 제공한다. 붙여넣기·비밀번호 관리자를 차단하지 않으며 기억·계산 CAPTCHA를 요구하지 않는다.</x:v>
      </x:c>
      <x:c r="X172" s="5" t="str">
        <x:v>apps/web/src/App.tsx#Login</x:v>
      </x:c>
      <x:c r="Y172" s="5" t="str">
        <x:v>MAN-UI-121</x:v>
      </x:c>
      <x:c r="Z172" s="10" t="str">
        <x:v>미실행</x:v>
      </x:c>
      <x:c r="AA172" s="10" t="str">
        <x:v>미실행</x:v>
      </x:c>
      <x:c r="AB172" s="5" t="str"/>
      <x:c r="AC172" s="5" t="n">
        <x:v>0</x:v>
      </x:c>
      <x:c r="AD172" s="5" t="n">
        <x:v>1</x:v>
      </x:c>
      <x:c r="AE172" s="10" t="str">
        <x:v>미실행</x:v>
      </x:c>
      <x:c r="AF172" s="5" t="str"/>
      <x:c r="AG172" s="5" t="str"/>
      <x:c r="AH172" s="5" t="str"/>
      <x:c r="AI172" s="10" t="str">
        <x:v>재확인필요</x:v>
      </x:c>
      <x:c r="AJ172" s="5" t="str">
        <x:f>IF(AND(M172="적용",V172="구현",X172&lt;&gt;"",Y172&lt;&gt;"",AB172&lt;&gt;"",AC172&gt;0,AD172&gt;0,AE172="통과",AF172="",AG172&lt;&gt;"",AH172&lt;&gt;"",OR(S172="자동",S172="수동",S172="자동+수동"),IF(OR(S172="자동",S172="자동+수동"),Z172="통과",TRUE),IF(OR(S172="수동",S172="자동+수동"),AA172="통과",TRUE)),"통과",IF(OR(Z172="실패",AA172="실패",AE172="실패"),"실패","보류"))</x:f>
        <x:v>보류</x:v>
      </x:c>
      <x:c r="AK172" s="5" t="str">
        <x:v>KRDS-SEC-087</x:v>
      </x:c>
      <x:c r="AL172" s="5" t="str"/>
      <x:c r="AM172" s="5" t="str">
        <x:v>입력 v0.1 계획 주석은 original_plan_note에 보존. 최신 구현·시험·증빙은 연결 적용기록을 참조하며 전체 준수·인증을 주장하지 않음.</x:v>
      </x:c>
    </x:row>
    <x:row r="173" ht="39.599998474121094" hidden="0" customHeight="1">
      <x:c r="A173" s="5" t="str">
        <x:v>UI-122</x:v>
      </x:c>
      <x:c r="B173" s="5" t="str">
        <x:v>KRDS UI/UX</x:v>
      </x:c>
      <x:c r="C173" s="5" t="str">
        <x:v>UI 상세 통제</x:v>
      </x:c>
      <x:c r="D173" s="5" t="str">
        <x:v>로그인 정보 입력</x:v>
      </x:c>
      <x:c r="E173" s="5" t="str">
        <x:v>오류 메시지가 민감한 인증정보를 노출하지 않음</x:v>
      </x:c>
      <x:c r="F173" s="5" t="str">
        <x:v>SRC-001</x:v>
      </x:c>
      <x:c r="G173" s="5" t="str">
        <x:v>2025.08</x:v>
      </x:c>
      <x:c r="H173" s="5" t="str">
        <x:v>서비스 패턴 / 로그인 / 로그인 정보 입력</x:v>
      </x:c>
      <x:c r="I173" s="5" t="str">
        <x:v>1014-1026</x:v>
      </x:c>
      <x:c r="J173" s="5" t="str">
        <x:v>회사 채택안; 원문 의무수준과 별도 관리</x:v>
      </x:c>
      <x:c r="K173" s="5" t="str">
        <x:v>원문 등급 별도 확인</x:v>
      </x:c>
      <x:c r="L173" s="5" t="str">
        <x:v>MUST(안)</x:v>
      </x:c>
      <x:c r="M173" s="10" t="str">
        <x:v>적용</x:v>
      </x:c>
      <x:c r="N173" s="5" t="str">
        <x:v>업무요청 웹 샘플에 채택하는 회사 기준. 실제 이행은 구현 후 판정.</x:v>
      </x:c>
      <x:c r="O173" s="5" t="str">
        <x:v>관련 기능·적용 기관·계약 변경 시 재평가</x:v>
      </x:c>
      <x:c r="P173" s="5" t="str">
        <x:v>S01, S05</x:v>
      </x:c>
      <x:c r="Q173" s="5" t="str">
        <x:v>사용자에게 해결방법을 안내하면서 인증실패 원인을 과도하게 노출하지 않음</x:v>
      </x:c>
      <x:c r="R173" s="5" t="str">
        <x:v>존재/비존재 계정의 실패 응답과 정보노출 검토</x:v>
      </x:c>
      <x:c r="S173" s="10" t="str">
        <x:v>자동+수동</x:v>
      </x:c>
      <x:c r="T173" s="5" t="str">
        <x:v>UX·개발·QA</x:v>
      </x:c>
      <x:c r="U173" s="5" t="str">
        <x:v>P1</x:v>
      </x:c>
      <x:c r="V173" s="10" t="str">
        <x:v>구현</x:v>
      </x:c>
      <x:c r="W173" s="5" t="str">
        <x:v>로그인 오류는 서버 ProblemDetails의 안전한 설명으로 표시한다. 비밀번호·인증토큰·내부 스택을 UI에 표시하지 않는다.</x:v>
      </x:c>
      <x:c r="X173" s="5" t="str">
        <x:v>apps/web/src/App.tsx#Login
apps/web/src/api.ts#api
apps/web/src/ui.tsx#ErrorBox</x:v>
      </x:c>
      <x:c r="Y173" s="5" t="str">
        <x:v>MAN-UI-122</x:v>
      </x:c>
      <x:c r="Z173" s="10" t="str">
        <x:v>미실행</x:v>
      </x:c>
      <x:c r="AA173" s="10" t="str">
        <x:v>미실행</x:v>
      </x:c>
      <x:c r="AB173" s="5" t="str"/>
      <x:c r="AC173" s="5" t="n">
        <x:v>0</x:v>
      </x:c>
      <x:c r="AD173" s="5" t="n">
        <x:v>1</x:v>
      </x:c>
      <x:c r="AE173" s="10" t="str">
        <x:v>미실행</x:v>
      </x:c>
      <x:c r="AF173" s="5" t="str"/>
      <x:c r="AG173" s="5" t="str"/>
      <x:c r="AH173" s="5" t="str"/>
      <x:c r="AI173" s="10" t="str">
        <x:v>재확인필요</x:v>
      </x:c>
      <x:c r="AJ173" s="5" t="str">
        <x:f>IF(AND(M173="적용",V173="구현",X173&lt;&gt;"",Y173&lt;&gt;"",AB173&lt;&gt;"",AC173&gt;0,AD173&gt;0,AE173="통과",AF173="",AG173&lt;&gt;"",AH173&lt;&gt;"",OR(S173="자동",S173="수동",S173="자동+수동"),IF(OR(S173="자동",S173="자동+수동"),Z173="통과",TRUE),IF(OR(S173="수동",S173="자동+수동"),AA173="통과",TRUE)),"통과",IF(OR(Z173="실패",AA173="실패",AE173="실패"),"실패","보류"))</x:f>
        <x:v>보류</x:v>
      </x:c>
      <x:c r="AK173" s="5" t="str">
        <x:v>KRDS-SEC-088</x:v>
      </x:c>
      <x:c r="AL173" s="5" t="str"/>
      <x:c r="AM173" s="5" t="str">
        <x:v>입력 v0.1 계획 주석은 original_plan_note에 보존. 최신 구현·시험·증빙은 연결 적용기록을 참조하며 전체 준수·인증을 주장하지 않음.</x:v>
      </x:c>
    </x:row>
    <x:row r="174" ht="26.399999618530273" hidden="0" customHeight="1">
      <x:c r="A174" s="5" t="str">
        <x:v>UI-123</x:v>
      </x:c>
      <x:c r="B174" s="5" t="str">
        <x:v>KRDS UI/UX</x:v>
      </x:c>
      <x:c r="C174" s="5" t="str">
        <x:v>UI 상세 통제</x:v>
      </x:c>
      <x:c r="D174" s="5" t="str">
        <x:v>서비스 이용</x:v>
      </x:c>
      <x:c r="E174" s="5" t="str">
        <x:v>세션 만료 최소20초 전 안내와 연장수단 제공</x:v>
      </x:c>
      <x:c r="F174" s="5" t="str">
        <x:v>SRC-001</x:v>
      </x:c>
      <x:c r="G174" s="5" t="str">
        <x:v>2025.08</x:v>
      </x:c>
      <x:c r="H174" s="5" t="str">
        <x:v>서비스 패턴 / 로그인 / 서비스 이용</x:v>
      </x:c>
      <x:c r="I174" s="5" t="str">
        <x:v>1039-1041</x:v>
      </x:c>
      <x:c r="J174" s="5" t="str">
        <x:v>회사 채택안; 원문 의무수준과 별도 관리</x:v>
      </x:c>
      <x:c r="K174" s="5" t="str">
        <x:v>원문 등급 별도 확인</x:v>
      </x:c>
      <x:c r="L174" s="5" t="str">
        <x:v>MUST(안)</x:v>
      </x:c>
      <x:c r="M174" s="10" t="str">
        <x:v>적용</x:v>
      </x:c>
      <x:c r="N174" s="5" t="str">
        <x:v>업무요청 웹 샘플에 채택하는 회사 기준. 실제 이행은 구현 후 판정.</x:v>
      </x:c>
      <x:c r="O174" s="5" t="str">
        <x:v>관련 기능·적용 기관·계약 변경 시 재평가</x:v>
      </x:c>
      <x:c r="P174" s="5" t="str">
        <x:v>S01~S08 / 공통</x:v>
      </x:c>
      <x:c r="Q174" s="5" t="str">
        <x:v>만료 경고·시간연장·로그아웃 버튼, 최소10회 연장과 경고창 임의 키 연장 동작을 보안정책과 검토 후 구현</x:v>
      </x:c>
      <x:c r="R174" s="5" t="str">
        <x:v>시간 조정·경고 초점·보조기술·연장횟수·복구 시험</x:v>
      </x:c>
      <x:c r="S174" s="10" t="str">
        <x:v>자동+수동</x:v>
      </x:c>
      <x:c r="T174" s="5" t="str">
        <x:v>UX·개발·QA</x:v>
      </x:c>
      <x:c r="U174" s="5" t="str">
        <x:v>P1</x:v>
      </x:c>
      <x:c r="V174" s="10" t="str">
        <x:v>구현</x:v>
      </x:c>
      <x:c r="W174" s="5" t="str">
        <x:v>서버 expiresAt를 기준으로 남은 시간을 계산하고 기본60초 전 dialog 경고, 남은초, 연장/로그아웃을 제공한다. 연장 응답으로 타이머를 갱신하며 서버는 연장횟수를 제한하지 않는다.</x:v>
      </x:c>
      <x:c r="X174" s="5" t="str">
        <x:v>apps/web/src/App.tsx#App
apps/web/src/ui.tsx#Modal</x:v>
      </x:c>
      <x:c r="Y174" s="5" t="str">
        <x:v>MAN-UI-123</x:v>
      </x:c>
      <x:c r="Z174" s="10" t="str">
        <x:v>미실행</x:v>
      </x:c>
      <x:c r="AA174" s="10" t="str">
        <x:v>미실행</x:v>
      </x:c>
      <x:c r="AB174" s="5" t="str"/>
      <x:c r="AC174" s="5" t="n">
        <x:v>0</x:v>
      </x:c>
      <x:c r="AD174" s="5" t="n">
        <x:v>1</x:v>
      </x:c>
      <x:c r="AE174" s="10" t="str">
        <x:v>미실행</x:v>
      </x:c>
      <x:c r="AF174" s="5" t="str"/>
      <x:c r="AG174" s="5" t="str"/>
      <x:c r="AH174" s="5" t="str"/>
      <x:c r="AI174" s="10" t="str">
        <x:v>재확인필요</x:v>
      </x:c>
      <x:c r="AJ174" s="5" t="str">
        <x:f>IF(AND(M174="적용",V174="구현",X174&lt;&gt;"",Y174&lt;&gt;"",AB174&lt;&gt;"",AC174&gt;0,AD174&gt;0,AE174="통과",AF174="",AG174&lt;&gt;"",AH174&lt;&gt;"",OR(S174="자동",S174="수동",S174="자동+수동"),IF(OR(S174="자동",S174="자동+수동"),Z174="통과",TRUE),IF(OR(S174="수동",S174="자동+수동"),AA174="통과",TRUE)),"통과",IF(OR(Z174="실패",AA174="실패",AE174="실패"),"실패","보류"))</x:f>
        <x:v>보류</x:v>
      </x:c>
      <x:c r="AK174" s="5" t="str">
        <x:v>KRDS-SEC-090</x:v>
      </x:c>
      <x:c r="AL174" s="5" t="str"/>
      <x:c r="AM174" s="5" t="str">
        <x:v>입력 v0.1 계획 주석은 original_plan_note에 보존. 최신 구현·시험·증빙은 연결 적용기록을 참조하며 전체 준수·인증을 주장하지 않음.</x:v>
      </x:c>
    </x:row>
    <x:row r="175" ht="39.599998474121094" hidden="0" customHeight="1">
      <x:c r="A175" s="5" t="str">
        <x:v>UI-124</x:v>
      </x:c>
      <x:c r="B175" s="5" t="str">
        <x:v>KRDS UI/UX</x:v>
      </x:c>
      <x:c r="C175" s="5" t="str">
        <x:v>UI 상세 통제</x:v>
      </x:c>
      <x:c r="D175" s="5" t="str">
        <x:v>확인·확정</x:v>
      </x:c>
      <x:c r="E175" s="5" t="str">
        <x:v>중요 행동의 확정과 취소를 모두 제공</x:v>
      </x:c>
      <x:c r="F175" s="5" t="str">
        <x:v>SRC-001</x:v>
      </x:c>
      <x:c r="G175" s="5" t="str">
        <x:v>2025.08</x:v>
      </x:c>
      <x:c r="H175" s="5" t="str">
        <x:v>서비스 패턴 / 신청 / 확인·확정</x:v>
      </x:c>
      <x:c r="I175" s="5" t="str">
        <x:v>1119</x:v>
      </x:c>
      <x:c r="J175" s="5" t="str">
        <x:v>회사 채택안; 원문 의무수준과 별도 관리</x:v>
      </x:c>
      <x:c r="K175" s="5" t="str">
        <x:v>원문 등급 별도 확인</x:v>
      </x:c>
      <x:c r="L175" s="5" t="str">
        <x:v>MUST(안)</x:v>
      </x:c>
      <x:c r="M175" s="10" t="str">
        <x:v>적용</x:v>
      </x:c>
      <x:c r="N175" s="5" t="str">
        <x:v>업무요청 웹 샘플에 채택하는 회사 기준. 실제 이행은 구현 후 판정.</x:v>
      </x:c>
      <x:c r="O175" s="5" t="str">
        <x:v>관련 기능·적용 기관·계약 변경 시 재평가</x:v>
      </x:c>
      <x:c r="P175" s="5" t="str">
        <x:v>S05</x:v>
      </x:c>
      <x:c r="Q175" s="5" t="str">
        <x:v>제출/취소를 명시하고 이전 단계로 돌아가도 입력 보존</x:v>
      </x:c>
      <x:c r="R175" s="5" t="str">
        <x:v>취소 후 상태·데이터·초점 확인</x:v>
      </x:c>
      <x:c r="S175" s="10" t="str">
        <x:v>자동+수동</x:v>
      </x:c>
      <x:c r="T175" s="5" t="str">
        <x:v>UX·개발·QA</x:v>
      </x:c>
      <x:c r="U175" s="5" t="str">
        <x:v>P1</x:v>
      </x:c>
      <x:c r="V175" s="10" t="str">
        <x:v>구현</x:v>
      </x:c>
      <x:c r="W175" s="5" t="str">
        <x:v>요청 저장 전 검토 화면, 작성 취소 확인과 계속 작성, 상태 변경 사유 폼과 취소·저장 선택을 제공한다.</x:v>
      </x:c>
      <x:c r="X175" s="5" t="str">
        <x:v>apps/web/src/App.tsx#RequestWizard
apps/web/src/App.tsx#RequestDetail
apps/web/src/ui.tsx#Modal</x:v>
      </x:c>
      <x:c r="Y175" s="5" t="str">
        <x:v>MAN-UI-124</x:v>
      </x:c>
      <x:c r="Z175" s="10" t="str">
        <x:v>미실행</x:v>
      </x:c>
      <x:c r="AA175" s="10" t="str">
        <x:v>미실행</x:v>
      </x:c>
      <x:c r="AB175" s="5" t="str"/>
      <x:c r="AC175" s="5" t="n">
        <x:v>0</x:v>
      </x:c>
      <x:c r="AD175" s="5" t="n">
        <x:v>1</x:v>
      </x:c>
      <x:c r="AE175" s="10" t="str">
        <x:v>미실행</x:v>
      </x:c>
      <x:c r="AF175" s="5" t="str"/>
      <x:c r="AG175" s="5" t="str"/>
      <x:c r="AH175" s="5" t="str"/>
      <x:c r="AI175" s="10" t="str">
        <x:v>재확인필요</x:v>
      </x:c>
      <x:c r="AJ175" s="5" t="str">
        <x:f>IF(AND(M175="적용",V175="구현",X175&lt;&gt;"",Y175&lt;&gt;"",AB175&lt;&gt;"",AC175&gt;0,AD175&gt;0,AE175="통과",AF175="",AG175&lt;&gt;"",AH175&lt;&gt;"",OR(S175="자동",S175="수동",S175="자동+수동"),IF(OR(S175="자동",S175="자동+수동"),Z175="통과",TRUE),IF(OR(S175="수동",S175="자동+수동"),AA175="통과",TRUE)),"통과",IF(OR(Z175="실패",AA175="실패",AE175="실패"),"실패","보류"))</x:f>
        <x:v>보류</x:v>
      </x:c>
      <x:c r="AK175" s="5" t="str">
        <x:v>KRDS-SEC-097</x:v>
      </x:c>
      <x:c r="AL175" s="5" t="str"/>
      <x:c r="AM175" s="5" t="str">
        <x:v>입력 v0.1 계획 주석은 original_plan_note에 보존. 최신 구현·시험·증빙은 연결 적용기록을 참조하며 전체 준수·인증을 주장하지 않음.</x:v>
      </x:c>
    </x:row>
    <x:row r="176" ht="39.599998474121094" hidden="0" customHeight="1">
      <x:c r="A176" s="5" t="str">
        <x:v>UI-125</x:v>
      </x:c>
      <x:c r="B176" s="5" t="str">
        <x:v>KRDS UI/UX</x:v>
      </x:c>
      <x:c r="C176" s="5" t="str">
        <x:v>UI 상세 통제</x:v>
      </x:c>
      <x:c r="D176" s="5" t="str">
        <x:v>푸터</x:v>
      </x:c>
      <x:c r="E176" s="5" t="str">
        <x:v>개인정보 처리방침 명칭과 가시성 유지</x:v>
      </x:c>
      <x:c r="F176" s="5" t="str">
        <x:v>SRC-001</x:v>
      </x:c>
      <x:c r="G176" s="5" t="str">
        <x:v>2025.08</x:v>
      </x:c>
      <x:c r="H176" s="5" t="str">
        <x:v>컴포넌트 / 아이덴티티 / 푸터</x:v>
      </x:c>
      <x:c r="I176" s="5" t="str">
        <x:v>249</x:v>
      </x:c>
      <x:c r="J176" s="5" t="str">
        <x:v>회사 채택안; 원문 의무수준과 별도 관리</x:v>
      </x:c>
      <x:c r="K176" s="5" t="str">
        <x:v>원문 등급 별도 확인</x:v>
      </x:c>
      <x:c r="L176" s="5" t="str">
        <x:v>MUST(안)</x:v>
      </x:c>
      <x:c r="M176" s="10" t="str">
        <x:v>적용</x:v>
      </x:c>
      <x:c r="N176" s="5" t="str">
        <x:v>업무요청 웹 샘플에 채택하는 회사 기준. 실제 이행은 구현 후 판정.</x:v>
      </x:c>
      <x:c r="O176" s="5" t="str">
        <x:v>관련 기능·적용 기관·계약 변경 시 재평가</x:v>
      </x:c>
      <x:c r="P176" s="5" t="str">
        <x:v>S01~S08 / 공통</x:v>
      </x:c>
      <x:c r="Q176" s="5" t="str">
        <x:v>‘개인정보 처리방침’ 명칭을 쓰고 굵기·색 등으로 다른 정책링크와 구분</x:v>
      </x:c>
      <x:c r="R176" s="5" t="str">
        <x:v>링크 텍스트·대비·최신 페이지·문서 제목 확인</x:v>
      </x:c>
      <x:c r="S176" s="10" t="str">
        <x:v>자동+수동</x:v>
      </x:c>
      <x:c r="T176" s="5" t="str">
        <x:v>UX·개발·QA</x:v>
      </x:c>
      <x:c r="U176" s="5" t="str">
        <x:v>P1</x:v>
      </x:c>
      <x:c r="V176" s="10" t="str">
        <x:v>구현</x:v>
      </x:c>
      <x:c r="W176" s="5" t="str">
        <x:v>푸터의 개인정보 처리방침을 굵은 텍스트로 구분하고 실제 샘플 데이터 처리 안내와 접근성 도움말 페이지에 연결한다.</x:v>
      </x:c>
      <x:c r="X176" s="5" t="str">
        <x:v>apps/web/src/App.tsx#App
apps/web/src/App.tsx#Privacy
apps/web/src/styles.css</x:v>
      </x:c>
      <x:c r="Y176" s="5" t="str">
        <x:v>MAN-UI-125</x:v>
      </x:c>
      <x:c r="Z176" s="10" t="str">
        <x:v>미실행</x:v>
      </x:c>
      <x:c r="AA176" s="10" t="str">
        <x:v>미실행</x:v>
      </x:c>
      <x:c r="AB176" s="5" t="str"/>
      <x:c r="AC176" s="5" t="n">
        <x:v>0</x:v>
      </x:c>
      <x:c r="AD176" s="5" t="n">
        <x:v>1</x:v>
      </x:c>
      <x:c r="AE176" s="10" t="str">
        <x:v>미실행</x:v>
      </x:c>
      <x:c r="AF176" s="5" t="str"/>
      <x:c r="AG176" s="5" t="str"/>
      <x:c r="AH176" s="5" t="str"/>
      <x:c r="AI176" s="10" t="str">
        <x:v>재확인필요</x:v>
      </x:c>
      <x:c r="AJ176" s="5" t="str">
        <x:f>IF(AND(M176="적용",V176="구현",X176&lt;&gt;"",Y176&lt;&gt;"",AB176&lt;&gt;"",AC176&gt;0,AD176&gt;0,AE176="통과",AF176="",AG176&lt;&gt;"",AH176&lt;&gt;"",OR(S176="자동",S176="수동",S176="자동+수동"),IF(OR(S176="자동",S176="자동+수동"),Z176="통과",TRUE),IF(OR(S176="수동",S176="자동+수동"),AA176="통과",TRUE)),"통과",IF(OR(Z176="실패",AA176="실패",AE176="실패"),"실패","보류"))</x:f>
        <x:v>보류</x:v>
      </x:c>
      <x:c r="AK176" s="5" t="str">
        <x:v>KRDS-SEC-020</x:v>
      </x:c>
      <x:c r="AL176" s="5" t="str"/>
      <x:c r="AM176" s="5" t="str">
        <x:v>입력 v0.1 계획 주석은 original_plan_note에 보존. 최신 구현·시험·증빙은 연결 적용기록을 참조하며 전체 준수·인증을 주장하지 않음.</x:v>
      </x:c>
    </x:row>
    <x:row r="177" ht="26.399999618530273" hidden="0" customHeight="1">
      <x:c r="A177" s="5" t="str">
        <x:v>UI-126</x:v>
      </x:c>
      <x:c r="B177" s="5" t="str">
        <x:v>KRDS UI/UX</x:v>
      </x:c>
      <x:c r="C177" s="5" t="str">
        <x:v>2025.08 변경 반영</x:v>
      </x:c>
      <x:c r="D177" s="5" t="str">
        <x:v>운영기관 식별자</x:v>
      </x:c>
      <x:c r="E177" s="5" t="str">
        <x:v>운영기관 로고·안내로 변경하고 상위기관 계층 나열 삭제</x:v>
      </x:c>
      <x:c r="F177" s="5" t="str">
        <x:v>SRC-002</x:v>
      </x:c>
      <x:c r="G177" s="5" t="str">
        <x:v>2025.08</x:v>
      </x:c>
      <x:c r="H177" s="5" t="str">
        <x:v>컴포넌트 / 아이덴티티 / 운영기관 식별자</x:v>
      </x:c>
      <x:c r="I177" s="5" t="str">
        <x:v>변경 대비표 p1; 본문 p229-231</x:v>
      </x:c>
      <x:c r="J177" s="5" t="str">
        <x:v>회사 채택안; 원문 의무수준과 별도 관리</x:v>
      </x:c>
      <x:c r="K177" s="5" t="str">
        <x:v>원문 등급 별도 확인</x:v>
      </x:c>
      <x:c r="L177" s="5" t="str">
        <x:v>대상외</x:v>
      </x:c>
      <x:c r="M177" s="10" t="str">
        <x:v>해당없음</x:v>
      </x:c>
      <x:c r="N177" s="5" t="str">
        <x:v>현재 회사 자체 브랜드 웹 샘플 범위와 맞지 않음. 근거를 유지하고 범위 변경 시 재평가.</x:v>
      </x:c>
      <x:c r="O177" s="5" t="str">
        <x:v>현재 회사 자체 브랜드 웹 샘플 범위와 맞지 않음. 근거를 유지하고 범위 변경 시 재평가.</x:v>
      </x:c>
      <x:c r="P177" s="5" t="str">
        <x:v>S01~S08 / 공통</x:v>
      </x:c>
      <x:c r="Q177" s="5" t="str">
        <x:v>공공 프로젝트 프로필에서 운영기관 기준으로 구성; 회사 샘플은 해당없음</x:v>
      </x:c>
      <x:c r="R177" s="5" t="str">
        <x:v>구버전 상위기관 계층 로고·문구 잔존 점검</x:v>
      </x:c>
      <x:c r="S177" s="10" t="str">
        <x:v>수동</x:v>
      </x:c>
      <x:c r="T177" s="5" t="str">
        <x:v>UX·개발·QA</x:v>
      </x:c>
      <x:c r="U177" s="5" t="str">
        <x:v>P1</x:v>
      </x:c>
      <x:c r="V177" s="10" t="str">
        <x:v>해당없음</x:v>
      </x:c>
      <x:c r="W177" s="5" t="str">
        <x:v>가상 회사 브랜드 FlowCore만 표시하며 정부 배너·운영기관 로고는 사용하지 않는다. 실제 공공 서비스 전환 시 권한과 자산 규칙을 재검토한다.</x:v>
      </x:c>
      <x:c r="X177" s="5" t="str">
        <x:v>apps/web/src/App.tsx#App</x:v>
      </x:c>
      <x:c r="Y177" s="5" t="str">
        <x:v>MAN-UI-126</x:v>
      </x:c>
      <x:c r="Z177" s="10" t="str">
        <x:v>미실행</x:v>
      </x:c>
      <x:c r="AA177" s="10" t="str">
        <x:v>미실행</x:v>
      </x:c>
      <x:c r="AB177" s="5" t="str"/>
      <x:c r="AC177" s="5" t="n">
        <x:v>0</x:v>
      </x:c>
      <x:c r="AD177" s="5" t="n">
        <x:v>1</x:v>
      </x:c>
      <x:c r="AE177" s="10" t="str">
        <x:v>해당없음</x:v>
      </x:c>
      <x:c r="AF177" s="5" t="str"/>
      <x:c r="AG177" s="5" t="str"/>
      <x:c r="AH177" s="5" t="str"/>
      <x:c r="AI177" s="10" t="str">
        <x:v>재확인필요</x:v>
      </x:c>
      <x:c r="AJ177" s="5" t="str">
        <x:f>IF(AND(M177="적용",V177="구현",X177&lt;&gt;"",Y177&lt;&gt;"",AB177&lt;&gt;"",AC177&gt;0,AD177&gt;0,AE177="통과",AF177="",AG177&lt;&gt;"",AH177&lt;&gt;"",OR(S177="자동",S177="수동",S177="자동+수동"),IF(OR(S177="자동",S177="자동+수동"),Z177="통과",TRUE),IF(OR(S177="수동",S177="자동+수동"),AA177="통과",TRUE)),"통과",IF(OR(Z177="실패",AA177="실패",AE177="실패"),"실패","보류"))</x:f>
        <x:v>보류</x:v>
      </x:c>
      <x:c r="AK177" s="5" t="str">
        <x:v>KRDS-SEC-018</x:v>
      </x:c>
      <x:c r="AL177" s="5" t="str"/>
      <x:c r="AM177" s="5" t="str">
        <x:v>입력 v0.1 계획 주석은 original_plan_note에 보존. 최신 구현·시험·증빙은 연결 적용기록을 참조하며 전체 준수·인증을 주장하지 않음.</x:v>
      </x:c>
    </x:row>
    <x:row r="178" ht="39.599998474121094" hidden="0" customHeight="1">
      <x:c r="A178" s="5" t="str">
        <x:v>UI-127</x:v>
      </x:c>
      <x:c r="B178" s="5" t="str">
        <x:v>KRDS UI/UX</x:v>
      </x:c>
      <x:c r="C178" s="5" t="str">
        <x:v>2025.08 변경 반영</x:v>
      </x:c>
      <x:c r="D178" s="5" t="str">
        <x:v>푸터</x:v>
      </x:c>
      <x:c r="E178" s="5" t="str">
        <x:v>개인정보 처리방침 명칭·시각 구분을 강화</x:v>
      </x:c>
      <x:c r="F178" s="5" t="str">
        <x:v>SRC-002</x:v>
      </x:c>
      <x:c r="G178" s="5" t="str">
        <x:v>2025.08</x:v>
      </x:c>
      <x:c r="H178" s="5" t="str">
        <x:v>컴포넌트 / 아이덴티티 / 푸터</x:v>
      </x:c>
      <x:c r="I178" s="5" t="str">
        <x:v>변경 대비표 p2; 본문 p249</x:v>
      </x:c>
      <x:c r="J178" s="5" t="str">
        <x:v>회사 채택안; 원문 의무수준과 별도 관리</x:v>
      </x:c>
      <x:c r="K178" s="5" t="str">
        <x:v>원문 등급 별도 확인</x:v>
      </x:c>
      <x:c r="L178" s="5" t="str">
        <x:v>MUST(안)</x:v>
      </x:c>
      <x:c r="M178" s="10" t="str">
        <x:v>적용</x:v>
      </x:c>
      <x:c r="N178" s="5" t="str">
        <x:v>업무요청 웹 샘플에 채택하는 회사 기준. 실제 이행은 구현 후 판정.</x:v>
      </x:c>
      <x:c r="O178" s="5" t="str">
        <x:v>관련 기능·적용 기관·계약 변경 시 재평가</x:v>
      </x:c>
      <x:c r="P178" s="5" t="str">
        <x:v>S01~S08 / 공통</x:v>
      </x:c>
      <x:c r="Q178" s="5" t="str">
        <x:v>정책 링크의 정확한 명칭·굵기/색과 현재 내용을 적용</x:v>
      </x:c>
      <x:c r="R178" s="5" t="str">
        <x:v>디자인·접근성·실제 정책내용 합동 점검</x:v>
      </x:c>
      <x:c r="S178" s="10" t="str">
        <x:v>자동+수동</x:v>
      </x:c>
      <x:c r="T178" s="5" t="str">
        <x:v>UX·개발·QA</x:v>
      </x:c>
      <x:c r="U178" s="5" t="str">
        <x:v>P1</x:v>
      </x:c>
      <x:c r="V178" s="10" t="str">
        <x:v>구현</x:v>
      </x:c>
      <x:c r="W178" s="5" t="str">
        <x:v>푸터의 개인정보 처리방침을 굵은 텍스트로 구분하고 실제 샘플 데이터 처리 안내와 접근성 도움말 페이지에 연결한다.</x:v>
      </x:c>
      <x:c r="X178" s="5" t="str">
        <x:v>apps/web/src/App.tsx#App
apps/web/src/App.tsx#Privacy
apps/web/src/styles.css</x:v>
      </x:c>
      <x:c r="Y178" s="5" t="str">
        <x:v>AUTO-EXPORT
E2E-HELP
MAN-UI-127</x:v>
      </x:c>
      <x:c r="Z178" s="10" t="str">
        <x:v>부분확인</x:v>
      </x:c>
      <x:c r="AA178" s="10" t="str">
        <x:v>미실행</x:v>
      </x:c>
      <x:c r="AB178" s="5" t="str">
        <x:v>AUTO-EXPORT-2026-10-20T06-18-28-443Z
E2E-HELP-2026-10-20T06-15-00-647Z</x:v>
      </x:c>
      <x:c r="AC178" s="5" t="n">
        <x:v>2</x:v>
      </x:c>
      <x:c r="AD178" s="5" t="n">
        <x:v>3</x:v>
      </x:c>
      <x:c r="AE178" s="10" t="str">
        <x:v>부분확인</x:v>
      </x:c>
      <x:c r="AF178" s="5" t="str"/>
      <x:c r="AG178" s="5" t="str"/>
      <x:c r="AH178" s="5" t="str"/>
      <x:c r="AI178" s="10" t="str">
        <x:v>재확인필요</x:v>
      </x:c>
      <x:c r="AJ178" s="5" t="str">
        <x:f>IF(AND(M178="적용",V178="구현",X178&lt;&gt;"",Y178&lt;&gt;"",AB178&lt;&gt;"",AC178&gt;0,AD178&gt;0,AE178="통과",AF178="",AG178&lt;&gt;"",AH178&lt;&gt;"",OR(S178="자동",S178="수동",S178="자동+수동"),IF(OR(S178="자동",S178="자동+수동"),Z178="통과",TRUE),IF(OR(S178="수동",S178="자동+수동"),AA178="통과",TRUE)),"통과",IF(OR(Z178="실패",AA178="실패",AE178="실패"),"실패","보류"))</x:f>
        <x:v>보류</x:v>
      </x:c>
      <x:c r="AK178" s="5" t="str">
        <x:v>KRDS-SEC-020</x:v>
      </x:c>
      <x:c r="AL178" s="5" t="str"/>
      <x:c r="AM178" s="5" t="str">
        <x:v>입력 v0.1 계획 주석은 original_plan_note에 보존. 최신 구현·시험·증빙은 연결 적용기록을 참조하며 전체 준수·인증을 주장하지 않음.</x:v>
      </x:c>
    </x:row>
    <x:row r="179" ht="26.399999618530273" hidden="0" customHeight="1">
      <x:c r="A179" s="5" t="str">
        <x:v>UI-128</x:v>
      </x:c>
      <x:c r="B179" s="5" t="str">
        <x:v>KRDS UI/UX</x:v>
      </x:c>
      <x:c r="C179" s="5" t="str">
        <x:v>2025.08 변경 반영</x:v>
      </x:c>
      <x:c r="D179" s="5" t="str">
        <x:v>로그인 방식 확인·선택</x:v>
      </x:c>
      <x:c r="E179" s="5" t="str">
        <x:v>로그인 방식 목록은 화면 구성을 고려하여 배치 가능</x:v>
      </x:c>
      <x:c r="F179" s="5" t="str">
        <x:v>SRC-002</x:v>
      </x:c>
      <x:c r="G179" s="5" t="str">
        <x:v>2025.08</x:v>
      </x:c>
      <x:c r="H179" s="5" t="str">
        <x:v>서비스 패턴 / 로그인 / 로그인 방식 확인·선택</x:v>
      </x:c>
      <x:c r="I179" s="5" t="str">
        <x:v>변경 대비표 p2; 본문 p1007</x:v>
      </x:c>
      <x:c r="J179" s="5" t="str">
        <x:v>회사 채택안; 원문 의무수준과 별도 관리</x:v>
      </x:c>
      <x:c r="K179" s="5" t="str">
        <x:v>권장(원문 확인)</x:v>
      </x:c>
      <x:c r="L179" s="5" t="str">
        <x:v>MUST(안)</x:v>
      </x:c>
      <x:c r="M179" s="10" t="str">
        <x:v>조건부</x:v>
      </x:c>
      <x:c r="N179" s="5" t="str">
        <x:v>해당 기능 또는 서비스 조건이 실제 범위에 포함될 때 적용.</x:v>
      </x:c>
      <x:c r="O179" s="5" t="str">
        <x:v>해당 기능 또는 서비스 조건이 실제 범위에 포함될 때 적용.</x:v>
      </x:c>
      <x:c r="P179" s="5" t="str">
        <x:v>S01, S05</x:v>
      </x:c>
      <x:c r="Q179" s="5" t="str">
        <x:v>복수 인증 시 사용자 관점의 분류를 유지하면서 반응형 목록 배치</x:v>
      </x:c>
      <x:c r="R179" s="5" t="str">
        <x:v>인증방식 비교·선택·키보드 이동·작은 화면 점검</x:v>
      </x:c>
      <x:c r="S179" s="10" t="str">
        <x:v>자동+수동</x:v>
      </x:c>
      <x:c r="T179" s="5" t="str">
        <x:v>UX·개발·QA</x:v>
      </x:c>
      <x:c r="U179" s="5" t="str">
        <x:v>P1</x:v>
      </x:c>
      <x:c r="V179" s="10" t="str">
        <x:v>진행</x:v>
      </x:c>
      <x:c r="W179" s="5" t="str">
        <x:v>실제 연동된 이메일/비밀번호 방식만 한 가지 제공한다. 다중 인증방식의 목록 배치는 기능이 추가되면 검토한다.</x:v>
      </x:c>
      <x:c r="X179" s="5" t="str">
        <x:v>apps/web/src/App.tsx#Login</x:v>
      </x:c>
      <x:c r="Y179" s="5" t="str">
        <x:v>MAN-UI-128</x:v>
      </x:c>
      <x:c r="Z179" s="10" t="str">
        <x:v>미실행</x:v>
      </x:c>
      <x:c r="AA179" s="10" t="str">
        <x:v>미실행</x:v>
      </x:c>
      <x:c r="AB179" s="5" t="str"/>
      <x:c r="AC179" s="5" t="n">
        <x:v>0</x:v>
      </x:c>
      <x:c r="AD179" s="5" t="n">
        <x:v>1</x:v>
      </x:c>
      <x:c r="AE179" s="10" t="str">
        <x:v>미실행</x:v>
      </x:c>
      <x:c r="AF179" s="5" t="str"/>
      <x:c r="AG179" s="5" t="str"/>
      <x:c r="AH179" s="5" t="str"/>
      <x:c r="AI179" s="10" t="str">
        <x:v>재확인필요</x:v>
      </x:c>
      <x:c r="AJ179" s="5" t="str">
        <x:f>IF(AND(M179="적용",V179="구현",X179&lt;&gt;"",Y179&lt;&gt;"",AB179&lt;&gt;"",AC179&gt;0,AD179&gt;0,AE179="통과",AF179="",AG179&lt;&gt;"",AH179&lt;&gt;"",OR(S179="자동",S179="수동",S179="자동+수동"),IF(OR(S179="자동",S179="자동+수동"),Z179="통과",TRUE),IF(OR(S179="수동",S179="자동+수동"),AA179="통과",TRUE)),"통과",IF(OR(Z179="실패",AA179="실패",AE179="실패"),"실패","보류"))</x:f>
        <x:v>보류</x:v>
      </x:c>
      <x:c r="AK179" s="5" t="str">
        <x:v>KRDS-SEC-087</x:v>
      </x:c>
      <x:c r="AL179" s="5" t="str"/>
      <x:c r="AM179" s="5" t="str">
        <x:v>입력 v0.1 계획 주석은 original_plan_note에 보존. 최신 구현·시험·증빙은 연결 적용기록을 참조하며 전체 준수·인증을 주장하지 않음.</x:v>
      </x:c>
    </x:row>
    <x:row r="180" ht="39.599998474121094" hidden="0" customHeight="1">
      <x:c r="A180" s="5" t="str">
        <x:v>KWA-001</x:v>
      </x:c>
      <x:c r="B180" s="5" t="str">
        <x:v>KWCAG 2.2</x:v>
      </x:c>
      <x:c r="C180" s="5" t="str">
        <x:v>KWCAG 2.2</x:v>
      </x:c>
      <x:c r="D180" s="5" t="str">
        <x:v>적절한 대체 텍스트 제공</x:v>
      </x:c>
      <x:c r="E180" s="5" t="str">
        <x:v>비텍스트 의미 전달</x:v>
      </x:c>
      <x:c r="F180" s="5" t="str">
        <x:v>SRC-004</x:v>
      </x:c>
      <x:c r="G180" s="5" t="str">
        <x:v>KS X OT0003:2022</x:v>
      </x:c>
      <x:c r="H180" s="5" t="str">
        <x:v>5.1.1</x:v>
      </x:c>
      <x:c r="I180" s="5" t="str"/>
      <x:c r="J180" s="5" t="str">
        <x:v>국내 검사기준</x:v>
      </x:c>
      <x:c r="K180" s="5" t="str">
        <x:v>국내 검사기준</x:v>
      </x:c>
      <x:c r="L180" s="5" t="str">
        <x:v>MUST(안)</x:v>
      </x:c>
      <x:c r="M180" s="10" t="str">
        <x:v>적용</x:v>
      </x:c>
      <x:c r="N180" s="5" t="str">
        <x:v>현재 샘플의 회사 필수 기준으로 채택 제안</x:v>
      </x:c>
      <x:c r="O180" s="5" t="str">
        <x:v>관련 기능·적용 기관·계약 변경 시 재평가</x:v>
      </x:c>
      <x:c r="P180" s="5" t="str">
        <x:v>S01~S08 / 해당 기능의 모든 화면·상태</x:v>
      </x:c>
      <x:c r="Q180" s="5" t="str">
        <x:v>업무 첨부 이미지 설명 입력, 기능 아이콘 이름, 장식 alt=""</x:v>
      </x:c>
      <x:c r="R180" s="5" t="str">
        <x:v>자동 검사 + 화면낭독기로 정보 등가성 수동 확인</x:v>
      </x:c>
      <x:c r="S180" s="10" t="str">
        <x:v>자동+수동</x:v>
      </x:c>
      <x:c r="T180" s="5" t="str">
        <x:v>개발·QA</x:v>
      </x:c>
      <x:c r="U180" s="5" t="str">
        <x:v>P1</x:v>
      </x:c>
      <x:c r="V180" s="10" t="str">
        <x:v>구현</x:v>
      </x:c>
      <x:c r="W180" s="5" t="str">
        <x:v>장식 도형은 aria-hidden으로 제외하고 기능 아이콘은 이름 있는 버튼/링크 또는 가시적인 텍스트와 함께 제공한다.</x:v>
      </x:c>
      <x:c r="X180" s="5" t="str">
        <x:v>apps/web/src/App.tsx#App
apps/web/src/App.tsx#Dashboard
apps/web/src/ui.tsx#Badge</x:v>
      </x:c>
      <x:c r="Y180" s="5" t="str">
        <x:v>MAN-KWA-001</x:v>
      </x:c>
      <x:c r="Z180" s="10" t="str">
        <x:v>미실행</x:v>
      </x:c>
      <x:c r="AA180" s="10" t="str">
        <x:v>미실행</x:v>
      </x:c>
      <x:c r="AB180" s="5" t="str"/>
      <x:c r="AC180" s="5" t="n">
        <x:v>0</x:v>
      </x:c>
      <x:c r="AD180" s="5" t="n">
        <x:v>1</x:v>
      </x:c>
      <x:c r="AE180" s="10" t="str">
        <x:v>미실행</x:v>
      </x:c>
      <x:c r="AF180" s="5" t="str"/>
      <x:c r="AG180" s="5" t="str"/>
      <x:c r="AH180" s="5" t="str"/>
      <x:c r="AI180" s="10" t="str">
        <x:v>입력 기준 유지</x:v>
      </x:c>
      <x:c r="AJ180" s="5" t="str">
        <x:f>IF(AND(M180="적용",V180="구현",X180&lt;&gt;"",Y180&lt;&gt;"",AB180&lt;&gt;"",AC180&gt;0,AD180&gt;0,AE180="통과",AF180="",AG180&lt;&gt;"",AH180&lt;&gt;"",OR(S180="자동",S180="수동",S180="자동+수동"),IF(OR(S180="자동",S180="자동+수동"),Z180="통과",TRUE),IF(OR(S180="수동",S180="자동+수동"),AA180="통과",TRUE)),"통과",IF(OR(Z180="실패",AA180="실패",AE180="실패"),"실패","보류"))</x:f>
        <x:v>보류</x:v>
      </x:c>
      <x:c r="AK180" s="5" t="str"/>
      <x:c r="AL180" s="5" t="str">
        <x:v>WCA-001</x:v>
      </x:c>
      <x:c r="AM180" s="5" t="str">
        <x:v>입력 v0.1 계획 주석은 original_plan_note에 보존. 최신 구현·시험·증빙은 연결 적용기록을 참조하며 전체 준수·인증을 주장하지 않음.</x:v>
      </x:c>
    </x:row>
    <x:row r="181" ht="26.399999618530273" hidden="0" customHeight="1">
      <x:c r="A181" s="5" t="str">
        <x:v>KWA-002</x:v>
      </x:c>
      <x:c r="B181" s="5" t="str">
        <x:v>KWCAG 2.2</x:v>
      </x:c>
      <x:c r="C181" s="5" t="str">
        <x:v>KWCAG 2.2</x:v>
      </x:c>
      <x:c r="D181" s="5" t="str">
        <x:v>자막 제공</x:v>
      </x:c>
      <x:c r="E181" s="5" t="str">
        <x:v>미디어 대체수단</x:v>
      </x:c>
      <x:c r="F181" s="5" t="str">
        <x:v>SRC-004</x:v>
      </x:c>
      <x:c r="G181" s="5" t="str">
        <x:v>KS X OT0003:2022</x:v>
      </x:c>
      <x:c r="H181" s="5" t="str">
        <x:v>5.2.1</x:v>
      </x:c>
      <x:c r="I181" s="5" t="str"/>
      <x:c r="J181" s="5" t="str">
        <x:v>국내 검사기준</x:v>
      </x:c>
      <x:c r="K181" s="5" t="str">
        <x:v>국내 검사기준</x:v>
      </x:c>
      <x:c r="L181" s="5" t="str">
        <x:v>MUST(안)</x:v>
      </x:c>
      <x:c r="M181" s="10" t="str">
        <x:v>조건부</x:v>
      </x:c>
      <x:c r="N181" s="5" t="str">
        <x:v>현재 동영상·음성 콘텐츠 없음. 추가 시 재판정</x:v>
      </x:c>
      <x:c r="O181" s="5" t="str">
        <x:v>현재 동영상·음성 콘텐츠 없음. 추가 시 재판정</x:v>
      </x:c>
      <x:c r="P181" s="5" t="str">
        <x:v>S01~S08 / 해당 기능의 모든 화면·상태</x:v>
      </x:c>
      <x:c r="Q181" s="5" t="str">
        <x:v>영상 추가 시 동기화 자막·대본·필요한 음성해설을 별도 설계</x:v>
      </x:c>
      <x:c r="R181" s="5" t="str">
        <x:v>미디어 존재 확인 후 자막 내용·동기 수동 검토</x:v>
      </x:c>
      <x:c r="S181" s="10" t="str">
        <x:v>수동</x:v>
      </x:c>
      <x:c r="T181" s="5" t="str">
        <x:v>개발·QA</x:v>
      </x:c>
      <x:c r="U181" s="5" t="str">
        <x:v>P1</x:v>
      </x:c>
      <x:c r="V181" s="10" t="str">
        <x:v>계획</x:v>
      </x:c>
      <x:c r="W181" s="5" t="str">
        <x:v>해당 미디어를 도입하지 않았다. 조건부 적용을 유지하며 영상·음성 추가 시 자막·대본·음성해설을 구현하고 실제 검사해야 한다.</x:v>
      </x:c>
      <x:c r="X181" s="5" t="str"/>
      <x:c r="Y181" s="5" t="str">
        <x:v>MAN-KWA-002</x:v>
      </x:c>
      <x:c r="Z181" s="10" t="str">
        <x:v>미실행</x:v>
      </x:c>
      <x:c r="AA181" s="10" t="str">
        <x:v>미실행</x:v>
      </x:c>
      <x:c r="AB181" s="5" t="str"/>
      <x:c r="AC181" s="5" t="n">
        <x:v>0</x:v>
      </x:c>
      <x:c r="AD181" s="5" t="n">
        <x:v>1</x:v>
      </x:c>
      <x:c r="AE181" s="10" t="str">
        <x:v>미실행</x:v>
      </x:c>
      <x:c r="AF181" s="5" t="str"/>
      <x:c r="AG181" s="5" t="str"/>
      <x:c r="AH181" s="5" t="str"/>
      <x:c r="AI181" s="10" t="str">
        <x:v>입력 기준 유지</x:v>
      </x:c>
      <x:c r="AJ181" s="5" t="str">
        <x:f>IF(AND(M181="적용",V181="구현",X181&lt;&gt;"",Y181&lt;&gt;"",AB181&lt;&gt;"",AC181&gt;0,AD181&gt;0,AE181="통과",AF181="",AG181&lt;&gt;"",AH181&lt;&gt;"",OR(S181="자동",S181="수동",S181="자동+수동"),IF(OR(S181="자동",S181="자동+수동"),Z181="통과",TRUE),IF(OR(S181="수동",S181="자동+수동"),AA181="통과",TRUE)),"통과",IF(OR(Z181="실패",AA181="실패",AE181="실패"),"실패","보류"))</x:f>
        <x:v>보류</x:v>
      </x:c>
      <x:c r="AK181" s="5" t="str"/>
      <x:c r="AL181" s="5" t="str">
        <x:v>WCA-002, WCA-006</x:v>
      </x:c>
      <x:c r="AM181" s="5" t="str">
        <x:v>입력 v0.1 계획 주석은 original_plan_note에 보존. 최신 구현·시험·증빙은 연결 적용기록을 참조하며 전체 준수·인증을 주장하지 않음.</x:v>
      </x:c>
    </x:row>
    <x:row r="182" ht="39.599998474121094" hidden="0" customHeight="1">
      <x:c r="A182" s="5" t="str">
        <x:v>KWA-003</x:v>
      </x:c>
      <x:c r="B182" s="5" t="str">
        <x:v>KWCAG 2.2</x:v>
      </x:c>
      <x:c r="C182" s="5" t="str">
        <x:v>KWCAG 2.2</x:v>
      </x:c>
      <x:c r="D182" s="5" t="str">
        <x:v>표의 구성</x:v>
      </x:c>
      <x:c r="E182" s="5" t="str">
        <x:v>표 구조 전달</x:v>
      </x:c>
      <x:c r="F182" s="5" t="str">
        <x:v>SRC-004</x:v>
      </x:c>
      <x:c r="G182" s="5" t="str">
        <x:v>KS X OT0003:2022</x:v>
      </x:c>
      <x:c r="H182" s="5" t="str">
        <x:v>5.3.1</x:v>
      </x:c>
      <x:c r="I182" s="5" t="str"/>
      <x:c r="J182" s="5" t="str">
        <x:v>국내 검사기준</x:v>
      </x:c>
      <x:c r="K182" s="5" t="str">
        <x:v>국내 검사기준</x:v>
      </x:c>
      <x:c r="L182" s="5" t="str">
        <x:v>MUST(안)</x:v>
      </x:c>
      <x:c r="M182" s="10" t="str">
        <x:v>적용</x:v>
      </x:c>
      <x:c r="N182" s="5" t="str">
        <x:v>현재 샘플의 회사 필수 기준으로 채택 제안</x:v>
      </x:c>
      <x:c r="O182" s="5" t="str">
        <x:v>관련 기능·적용 기관·계약 변경 시 재평가</x:v>
      </x:c>
      <x:c r="P182" s="5" t="str">
        <x:v>S01~S08 / 해당 기능의 모든 화면·상태</x:v>
      </x:c>
      <x:c r="Q182" s="5" t="str">
        <x:v>요청 목록 table에 caption, th, scope 제공. 복합 표는 구조 단순화</x:v>
      </x:c>
      <x:c r="R182" s="5" t="str">
        <x:v>DOM 자동 검사 + NVDA 행·열 탐색</x:v>
      </x:c>
      <x:c r="S182" s="10" t="str">
        <x:v>자동+수동</x:v>
      </x:c>
      <x:c r="T182" s="5" t="str">
        <x:v>개발·QA</x:v>
      </x:c>
      <x:c r="U182" s="5" t="str">
        <x:v>P1</x:v>
      </x:c>
      <x:c r="V182" s="10" t="str">
        <x:v>구현</x:v>
      </x:c>
      <x:c r="W182" s="5" t="str">
        <x:v>caption/theader/scope 관계가 있는 table과 fieldset/legend·label·목록·정의목록의 HTML 의미구조를 사용한다.</x:v>
      </x:c>
      <x:c r="X182" s="5" t="str">
        <x:v>apps/web/src/App.tsx#RequestTable
apps/web/src/App.tsx#RequestWizard
apps/web/src/StandardsBrowser.tsx#StandardsBrowser</x:v>
      </x:c>
      <x:c r="Y182" s="5" t="str">
        <x:v>E2E-AXE
MAN-KWA-003</x:v>
      </x:c>
      <x:c r="Z182" s="10" t="str">
        <x:v>부분확인</x:v>
      </x:c>
      <x:c r="AA182" s="10" t="str">
        <x:v>미실행</x:v>
      </x:c>
      <x:c r="AB182" s="5" t="str">
        <x:v>E2E-AXE-2026-10-20T06-15-00-647Z</x:v>
      </x:c>
      <x:c r="AC182" s="5" t="n">
        <x:v>1</x:v>
      </x:c>
      <x:c r="AD182" s="5" t="n">
        <x:v>2</x:v>
      </x:c>
      <x:c r="AE182" s="10" t="str">
        <x:v>부분확인</x:v>
      </x:c>
      <x:c r="AF182" s="5" t="str"/>
      <x:c r="AG182" s="5" t="str"/>
      <x:c r="AH182" s="5" t="str"/>
      <x:c r="AI182" s="10" t="str">
        <x:v>입력 기준 유지</x:v>
      </x:c>
      <x:c r="AJ182" s="5" t="str">
        <x:f>IF(AND(M182="적용",V182="구현",X182&lt;&gt;"",Y182&lt;&gt;"",AB182&lt;&gt;"",AC182&gt;0,AD182&gt;0,AE182="통과",AF182="",AG182&lt;&gt;"",AH182&lt;&gt;"",OR(S182="자동",S182="수동",S182="자동+수동"),IF(OR(S182="자동",S182="자동+수동"),Z182="통과",TRUE),IF(OR(S182="수동",S182="자동+수동"),AA182="통과",TRUE)),"통과",IF(OR(Z182="실패",AA182="실패",AE182="실패"),"실패","보류"))</x:f>
        <x:v>보류</x:v>
      </x:c>
      <x:c r="AK182" s="5" t="str"/>
      <x:c r="AL182" s="5" t="str">
        <x:v>WCA-007</x:v>
      </x:c>
      <x:c r="AM182" s="5" t="str">
        <x:v>입력 v0.1 계획 주석은 original_plan_note에 보존. 최신 구현·시험·증빙은 연결 적용기록을 참조하며 전체 준수·인증을 주장하지 않음.</x:v>
      </x:c>
    </x:row>
    <x:row r="183" ht="39.599998474121094" hidden="0" customHeight="1">
      <x:c r="A183" s="5" t="str">
        <x:v>KWA-004</x:v>
      </x:c>
      <x:c r="B183" s="5" t="str">
        <x:v>KWCAG 2.2</x:v>
      </x:c>
      <x:c r="C183" s="5" t="str">
        <x:v>KWCAG 2.2</x:v>
      </x:c>
      <x:c r="D183" s="5" t="str">
        <x:v>콘텐츠의 선형구조</x:v>
      </x:c>
      <x:c r="E183" s="5" t="str">
        <x:v>논리적인 읽기순서</x:v>
      </x:c>
      <x:c r="F183" s="5" t="str">
        <x:v>SRC-004</x:v>
      </x:c>
      <x:c r="G183" s="5" t="str">
        <x:v>KS X OT0003:2022</x:v>
      </x:c>
      <x:c r="H183" s="5" t="str">
        <x:v>5.3.2</x:v>
      </x:c>
      <x:c r="I183" s="5" t="str"/>
      <x:c r="J183" s="5" t="str">
        <x:v>국내 검사기준</x:v>
      </x:c>
      <x:c r="K183" s="5" t="str">
        <x:v>국내 검사기준</x:v>
      </x:c>
      <x:c r="L183" s="5" t="str">
        <x:v>MUST(안)</x:v>
      </x:c>
      <x:c r="M183" s="10" t="str">
        <x:v>적용</x:v>
      </x:c>
      <x:c r="N183" s="5" t="str">
        <x:v>현재 샘플의 회사 필수 기준으로 채택 제안</x:v>
      </x:c>
      <x:c r="O183" s="5" t="str">
        <x:v>관련 기능·적용 기관·계약 변경 시 재평가</x:v>
      </x:c>
      <x:c r="P183" s="5" t="str">
        <x:v>S01~S08 / 해당 기능의 모든 화면·상태</x:v>
      </x:c>
      <x:c r="Q183" s="5" t="str">
        <x:v>DOM 순서와 화면 읽기순서 일치, CSS order로 핵심순서 역전 금지</x:v>
      </x:c>
      <x:c r="R183" s="5" t="str">
        <x:v>CSS 비활성/화면낭독기 순서 수동 확인</x:v>
      </x:c>
      <x:c r="S183" s="10" t="str">
        <x:v>수동</x:v>
      </x:c>
      <x:c r="T183" s="5" t="str">
        <x:v>개발·QA</x:v>
      </x:c>
      <x:c r="U183" s="5" t="str">
        <x:v>P1</x:v>
      </x:c>
      <x:c r="V183" s="10" t="str">
        <x:v>구현</x:v>
      </x:c>
      <x:c r="W183" s="5" t="str">
        <x:v>탐색→페이지제목→내용→푸터와 단계/오류/입력/작업의 논리적인 DOM 순서를 유지한다. 반응형은 이 순서를 재배열하지 않는다.</x:v>
      </x:c>
      <x:c r="X183" s="5" t="str">
        <x:v>apps/web/src/App.tsx#App
apps/web/src/App.tsx#RequestWizard
apps/web/src/styles.css</x:v>
      </x:c>
      <x:c r="Y183" s="5" t="str">
        <x:v>MAN-KWA-004</x:v>
      </x:c>
      <x:c r="Z183" s="10" t="str">
        <x:v>미실행</x:v>
      </x:c>
      <x:c r="AA183" s="10" t="str">
        <x:v>미실행</x:v>
      </x:c>
      <x:c r="AB183" s="5" t="str"/>
      <x:c r="AC183" s="5" t="n">
        <x:v>0</x:v>
      </x:c>
      <x:c r="AD183" s="5" t="n">
        <x:v>1</x:v>
      </x:c>
      <x:c r="AE183" s="10" t="str">
        <x:v>미실행</x:v>
      </x:c>
      <x:c r="AF183" s="5" t="str"/>
      <x:c r="AG183" s="5" t="str"/>
      <x:c r="AH183" s="5" t="str"/>
      <x:c r="AI183" s="10" t="str">
        <x:v>입력 기준 유지</x:v>
      </x:c>
      <x:c r="AJ183" s="5" t="str">
        <x:f>IF(AND(M183="적용",V183="구현",X183&lt;&gt;"",Y183&lt;&gt;"",AB183&lt;&gt;"",AC183&gt;0,AD183&gt;0,AE183="통과",AF183="",AG183&lt;&gt;"",AH183&lt;&gt;"",OR(S183="자동",S183="수동",S183="자동+수동"),IF(OR(S183="자동",S183="자동+수동"),Z183="통과",TRUE),IF(OR(S183="수동",S183="자동+수동"),AA183="통과",TRUE)),"통과",IF(OR(Z183="실패",AA183="실패",AE183="실패"),"실패","보류"))</x:f>
        <x:v>보류</x:v>
      </x:c>
      <x:c r="AK183" s="5" t="str"/>
      <x:c r="AL183" s="5" t="str">
        <x:v>WCA-008</x:v>
      </x:c>
      <x:c r="AM183" s="5" t="str">
        <x:v>입력 v0.1 계획 주석은 original_plan_note에 보존. 최신 구현·시험·증빙은 연결 적용기록을 참조하며 전체 준수·인증을 주장하지 않음.</x:v>
      </x:c>
    </x:row>
    <x:row r="184" ht="39.599998474121094" hidden="0" customHeight="1">
      <x:c r="A184" s="5" t="str">
        <x:v>KWA-005</x:v>
      </x:c>
      <x:c r="B184" s="5" t="str">
        <x:v>KWCAG 2.2</x:v>
      </x:c>
      <x:c r="C184" s="5" t="str">
        <x:v>KWCAG 2.2</x:v>
      </x:c>
      <x:c r="D184" s="5" t="str">
        <x:v>명확한 지시사항 제공</x:v>
      </x:c>
      <x:c r="E184" s="5" t="str">
        <x:v>감각에 독립적인 안내</x:v>
      </x:c>
      <x:c r="F184" s="5" t="str">
        <x:v>SRC-004</x:v>
      </x:c>
      <x:c r="G184" s="5" t="str">
        <x:v>KS X OT0003:2022</x:v>
      </x:c>
      <x:c r="H184" s="5" t="str">
        <x:v>5.3.3</x:v>
      </x:c>
      <x:c r="I184" s="5" t="str"/>
      <x:c r="J184" s="5" t="str">
        <x:v>국내 검사기준</x:v>
      </x:c>
      <x:c r="K184" s="5" t="str">
        <x:v>국내 검사기준</x:v>
      </x:c>
      <x:c r="L184" s="5" t="str">
        <x:v>MUST(안)</x:v>
      </x:c>
      <x:c r="M184" s="10" t="str">
        <x:v>적용</x:v>
      </x:c>
      <x:c r="N184" s="5" t="str">
        <x:v>현재 샘플의 회사 필수 기준으로 채택 제안</x:v>
      </x:c>
      <x:c r="O184" s="5" t="str">
        <x:v>관련 기능·적용 기관·계약 변경 시 재평가</x:v>
      </x:c>
      <x:c r="P184" s="5" t="str">
        <x:v>S01~S08 / 해당 기능의 모든 화면·상태</x:v>
      </x:c>
      <x:c r="Q184" s="5" t="str">
        <x:v>“오른쪽 파란 버튼” 대신 “요청 등록 버튼”으로 지시</x:v>
      </x:c>
      <x:c r="R184" s="5" t="str">
        <x:v>문구 수동 검토</x:v>
      </x:c>
      <x:c r="S184" s="10" t="str">
        <x:v>수동</x:v>
      </x:c>
      <x:c r="T184" s="5" t="str">
        <x:v>개발·QA</x:v>
      </x:c>
      <x:c r="U184" s="5" t="str">
        <x:v>P1</x:v>
      </x:c>
      <x:c r="V184" s="10" t="str">
        <x:v>구현</x:v>
      </x:c>
      <x:c r="W184" s="5" t="str">
        <x:v>버튼 이름·필드명·수정방법을 한국어로 제공하고 위치·모양·색상만을 유일한 지시로 사용하지 않는다.</x:v>
      </x:c>
      <x:c r="X184" s="5" t="str">
        <x:v>apps/web/src/App.tsx#RequestWizard
apps/web/src/App.tsx#Help
apps/web/src/ui.tsx#Badge</x:v>
      </x:c>
      <x:c r="Y184" s="5" t="str">
        <x:v>MAN-KWA-005</x:v>
      </x:c>
      <x:c r="Z184" s="10" t="str">
        <x:v>미실행</x:v>
      </x:c>
      <x:c r="AA184" s="10" t="str">
        <x:v>미실행</x:v>
      </x:c>
      <x:c r="AB184" s="5" t="str"/>
      <x:c r="AC184" s="5" t="n">
        <x:v>0</x:v>
      </x:c>
      <x:c r="AD184" s="5" t="n">
        <x:v>1</x:v>
      </x:c>
      <x:c r="AE184" s="10" t="str">
        <x:v>미실행</x:v>
      </x:c>
      <x:c r="AF184" s="5" t="str"/>
      <x:c r="AG184" s="5" t="str"/>
      <x:c r="AH184" s="5" t="str"/>
      <x:c r="AI184" s="10" t="str">
        <x:v>입력 기준 유지</x:v>
      </x:c>
      <x:c r="AJ184" s="5" t="str">
        <x:f>IF(AND(M184="적용",V184="구현",X184&lt;&gt;"",Y184&lt;&gt;"",AB184&lt;&gt;"",AC184&gt;0,AD184&gt;0,AE184="통과",AF184="",AG184&lt;&gt;"",AH184&lt;&gt;"",OR(S184="자동",S184="수동",S184="자동+수동"),IF(OR(S184="자동",S184="자동+수동"),Z184="통과",TRUE),IF(OR(S184="수동",S184="자동+수동"),AA184="통과",TRUE)),"통과",IF(OR(Z184="실패",AA184="실패",AE184="실패"),"실패","보류"))</x:f>
        <x:v>보류</x:v>
      </x:c>
      <x:c r="AK184" s="5" t="str"/>
      <x:c r="AL184" s="5" t="str">
        <x:v>WCA-009</x:v>
      </x:c>
      <x:c r="AM184" s="5" t="str">
        <x:v>입력 v0.1 계획 주석은 original_plan_note에 보존. 최신 구현·시험·증빙은 연결 적용기록을 참조하며 전체 준수·인증을 주장하지 않음.</x:v>
      </x:c>
    </x:row>
    <x:row r="185" ht="39.599998474121094" hidden="0" customHeight="1">
      <x:c r="A185" s="5" t="str">
        <x:v>KWA-006</x:v>
      </x:c>
      <x:c r="B185" s="5" t="str">
        <x:v>KWCAG 2.2</x:v>
      </x:c>
      <x:c r="C185" s="5" t="str">
        <x:v>KWCAG 2.2</x:v>
      </x:c>
      <x:c r="D185" s="5" t="str">
        <x:v>색에 무관한 콘텐츠 인식</x:v>
      </x:c>
      <x:c r="E185" s="5" t="str">
        <x:v>색 외 식별수단</x:v>
      </x:c>
      <x:c r="F185" s="5" t="str">
        <x:v>SRC-004</x:v>
      </x:c>
      <x:c r="G185" s="5" t="str">
        <x:v>KS X OT0003:2022</x:v>
      </x:c>
      <x:c r="H185" s="5" t="str">
        <x:v>5.4.1</x:v>
      </x:c>
      <x:c r="I185" s="5" t="str"/>
      <x:c r="J185" s="5" t="str">
        <x:v>국내 검사기준</x:v>
      </x:c>
      <x:c r="K185" s="5" t="str">
        <x:v>국내 검사기준</x:v>
      </x:c>
      <x:c r="L185" s="5" t="str">
        <x:v>MUST(안)</x:v>
      </x:c>
      <x:c r="M185" s="10" t="str">
        <x:v>적용</x:v>
      </x:c>
      <x:c r="N185" s="5" t="str">
        <x:v>현재 샘플의 회사 필수 기준으로 채택 제안</x:v>
      </x:c>
      <x:c r="O185" s="5" t="str">
        <x:v>관련 기능·적용 기관·계약 변경 시 재평가</x:v>
      </x:c>
      <x:c r="P185" s="5" t="str">
        <x:v>S01~S08 / 해당 기능의 모든 화면·상태</x:v>
      </x:c>
      <x:c r="Q185" s="5" t="str">
        <x:v>처리상태에 텍스트와 아이콘 병기, 오류에는 설명과 필드 연계</x:v>
      </x:c>
      <x:c r="R185" s="5" t="str">
        <x:v>흑백/색각 점검 + 화면낭독 확인</x:v>
      </x:c>
      <x:c r="S185" s="10" t="str">
        <x:v>수동</x:v>
      </x:c>
      <x:c r="T185" s="5" t="str">
        <x:v>개발·QA</x:v>
      </x:c>
      <x:c r="U185" s="5" t="str">
        <x:v>P1</x:v>
      </x:c>
      <x:c r="V185" s="10" t="str">
        <x:v>구현</x:v>
      </x:c>
      <x:c r="W185" s="5" t="str">
        <x:v>상태 이름·체크 아이콘·오류문구·필수 텍스트를 함께 표시하여 색상을 제거해도 의미가 남는다.</x:v>
      </x:c>
      <x:c r="X185" s="5" t="str">
        <x:v>apps/web/src/ui.tsx#Badge
apps/web/src/ui.tsx#ErrorBox
apps/web/src/App.tsx#RequestWizard</x:v>
      </x:c>
      <x:c r="Y185" s="5" t="str">
        <x:v>MAN-KWA-006</x:v>
      </x:c>
      <x:c r="Z185" s="10" t="str">
        <x:v>미실행</x:v>
      </x:c>
      <x:c r="AA185" s="10" t="str">
        <x:v>미실행</x:v>
      </x:c>
      <x:c r="AB185" s="5" t="str"/>
      <x:c r="AC185" s="5" t="n">
        <x:v>0</x:v>
      </x:c>
      <x:c r="AD185" s="5" t="n">
        <x:v>1</x:v>
      </x:c>
      <x:c r="AE185" s="10" t="str">
        <x:v>미실행</x:v>
      </x:c>
      <x:c r="AF185" s="5" t="str"/>
      <x:c r="AG185" s="5" t="str"/>
      <x:c r="AH185" s="5" t="str"/>
      <x:c r="AI185" s="10" t="str">
        <x:v>입력 기준 유지</x:v>
      </x:c>
      <x:c r="AJ185" s="5" t="str">
        <x:f>IF(AND(M185="적용",V185="구현",X185&lt;&gt;"",Y185&lt;&gt;"",AB185&lt;&gt;"",AC185&gt;0,AD185&gt;0,AE185="통과",AF185="",AG185&lt;&gt;"",AH185&lt;&gt;"",OR(S185="자동",S185="수동",S185="자동+수동"),IF(OR(S185="자동",S185="자동+수동"),Z185="통과",TRUE),IF(OR(S185="수동",S185="자동+수동"),AA185="통과",TRUE)),"통과",IF(OR(Z185="실패",AA185="실패",AE185="실패"),"실패","보류"))</x:f>
        <x:v>보류</x:v>
      </x:c>
      <x:c r="AK185" s="5" t="str"/>
      <x:c r="AL185" s="5" t="str">
        <x:v>WCA-012</x:v>
      </x:c>
      <x:c r="AM185" s="5" t="str">
        <x:v>입력 v0.1 계획 주석은 original_plan_note에 보존. 최신 구현·시험·증빙은 연결 적용기록을 참조하며 전체 준수·인증을 주장하지 않음.</x:v>
      </x:c>
    </x:row>
    <x:row r="186" ht="26.399999618530273" hidden="0" customHeight="1">
      <x:c r="A186" s="5" t="str">
        <x:v>KWA-007</x:v>
      </x:c>
      <x:c r="B186" s="5" t="str">
        <x:v>KWCAG 2.2</x:v>
      </x:c>
      <x:c r="C186" s="5" t="str">
        <x:v>KWCAG 2.2</x:v>
      </x:c>
      <x:c r="D186" s="5" t="str">
        <x:v>자동 재생 금지</x:v>
      </x:c>
      <x:c r="E186" s="5" t="str">
        <x:v>자동소리 통제</x:v>
      </x:c>
      <x:c r="F186" s="5" t="str">
        <x:v>SRC-004</x:v>
      </x:c>
      <x:c r="G186" s="5" t="str">
        <x:v>KS X OT0003:2022</x:v>
      </x:c>
      <x:c r="H186" s="5" t="str">
        <x:v>5.4.2</x:v>
      </x:c>
      <x:c r="I186" s="5" t="str"/>
      <x:c r="J186" s="5" t="str">
        <x:v>국내 검사기준</x:v>
      </x:c>
      <x:c r="K186" s="5" t="str">
        <x:v>국내 검사기준</x:v>
      </x:c>
      <x:c r="L186" s="5" t="str">
        <x:v>MUST(안)</x:v>
      </x:c>
      <x:c r="M186" s="10" t="str">
        <x:v>적용</x:v>
      </x:c>
      <x:c r="N186" s="5" t="str">
        <x:v>현재 샘플의 회사 필수 기준으로 채택 제안</x:v>
      </x:c>
      <x:c r="O186" s="5" t="str">
        <x:v>관련 기능·적용 기관·계약 변경 시 재평가</x:v>
      </x:c>
      <x:c r="P186" s="5" t="str">
        <x:v>S01~S08 / 해당 기능의 모든 화면·상태</x:v>
      </x:c>
      <x:c r="Q186" s="5" t="str">
        <x:v>샘플 음성 자동재생 비활성. 향후 미디어 사용자 조작 후 재생</x:v>
      </x:c>
      <x:c r="R186" s="5" t="str">
        <x:v>페이지 진입·상태변경 시 소리 발생 수동 확인</x:v>
      </x:c>
      <x:c r="S186" s="10" t="str">
        <x:v>수동</x:v>
      </x:c>
      <x:c r="T186" s="5" t="str">
        <x:v>개발·QA</x:v>
      </x:c>
      <x:c r="U186" s="5" t="str">
        <x:v>P1</x:v>
      </x:c>
      <x:c r="V186" s="10" t="str">
        <x:v>구현</x:v>
      </x:c>
      <x:c r="W186" s="5" t="str">
        <x:v>음성·음악 자동재생 요소를 사용하지 않는다. 알림은 시각적 텍스트/프로그램 상태로 제공한다.</x:v>
      </x:c>
      <x:c r="X186" s="5" t="str">
        <x:v>apps/web/src/App.tsx#App</x:v>
      </x:c>
      <x:c r="Y186" s="5" t="str">
        <x:v>MAN-KWA-007</x:v>
      </x:c>
      <x:c r="Z186" s="10" t="str">
        <x:v>미실행</x:v>
      </x:c>
      <x:c r="AA186" s="10" t="str">
        <x:v>미실행</x:v>
      </x:c>
      <x:c r="AB186" s="5" t="str"/>
      <x:c r="AC186" s="5" t="n">
        <x:v>0</x:v>
      </x:c>
      <x:c r="AD186" s="5" t="n">
        <x:v>1</x:v>
      </x:c>
      <x:c r="AE186" s="10" t="str">
        <x:v>미실행</x:v>
      </x:c>
      <x:c r="AF186" s="5" t="str"/>
      <x:c r="AG186" s="5" t="str"/>
      <x:c r="AH186" s="5" t="str"/>
      <x:c r="AI186" s="10" t="str">
        <x:v>입력 기준 유지</x:v>
      </x:c>
      <x:c r="AJ186" s="5" t="str">
        <x:f>IF(AND(M186="적용",V186="구현",X186&lt;&gt;"",Y186&lt;&gt;"",AB186&lt;&gt;"",AC186&gt;0,AD186&gt;0,AE186="통과",AF186="",AG186&lt;&gt;"",AH186&lt;&gt;"",OR(S186="자동",S186="수동",S186="자동+수동"),IF(OR(S186="자동",S186="자동+수동"),Z186="통과",TRUE),IF(OR(S186="수동",S186="자동+수동"),AA186="통과",TRUE)),"통과",IF(OR(Z186="실패",AA186="실패",AE186="실패"),"실패","보류"))</x:f>
        <x:v>보류</x:v>
      </x:c>
      <x:c r="AK186" s="5" t="str"/>
      <x:c r="AL186" s="5" t="str">
        <x:v>WCA-013</x:v>
      </x:c>
      <x:c r="AM186" s="5" t="str">
        <x:v>입력 v0.1 계획 주석은 original_plan_note에 보존. 최신 구현·시험·증빙은 연결 적용기록을 참조하며 전체 준수·인증을 주장하지 않음.</x:v>
      </x:c>
    </x:row>
    <x:row r="187" ht="26.399999618530273" hidden="0" customHeight="1">
      <x:c r="A187" s="5" t="str">
        <x:v>KWA-008</x:v>
      </x:c>
      <x:c r="B187" s="5" t="str">
        <x:v>KWCAG 2.2</x:v>
      </x:c>
      <x:c r="C187" s="5" t="str">
        <x:v>KWCAG 2.2</x:v>
      </x:c>
      <x:c r="D187" s="5" t="str">
        <x:v>텍스트 콘텐츠의 명도 대비</x:v>
      </x:c>
      <x:c r="E187" s="5" t="str">
        <x:v>문자 식별 대비</x:v>
      </x:c>
      <x:c r="F187" s="5" t="str">
        <x:v>SRC-004</x:v>
      </x:c>
      <x:c r="G187" s="5" t="str">
        <x:v>KS X OT0003:2022</x:v>
      </x:c>
      <x:c r="H187" s="5" t="str">
        <x:v>5.4.3</x:v>
      </x:c>
      <x:c r="I187" s="5" t="str"/>
      <x:c r="J187" s="5" t="str">
        <x:v>국내 검사기준</x:v>
      </x:c>
      <x:c r="K187" s="5" t="str">
        <x:v>국내 검사기준</x:v>
      </x:c>
      <x:c r="L187" s="5" t="str">
        <x:v>MUST(안)</x:v>
      </x:c>
      <x:c r="M187" s="10" t="str">
        <x:v>적용</x:v>
      </x:c>
      <x:c r="N187" s="5" t="str">
        <x:v>국내 예외와 WCAG 예외가 다름. WCAG AA 동시목표에서는 확대 가능만으로 3:1 완화하지 않음</x:v>
      </x:c>
      <x:c r="O187" s="5" t="str">
        <x:v>관련 기능·적용 기관·계약 변경 시 재평가</x:v>
      </x:c>
      <x:c r="P187" s="5" t="str">
        <x:v>S01~S08 / 해당 기능의 모든 화면·상태</x:v>
      </x:c>
      <x:c r="Q187" s="5" t="str">
        <x:v>기본 본문 4.5:1, 큰 글자 3:1, 일반·오류·초점 상태별 토큰 검사</x:v>
      </x:c>
      <x:c r="R187" s="5" t="str">
        <x:v>대비 자동 계산 + 이미지/그라데이션 수동 확인</x:v>
      </x:c>
      <x:c r="S187" s="10" t="str">
        <x:v>자동+수동</x:v>
      </x:c>
      <x:c r="T187" s="5" t="str">
        <x:v>개발·QA</x:v>
      </x:c>
      <x:c r="U187" s="5" t="str">
        <x:v>P1</x:v>
      </x:c>
      <x:c r="V187" s="10" t="str">
        <x:v>진행</x:v>
      </x:c>
      <x:c r="W187" s="5" t="str">
        <x:v>기본 색상 토큰·입력/조작 경계를 정의하고 axe에서 탐지된 대비 오류를 수정했다. 모든 상태의 텍스트·비텍스트 역할별 수동 전수 대비 판정은 남아 있다.</x:v>
      </x:c>
      <x:c r="X187" s="5" t="str">
        <x:v>packages/ui/tokens.css
apps/web/src/styles.css</x:v>
      </x:c>
      <x:c r="Y187" s="5" t="str">
        <x:v>E2E-AXE
MAN-KWA-008</x:v>
      </x:c>
      <x:c r="Z187" s="10" t="str">
        <x:v>부분확인</x:v>
      </x:c>
      <x:c r="AA187" s="10" t="str">
        <x:v>미실행</x:v>
      </x:c>
      <x:c r="AB187" s="5" t="str">
        <x:v>E2E-AXE-2026-10-20T06-15-00-647Z</x:v>
      </x:c>
      <x:c r="AC187" s="5" t="n">
        <x:v>1</x:v>
      </x:c>
      <x:c r="AD187" s="5" t="n">
        <x:v>2</x:v>
      </x:c>
      <x:c r="AE187" s="10" t="str">
        <x:v>부분확인</x:v>
      </x:c>
      <x:c r="AF187" s="5" t="str"/>
      <x:c r="AG187" s="5" t="str"/>
      <x:c r="AH187" s="5" t="str"/>
      <x:c r="AI187" s="10" t="str">
        <x:v>입력 기준 유지</x:v>
      </x:c>
      <x:c r="AJ187" s="5" t="str">
        <x:f>IF(AND(M187="적용",V187="구현",X187&lt;&gt;"",Y187&lt;&gt;"",AB187&lt;&gt;"",AC187&gt;0,AD187&gt;0,AE187="통과",AF187="",AG187&lt;&gt;"",AH187&lt;&gt;"",OR(S187="자동",S187="수동",S187="자동+수동"),IF(OR(S187="자동",S187="자동+수동"),Z187="통과",TRUE),IF(OR(S187="수동",S187="자동+수동"),AA187="통과",TRUE)),"통과",IF(OR(Z187="실패",AA187="실패",AE187="실패"),"실패","보류"))</x:f>
        <x:v>보류</x:v>
      </x:c>
      <x:c r="AK187" s="5" t="str"/>
      <x:c r="AL187" s="5" t="str">
        <x:v>WCA-014</x:v>
      </x:c>
      <x:c r="AM187" s="5" t="str">
        <x:v>입력 v0.1 계획 주석은 original_plan_note에 보존. 최신 구현·시험·증빙은 연결 적용기록을 참조하며 전체 준수·인증을 주장하지 않음.</x:v>
      </x:c>
    </x:row>
    <x:row r="188" ht="26.399999618530273" hidden="0" customHeight="1">
      <x:c r="A188" s="5" t="str">
        <x:v>KWA-009</x:v>
      </x:c>
      <x:c r="B188" s="5" t="str">
        <x:v>KWCAG 2.2</x:v>
      </x:c>
      <x:c r="C188" s="5" t="str">
        <x:v>KWCAG 2.2</x:v>
      </x:c>
      <x:c r="D188" s="5" t="str">
        <x:v>콘텐츠 간의 구분</x:v>
      </x:c>
      <x:c r="E188" s="5" t="str">
        <x:v>인접요소 구별</x:v>
      </x:c>
      <x:c r="F188" s="5" t="str">
        <x:v>SRC-004</x:v>
      </x:c>
      <x:c r="G188" s="5" t="str">
        <x:v>KS X OT0003:2022</x:v>
      </x:c>
      <x:c r="H188" s="5" t="str">
        <x:v>5.4.4</x:v>
      </x:c>
      <x:c r="I188" s="5" t="str"/>
      <x:c r="J188" s="5" t="str">
        <x:v>국내 검사기준</x:v>
      </x:c>
      <x:c r="K188" s="5" t="str">
        <x:v>국내 검사기준</x:v>
      </x:c>
      <x:c r="L188" s="5" t="str">
        <x:v>MUST(안)</x:v>
      </x:c>
      <x:c r="M188" s="10" t="str">
        <x:v>적용</x:v>
      </x:c>
      <x:c r="N188" s="5" t="str">
        <x:v>현재 샘플의 회사 필수 기준으로 채택 제안</x:v>
      </x:c>
      <x:c r="O188" s="5" t="str">
        <x:v>관련 기능·적용 기관·계약 변경 시 재평가</x:v>
      </x:c>
      <x:c r="P188" s="5" t="str">
        <x:v>S01~S08 / 해당 기능의 모든 화면·상태</x:v>
      </x:c>
      <x:c r="Q188" s="5" t="str">
        <x:v>목록행, 입력그룹, 도움말을 간격·테두리·제목으로 구분</x:v>
      </x:c>
      <x:c r="R188" s="5" t="str">
        <x:v>축소/확대/고대비 화면 수동 검토</x:v>
      </x:c>
      <x:c r="S188" s="10" t="str">
        <x:v>수동</x:v>
      </x:c>
      <x:c r="T188" s="5" t="str">
        <x:v>개발·QA</x:v>
      </x:c>
      <x:c r="U188" s="5" t="str">
        <x:v>P1</x:v>
      </x:c>
      <x:c r="V188" s="10" t="str">
        <x:v>구현</x:v>
      </x:c>
      <x:c r="W188" s="5" t="str">
        <x:v>카드·테이블·필드·세부정보를 여백·테두리·헤딩으로 분리한다. 강제색 환경에도 테두리로 구분을 유지한다.</x:v>
      </x:c>
      <x:c r="X188" s="5" t="str">
        <x:v>apps/web/src/styles.css</x:v>
      </x:c>
      <x:c r="Y188" s="5" t="str">
        <x:v>MAN-KWA-009</x:v>
      </x:c>
      <x:c r="Z188" s="10" t="str">
        <x:v>미실행</x:v>
      </x:c>
      <x:c r="AA188" s="10" t="str">
        <x:v>미실행</x:v>
      </x:c>
      <x:c r="AB188" s="5" t="str"/>
      <x:c r="AC188" s="5" t="n">
        <x:v>0</x:v>
      </x:c>
      <x:c r="AD188" s="5" t="n">
        <x:v>1</x:v>
      </x:c>
      <x:c r="AE188" s="10" t="str">
        <x:v>미실행</x:v>
      </x:c>
      <x:c r="AF188" s="5" t="str"/>
      <x:c r="AG188" s="5" t="str"/>
      <x:c r="AH188" s="5" t="str"/>
      <x:c r="AI188" s="10" t="str">
        <x:v>입력 기준 유지</x:v>
      </x:c>
      <x:c r="AJ188" s="5" t="str">
        <x:f>IF(AND(M188="적용",V188="구현",X188&lt;&gt;"",Y188&lt;&gt;"",AB188&lt;&gt;"",AC188&gt;0,AD188&gt;0,AE188="통과",AF188="",AG188&lt;&gt;"",AH188&lt;&gt;"",OR(S188="자동",S188="수동",S188="자동+수동"),IF(OR(S188="자동",S188="자동+수동"),Z188="통과",TRUE),IF(OR(S188="수동",S188="자동+수동"),AA188="통과",TRUE)),"통과",IF(OR(Z188="실패",AA188="실패",AE188="실패"),"실패","보류"))</x:f>
        <x:v>보류</x:v>
      </x:c>
      <x:c r="AK188" s="5" t="str"/>
      <x:c r="AL188" s="5" t="str"/>
      <x:c r="AM188" s="5" t="str">
        <x:v>입력 v0.1 계획 주석은 original_plan_note에 보존. 최신 구현·시험·증빙은 연결 적용기록을 참조하며 전체 준수·인증을 주장하지 않음.</x:v>
      </x:c>
    </x:row>
    <x:row r="189" ht="52.79999923706055" hidden="0" customHeight="1">
      <x:c r="A189" s="5" t="str">
        <x:v>KWA-010</x:v>
      </x:c>
      <x:c r="B189" s="5" t="str">
        <x:v>KWCAG 2.2</x:v>
      </x:c>
      <x:c r="C189" s="5" t="str">
        <x:v>KWCAG 2.2</x:v>
      </x:c>
      <x:c r="D189" s="5" t="str">
        <x:v>키보드 사용 보장</x:v>
      </x:c>
      <x:c r="E189" s="5" t="str">
        <x:v>키보드 기능 완결</x:v>
      </x:c>
      <x:c r="F189" s="5" t="str">
        <x:v>SRC-004</x:v>
      </x:c>
      <x:c r="G189" s="5" t="str">
        <x:v>KS X OT0003:2022</x:v>
      </x:c>
      <x:c r="H189" s="5" t="str">
        <x:v>6.1.1</x:v>
      </x:c>
      <x:c r="I189" s="5" t="str"/>
      <x:c r="J189" s="5" t="str">
        <x:v>국내 검사기준</x:v>
      </x:c>
      <x:c r="K189" s="5" t="str">
        <x:v>국내 검사기준</x:v>
      </x:c>
      <x:c r="L189" s="5" t="str">
        <x:v>MUST(안)</x:v>
      </x:c>
      <x:c r="M189" s="10" t="str">
        <x:v>적용</x:v>
      </x:c>
      <x:c r="N189" s="5" t="str">
        <x:v>현재 샘플의 회사 필수 기준으로 채택 제안</x:v>
      </x:c>
      <x:c r="O189" s="5" t="str">
        <x:v>관련 기능·적용 기관·계약 변경 시 재평가</x:v>
      </x:c>
      <x:c r="P189" s="5" t="str">
        <x:v>S01~S08 / 해당 기능의 모든 화면·상태</x:v>
      </x:c>
      <x:c r="Q189" s="5" t="str">
        <x:v>검색·등록·첨부·정렬·상태변경 전 과정을 키보드로 제공</x:v>
      </x:c>
      <x:c r="R189" s="5" t="str">
        <x:v>Tab, Shift+Tab, Enter, Space, 방향키, Escape 전체 플로 수동 시험</x:v>
      </x:c>
      <x:c r="S189" s="10" t="str">
        <x:v>수동</x:v>
      </x:c>
      <x:c r="T189" s="5" t="str">
        <x:v>개발·QA</x:v>
      </x:c>
      <x:c r="U189" s="5" t="str">
        <x:v>P1</x:v>
      </x:c>
      <x:c r="V189" s="10" t="str">
        <x:v>진행</x:v>
      </x:c>
      <x:c r="W189" s="5" t="str">
        <x:v>주요 조작을 native 링크/버튼/입력/select/details/dialog로 제공한다. 전체 역할·상태·업무과정의 키보드 수동 전수검사는 남아 있다.</x:v>
      </x:c>
      <x:c r="X189" s="5" t="str">
        <x:v>apps/web/src/App.tsx#RequestWizard
apps/web/src/App.tsx#RequestDetail
apps/web/src/ui.tsx#Modal
apps/web/src/StandardsBrowser.tsx#StandardsBrowser</x:v>
      </x:c>
      <x:c r="Y189" s="5" t="str">
        <x:v>E2E-KEYBOARD
MAN-KWA-010</x:v>
      </x:c>
      <x:c r="Z189" s="10" t="str">
        <x:v>부분확인</x:v>
      </x:c>
      <x:c r="AA189" s="10" t="str">
        <x:v>미실행</x:v>
      </x:c>
      <x:c r="AB189" s="5" t="str">
        <x:v>E2E-KEYBOARD-2026-10-20T06-15-00-647Z</x:v>
      </x:c>
      <x:c r="AC189" s="5" t="n">
        <x:v>1</x:v>
      </x:c>
      <x:c r="AD189" s="5" t="n">
        <x:v>2</x:v>
      </x:c>
      <x:c r="AE189" s="10" t="str">
        <x:v>부분확인</x:v>
      </x:c>
      <x:c r="AF189" s="5" t="str"/>
      <x:c r="AG189" s="5" t="str"/>
      <x:c r="AH189" s="5" t="str"/>
      <x:c r="AI189" s="10" t="str">
        <x:v>입력 기준 유지</x:v>
      </x:c>
      <x:c r="AJ189" s="5" t="str">
        <x:f>IF(AND(M189="적용",V189="구현",X189&lt;&gt;"",Y189&lt;&gt;"",AB189&lt;&gt;"",AC189&gt;0,AD189&gt;0,AE189="통과",AF189="",AG189&lt;&gt;"",AH189&lt;&gt;"",OR(S189="자동",S189="수동",S189="자동+수동"),IF(OR(S189="자동",S189="자동+수동"),Z189="통과",TRUE),IF(OR(S189="수동",S189="자동+수동"),AA189="통과",TRUE)),"통과",IF(OR(Z189="실패",AA189="실패",AE189="실패"),"실패","보류"))</x:f>
        <x:v>보류</x:v>
      </x:c>
      <x:c r="AK189" s="5" t="str"/>
      <x:c r="AL189" s="5" t="str">
        <x:v>WCA-021</x:v>
      </x:c>
      <x:c r="AM189" s="5" t="str">
        <x:v>입력 v0.1 계획 주석은 original_plan_note에 보존. 최신 구현·시험·증빙은 연결 적용기록을 참조하며 전체 준수·인증을 주장하지 않음.</x:v>
      </x:c>
    </x:row>
    <x:row r="190" ht="39.599998474121094" hidden="0" customHeight="1">
      <x:c r="A190" s="5" t="str">
        <x:v>KWA-011</x:v>
      </x:c>
      <x:c r="B190" s="5" t="str">
        <x:v>KWCAG 2.2</x:v>
      </x:c>
      <x:c r="C190" s="5" t="str">
        <x:v>KWCAG 2.2</x:v>
      </x:c>
      <x:c r="D190" s="5" t="str">
        <x:v>초점 이동과 표시</x:v>
      </x:c>
      <x:c r="E190" s="5" t="str">
        <x:v>논리적·가시적 초점</x:v>
      </x:c>
      <x:c r="F190" s="5" t="str">
        <x:v>SRC-004</x:v>
      </x:c>
      <x:c r="G190" s="5" t="str">
        <x:v>KS X OT0003:2022</x:v>
      </x:c>
      <x:c r="H190" s="5" t="str">
        <x:v>6.1.2</x:v>
      </x:c>
      <x:c r="I190" s="5" t="str"/>
      <x:c r="J190" s="5" t="str">
        <x:v>국내 검사기준</x:v>
      </x:c>
      <x:c r="K190" s="5" t="str">
        <x:v>국내 검사기준</x:v>
      </x:c>
      <x:c r="L190" s="5" t="str">
        <x:v>MUST(안)</x:v>
      </x:c>
      <x:c r="M190" s="10" t="str">
        <x:v>적용</x:v>
      </x:c>
      <x:c r="N190" s="5" t="str">
        <x:v>현재 샘플의 회사 필수 기준으로 채택 제안</x:v>
      </x:c>
      <x:c r="O190" s="5" t="str">
        <x:v>관련 기능·적용 기관·계약 변경 시 재평가</x:v>
      </x:c>
      <x:c r="P190" s="5" t="str">
        <x:v>S01~S08 / 해당 기능의 모든 화면·상태</x:v>
      </x:c>
      <x:c r="Q190" s="5" t="str">
        <x:v>초점선 유지, 모달 초점 관리와 종료 후 복귀, SPA 화면 전환 시 제목으로 이동</x:v>
      </x:c>
      <x:c r="R190" s="5" t="str">
        <x:v>키보드 흐름 영상 + 모달 닫기 복귀 자동 시험</x:v>
      </x:c>
      <x:c r="S190" s="10" t="str">
        <x:v>자동+수동</x:v>
      </x:c>
      <x:c r="T190" s="5" t="str">
        <x:v>개발·QA</x:v>
      </x:c>
      <x:c r="U190" s="5" t="str">
        <x:v>P1</x:v>
      </x:c>
      <x:c r="V190" s="10" t="str">
        <x:v>구현</x:v>
      </x:c>
      <x:c r="W190" s="5" t="str">
        <x:v>가시적인 3px 초점, 화면/단계 이동 제목 초점, dialog 내부 Tab순환과 원위치 복귀, scroll-margin을 구현한다. 본문을 가리는 고정 푸터는 사용하지 않는다.</x:v>
      </x:c>
      <x:c r="X190" s="5" t="str">
        <x:v>apps/web/src/App.tsx#App
apps/web/src/ui.tsx#Modal
apps/web/src/styles.css</x:v>
      </x:c>
      <x:c r="Y190" s="5" t="str">
        <x:v>E2E-KEYBOARD
SCREEN-MODAL
MAN-KWA-011</x:v>
      </x:c>
      <x:c r="Z190" s="10" t="str">
        <x:v>부분확인</x:v>
      </x:c>
      <x:c r="AA190" s="10" t="str">
        <x:v>미실행</x:v>
      </x:c>
      <x:c r="AB190" s="5" t="str">
        <x:v>E2E-KEYBOARD-2026-10-20T06-15-00-647Z
SCREEN-MODAL-2026-10-20T06-15-00-647Z</x:v>
      </x:c>
      <x:c r="AC190" s="5" t="n">
        <x:v>2</x:v>
      </x:c>
      <x:c r="AD190" s="5" t="n">
        <x:v>3</x:v>
      </x:c>
      <x:c r="AE190" s="10" t="str">
        <x:v>부분확인</x:v>
      </x:c>
      <x:c r="AF190" s="5" t="str"/>
      <x:c r="AG190" s="5" t="str"/>
      <x:c r="AH190" s="5" t="str"/>
      <x:c r="AI190" s="10" t="str">
        <x:v>입력 기준 유지</x:v>
      </x:c>
      <x:c r="AJ190" s="5" t="str">
        <x:f>IF(AND(M190="적용",V190="구현",X190&lt;&gt;"",Y190&lt;&gt;"",AB190&lt;&gt;"",AC190&gt;0,AD190&gt;0,AE190="통과",AF190="",AG190&lt;&gt;"",AH190&lt;&gt;"",OR(S190="자동",S190="수동",S190="자동+수동"),IF(OR(S190="자동",S190="자동+수동"),Z190="통과",TRUE),IF(OR(S190="수동",S190="자동+수동"),AA190="통과",TRUE)),"통과",IF(OR(Z190="실패",AA190="실패",AE190="실패"),"실패","보류"))</x:f>
        <x:v>보류</x:v>
      </x:c>
      <x:c r="AK190" s="5" t="str"/>
      <x:c r="AL190" s="5" t="str">
        <x:v>WCA-022, WCA-029, WCA-033</x:v>
      </x:c>
      <x:c r="AM190" s="5" t="str">
        <x:v>입력 v0.1 계획 주석은 original_plan_note에 보존. 최신 구현·시험·증빙은 연결 적용기록을 참조하며 전체 준수·인증을 주장하지 않음.</x:v>
      </x:c>
    </x:row>
    <x:row r="191" ht="26.399999618530273" hidden="0" customHeight="1">
      <x:c r="A191" s="5" t="str">
        <x:v>KWA-012</x:v>
      </x:c>
      <x:c r="B191" s="5" t="str">
        <x:v>KWCAG 2.2</x:v>
      </x:c>
      <x:c r="C191" s="5" t="str">
        <x:v>KWCAG 2.2</x:v>
      </x:c>
      <x:c r="D191" s="5" t="str">
        <x:v>조작 가능</x:v>
      </x:c>
      <x:c r="E191" s="5" t="str">
        <x:v>조작 가능한 제어</x:v>
      </x:c>
      <x:c r="F191" s="5" t="str">
        <x:v>SRC-004</x:v>
      </x:c>
      <x:c r="G191" s="5" t="str">
        <x:v>KS X OT0003:2022</x:v>
      </x:c>
      <x:c r="H191" s="5" t="str">
        <x:v>6.1.3</x:v>
      </x:c>
      <x:c r="I191" s="5" t="str"/>
      <x:c r="J191" s="5" t="str">
        <x:v>국내 검사기준</x:v>
      </x:c>
      <x:c r="K191" s="5" t="str">
        <x:v>국내 검사기준</x:v>
      </x:c>
      <x:c r="L191" s="5" t="str">
        <x:v>MUST(안)</x:v>
      </x:c>
      <x:c r="M191" s="10" t="str">
        <x:v>적용</x:v>
      </x:c>
      <x:c r="N191" s="5" t="str">
        <x:v>44~48은 회사 강화 목표. WCAG AA 24×24 최소와 혼동 금지</x:v>
      </x:c>
      <x:c r="O191" s="5" t="str">
        <x:v>관련 기능·적용 기관·계약 변경 시 재평가</x:v>
      </x:c>
      <x:c r="P191" s="5" t="str">
        <x:v>S01~S08 / 해당 기능의 모든 화면·상태</x:v>
      </x:c>
      <x:c r="Q191" s="5" t="str">
        <x:v>회사 목표 주요 제어 44×44 CSS px 이상, 모바일 주요 제어 48×48 목표</x:v>
      </x:c>
      <x:c r="R191" s="5" t="str">
        <x:v>컴포넌트 크기 자동 측정 + 모바일 실제 조작</x:v>
      </x:c>
      <x:c r="S191" s="10" t="str">
        <x:v>자동+수동</x:v>
      </x:c>
      <x:c r="T191" s="5" t="str">
        <x:v>개발·QA</x:v>
      </x:c>
      <x:c r="U191" s="5" t="str">
        <x:v>P1</x:v>
      </x:c>
      <x:c r="V191" s="10" t="str">
        <x:v>구현</x:v>
      </x:c>
      <x:c r="W191" s="5" t="str">
        <x:v>주요 버튼 최소44×46px, 입력/select48px, 아이콘 버튼44×44px, 파일 선택/라디오 라벨의 큰 조작영역을 제공한다. WCAG24px와 사내44px 목표는 별도다.</x:v>
      </x:c>
      <x:c r="X191" s="5" t="str">
        <x:v>apps/web/src/styles.css</x:v>
      </x:c>
      <x:c r="Y191" s="5" t="str">
        <x:v>MAN-KWA-012</x:v>
      </x:c>
      <x:c r="Z191" s="10" t="str">
        <x:v>미실행</x:v>
      </x:c>
      <x:c r="AA191" s="10" t="str">
        <x:v>미실행</x:v>
      </x:c>
      <x:c r="AB191" s="5" t="str"/>
      <x:c r="AC191" s="5" t="n">
        <x:v>0</x:v>
      </x:c>
      <x:c r="AD191" s="5" t="n">
        <x:v>1</x:v>
      </x:c>
      <x:c r="AE191" s="10" t="str">
        <x:v>미실행</x:v>
      </x:c>
      <x:c r="AF191" s="5" t="str"/>
      <x:c r="AG191" s="5" t="str"/>
      <x:c r="AH191" s="5" t="str"/>
      <x:c r="AI191" s="10" t="str">
        <x:v>입력 기준 유지</x:v>
      </x:c>
      <x:c r="AJ191" s="5" t="str">
        <x:f>IF(AND(M191="적용",V191="구현",X191&lt;&gt;"",Y191&lt;&gt;"",AB191&lt;&gt;"",AC191&gt;0,AD191&gt;0,AE191="통과",AF191="",AG191&lt;&gt;"",AH191&lt;&gt;"",OR(S191="자동",S191="수동",S191="자동+수동"),IF(OR(S191="자동",S191="자동+수동"),Z191="통과",TRUE),IF(OR(S191="수동",S191="자동+수동"),AA191="통과",TRUE)),"통과",IF(OR(Z191="실패",AA191="실패",AE191="실패"),"실패","보류"))</x:f>
        <x:v>보류</x:v>
      </x:c>
      <x:c r="AK191" s="5" t="str"/>
      <x:c r="AL191" s="5" t="str">
        <x:v>WCA-040</x:v>
      </x:c>
      <x:c r="AM191" s="5" t="str">
        <x:v>입력 v0.1 계획 주석은 original_plan_note에 보존. 최신 구현·시험·증빙은 연결 적용기록을 참조하며 전체 준수·인증을 주장하지 않음.</x:v>
      </x:c>
    </x:row>
    <x:row r="192" ht="26.399999618530273" hidden="0" customHeight="1">
      <x:c r="A192" s="5" t="str">
        <x:v>KWA-013</x:v>
      </x:c>
      <x:c r="B192" s="5" t="str">
        <x:v>KWCAG 2.2</x:v>
      </x:c>
      <x:c r="C192" s="5" t="str">
        <x:v>KWCAG 2.2</x:v>
      </x:c>
      <x:c r="D192" s="5" t="str">
        <x:v>문자 단축키</x:v>
      </x:c>
      <x:c r="E192" s="5" t="str">
        <x:v>단축키 오작동 방지</x:v>
      </x:c>
      <x:c r="F192" s="5" t="str">
        <x:v>SRC-004</x:v>
      </x:c>
      <x:c r="G192" s="5" t="str">
        <x:v>KS X OT0003:2022</x:v>
      </x:c>
      <x:c r="H192" s="5" t="str">
        <x:v>6.1.4</x:v>
      </x:c>
      <x:c r="I192" s="5" t="str"/>
      <x:c r="J192" s="5" t="str">
        <x:v>국내 검사기준</x:v>
      </x:c>
      <x:c r="K192" s="5" t="str">
        <x:v>국내 검사기준</x:v>
      </x:c>
      <x:c r="L192" s="5" t="str">
        <x:v>MUST(안)</x:v>
      </x:c>
      <x:c r="M192" s="10" t="str">
        <x:v>조건부</x:v>
      </x:c>
      <x:c r="N192" s="5" t="str">
        <x:v>현재 단일문자 전역단축키 없음</x:v>
      </x:c>
      <x:c r="O192" s="5" t="str">
        <x:v>현재 단일문자 전역단축키 없음</x:v>
      </x:c>
      <x:c r="P192" s="5" t="str">
        <x:v>S01~S08 / 해당 기능의 모든 화면·상태</x:v>
      </x:c>
      <x:c r="Q192" s="5" t="str">
        <x:v>한 글자 전역단축키 기본 미사용. 도입 시 해제·변경 또는 초점영역 한정</x:v>
      </x:c>
      <x:c r="R192" s="5" t="str">
        <x:v>문자입력·음성입력 중 오작동 수동 시험</x:v>
      </x:c>
      <x:c r="S192" s="10" t="str">
        <x:v>수동</x:v>
      </x:c>
      <x:c r="T192" s="5" t="str">
        <x:v>개발·QA</x:v>
      </x:c>
      <x:c r="U192" s="5" t="str">
        <x:v>P1</x:v>
      </x:c>
      <x:c r="V192" s="10" t="str">
        <x:v>계획</x:v>
      </x:c>
      <x:c r="W192" s="5" t="str">
        <x:v>단일 문자 단축키를 도입하지 않는다. 추가 시 해제·재지정·초점한정 조건을 검토한다.</x:v>
      </x:c>
      <x:c r="X192" s="5" t="str"/>
      <x:c r="Y192" s="5" t="str">
        <x:v>MAN-KWA-013</x:v>
      </x:c>
      <x:c r="Z192" s="10" t="str">
        <x:v>미실행</x:v>
      </x:c>
      <x:c r="AA192" s="10" t="str">
        <x:v>미실행</x:v>
      </x:c>
      <x:c r="AB192" s="5" t="str"/>
      <x:c r="AC192" s="5" t="n">
        <x:v>0</x:v>
      </x:c>
      <x:c r="AD192" s="5" t="n">
        <x:v>1</x:v>
      </x:c>
      <x:c r="AE192" s="10" t="str">
        <x:v>미실행</x:v>
      </x:c>
      <x:c r="AF192" s="5" t="str"/>
      <x:c r="AG192" s="5" t="str"/>
      <x:c r="AH192" s="5" t="str"/>
      <x:c r="AI192" s="10" t="str">
        <x:v>입력 기준 유지</x:v>
      </x:c>
      <x:c r="AJ192" s="5" t="str">
        <x:f>IF(AND(M192="적용",V192="구현",X192&lt;&gt;"",Y192&lt;&gt;"",AB192&lt;&gt;"",AC192&gt;0,AD192&gt;0,AE192="통과",AF192="",AG192&lt;&gt;"",AH192&lt;&gt;"",OR(S192="자동",S192="수동",S192="자동+수동"),IF(OR(S192="자동",S192="자동+수동"),Z192="통과",TRUE),IF(OR(S192="수동",S192="자동+수동"),AA192="통과",TRUE)),"통과",IF(OR(Z192="실패",AA192="실패",AE192="실패"),"실패","보류"))</x:f>
        <x:v>보류</x:v>
      </x:c>
      <x:c r="AK192" s="5" t="str"/>
      <x:c r="AL192" s="5" t="str">
        <x:v>WCA-023</x:v>
      </x:c>
      <x:c r="AM192" s="5" t="str">
        <x:v>입력 v0.1 계획 주석은 original_plan_note에 보존. 최신 구현·시험·증빙은 연결 적용기록을 참조하며 전체 준수·인증을 주장하지 않음.</x:v>
      </x:c>
    </x:row>
    <x:row r="193" ht="26.399999618530273" hidden="0" customHeight="1">
      <x:c r="A193" s="5" t="str">
        <x:v>KWA-014</x:v>
      </x:c>
      <x:c r="B193" s="5" t="str">
        <x:v>KWCAG 2.2</x:v>
      </x:c>
      <x:c r="C193" s="5" t="str">
        <x:v>KWCAG 2.2</x:v>
      </x:c>
      <x:c r="D193" s="5" t="str">
        <x:v>응답시간 조절</x:v>
      </x:c>
      <x:c r="E193" s="5" t="str">
        <x:v>시간제한 조절</x:v>
      </x:c>
      <x:c r="F193" s="5" t="str">
        <x:v>SRC-004</x:v>
      </x:c>
      <x:c r="G193" s="5" t="str">
        <x:v>KS X OT0003:2022</x:v>
      </x:c>
      <x:c r="H193" s="5" t="str">
        <x:v>6.2.1</x:v>
      </x:c>
      <x:c r="I193" s="5" t="str"/>
      <x:c r="J193" s="5" t="str">
        <x:v>국내 검사기준</x:v>
      </x:c>
      <x:c r="K193" s="5" t="str">
        <x:v>국내 검사기준</x:v>
      </x:c>
      <x:c r="L193" s="5" t="str">
        <x:v>MUST(안)</x:v>
      </x:c>
      <x:c r="M193" s="10" t="str">
        <x:v>적용</x:v>
      </x:c>
      <x:c r="N193" s="5" t="str">
        <x:v>현재 샘플의 회사 필수 기준으로 채택 제안</x:v>
      </x:c>
      <x:c r="O193" s="5" t="str">
        <x:v>관련 기능·적용 기관·계약 변경 시 재평가</x:v>
      </x:c>
      <x:c r="P193" s="5" t="str">
        <x:v>S01~S08 / 해당 기능의 모든 화면·상태</x:v>
      </x:c>
      <x:c r="Q193" s="5" t="str">
        <x:v>세션 만료 전에 설명·연장 버튼 제공하고 입력 내용을 안전하게 복구</x:v>
      </x:c>
      <x:c r="R193" s="5" t="str">
        <x:v>짧은 테스트 타임아웃 설정 후 키보드·낭독 연장 시험</x:v>
      </x:c>
      <x:c r="S193" s="10" t="str">
        <x:v>수동</x:v>
      </x:c>
      <x:c r="T193" s="5" t="str">
        <x:v>개발·QA</x:v>
      </x:c>
      <x:c r="U193" s="5" t="str">
        <x:v>P1</x:v>
      </x:c>
      <x:c r="V193" s="10" t="str">
        <x:v>구현</x:v>
      </x:c>
      <x:c r="W193" s="5" t="str">
        <x:v>기본20분 세션을 서버 만료시각 기준으로 추적하며60초 전 경고와 간단한 연장을 제공한다. 연장횟수 제한은 없고 경고 닫기와 로그아웃을 지원한다.</x:v>
      </x:c>
      <x:c r="X193" s="5" t="str">
        <x:v>apps/web/src/App.tsx#App
apps/web/src/ui.tsx#Modal</x:v>
      </x:c>
      <x:c r="Y193" s="5" t="str">
        <x:v>MAN-KWA-014</x:v>
      </x:c>
      <x:c r="Z193" s="10" t="str">
        <x:v>미실행</x:v>
      </x:c>
      <x:c r="AA193" s="10" t="str">
        <x:v>미실행</x:v>
      </x:c>
      <x:c r="AB193" s="5" t="str"/>
      <x:c r="AC193" s="5" t="n">
        <x:v>0</x:v>
      </x:c>
      <x:c r="AD193" s="5" t="n">
        <x:v>1</x:v>
      </x:c>
      <x:c r="AE193" s="10" t="str">
        <x:v>미실행</x:v>
      </x:c>
      <x:c r="AF193" s="5" t="str"/>
      <x:c r="AG193" s="5" t="str"/>
      <x:c r="AH193" s="5" t="str"/>
      <x:c r="AI193" s="10" t="str">
        <x:v>입력 기준 유지</x:v>
      </x:c>
      <x:c r="AJ193" s="5" t="str">
        <x:f>IF(AND(M193="적용",V193="구현",X193&lt;&gt;"",Y193&lt;&gt;"",AB193&lt;&gt;"",AC193&gt;0,AD193&gt;0,AE193="통과",AF193="",AG193&lt;&gt;"",AH193&lt;&gt;"",OR(S193="자동",S193="수동",S193="자동+수동"),IF(OR(S193="자동",S193="자동+수동"),Z193="통과",TRUE),IF(OR(S193="수동",S193="자동+수동"),AA193="통과",TRUE)),"통과",IF(OR(Z193="실패",AA193="실패",AE193="실패"),"실패","보류"))</x:f>
        <x:v>보류</x:v>
      </x:c>
      <x:c r="AK193" s="5" t="str"/>
      <x:c r="AL193" s="5" t="str">
        <x:v>WCA-024</x:v>
      </x:c>
      <x:c r="AM193" s="5" t="str">
        <x:v>입력 v0.1 계획 주석은 original_plan_note에 보존. 최신 구현·시험·증빙은 연결 적용기록을 참조하며 전체 준수·인증을 주장하지 않음.</x:v>
      </x:c>
    </x:row>
    <x:row r="194" ht="39.599998474121094" hidden="0" customHeight="1">
      <x:c r="A194" s="5" t="str">
        <x:v>KWA-015</x:v>
      </x:c>
      <x:c r="B194" s="5" t="str">
        <x:v>KWCAG 2.2</x:v>
      </x:c>
      <x:c r="C194" s="5" t="str">
        <x:v>KWCAG 2.2</x:v>
      </x:c>
      <x:c r="D194" s="5" t="str">
        <x:v>정지 기능 제공</x:v>
      </x:c>
      <x:c r="E194" s="5" t="str">
        <x:v>자동변경 제어</x:v>
      </x:c>
      <x:c r="F194" s="5" t="str">
        <x:v>SRC-004</x:v>
      </x:c>
      <x:c r="G194" s="5" t="str">
        <x:v>KS X OT0003:2022</x:v>
      </x:c>
      <x:c r="H194" s="5" t="str">
        <x:v>6.2.2</x:v>
      </x:c>
      <x:c r="I194" s="5" t="str"/>
      <x:c r="J194" s="5" t="str">
        <x:v>국내 검사기준</x:v>
      </x:c>
      <x:c r="K194" s="5" t="str">
        <x:v>국내 검사기준</x:v>
      </x:c>
      <x:c r="L194" s="5" t="str">
        <x:v>MUST(안)</x:v>
      </x:c>
      <x:c r="M194" s="10" t="str">
        <x:v>적용</x:v>
      </x:c>
      <x:c r="N194" s="5" t="str">
        <x:v>현재 샘플의 회사 필수 기준으로 채택 제안</x:v>
      </x:c>
      <x:c r="O194" s="5" t="str">
        <x:v>관련 기능·적용 기관·계약 변경 시 재평가</x:v>
      </x:c>
      <x:c r="P194" s="5" t="str">
        <x:v>S01~S08 / 해당 기능의 모든 화면·상태</x:v>
      </x:c>
      <x:c r="Q194" s="5" t="str">
        <x:v>자동 회전 배너 미사용, 갱신되는 처리현황은 사용자 제어 제공</x:v>
      </x:c>
      <x:c r="R194" s="5" t="str">
        <x:v>자동갱신/움직임 존재 및 정지수단 수동 확인</x:v>
      </x:c>
      <x:c r="S194" s="10" t="str">
        <x:v>자동+수동</x:v>
      </x:c>
      <x:c r="T194" s="5" t="str">
        <x:v>개발·QA</x:v>
      </x:c>
      <x:c r="U194" s="5" t="str">
        <x:v>P1</x:v>
      </x:c>
      <x:c r="V194" s="10" t="str">
        <x:v>구현</x:v>
      </x:c>
      <x:c r="W194" s="5" t="str">
        <x:v>캐러셀·자동갱신 업무 콘텐츠를 사용하지 않는다. 로딩 회전은 시스템 reduced-motion 또는 사용자 움직임 줄이기로 정지할 수 있다.</x:v>
      </x:c>
      <x:c r="X194" s="5" t="str">
        <x:v>apps/web/src/ui.tsx#Loading
apps/web/src/App.tsx#Preferences
apps/web/src/styles.css</x:v>
      </x:c>
      <x:c r="Y194" s="5" t="str">
        <x:v>MAN-KWA-015</x:v>
      </x:c>
      <x:c r="Z194" s="10" t="str">
        <x:v>미실행</x:v>
      </x:c>
      <x:c r="AA194" s="10" t="str">
        <x:v>미실행</x:v>
      </x:c>
      <x:c r="AB194" s="5" t="str"/>
      <x:c r="AC194" s="5" t="n">
        <x:v>0</x:v>
      </x:c>
      <x:c r="AD194" s="5" t="n">
        <x:v>1</x:v>
      </x:c>
      <x:c r="AE194" s="10" t="str">
        <x:v>미실행</x:v>
      </x:c>
      <x:c r="AF194" s="5" t="str"/>
      <x:c r="AG194" s="5" t="str"/>
      <x:c r="AH194" s="5" t="str"/>
      <x:c r="AI194" s="10" t="str">
        <x:v>입력 기준 유지</x:v>
      </x:c>
      <x:c r="AJ194" s="5" t="str">
        <x:f>IF(AND(M194="적용",V194="구현",X194&lt;&gt;"",Y194&lt;&gt;"",AB194&lt;&gt;"",AC194&gt;0,AD194&gt;0,AE194="통과",AF194="",AG194&lt;&gt;"",AH194&lt;&gt;"",OR(S194="자동",S194="수동",S194="자동+수동"),IF(OR(S194="자동",S194="자동+수동"),Z194="통과",TRUE),IF(OR(S194="수동",S194="자동+수동"),AA194="통과",TRUE)),"통과",IF(OR(Z194="실패",AA194="실패",AE194="실패"),"실패","보류"))</x:f>
        <x:v>보류</x:v>
      </x:c>
      <x:c r="AK194" s="5" t="str"/>
      <x:c r="AL194" s="5" t="str">
        <x:v>WCA-025</x:v>
      </x:c>
      <x:c r="AM194" s="5" t="str">
        <x:v>입력 v0.1 계획 주석은 original_plan_note에 보존. 최신 구현·시험·증빙은 연결 적용기록을 참조하며 전체 준수·인증을 주장하지 않음.</x:v>
      </x:c>
    </x:row>
    <x:row r="195" ht="26.399999618530273" hidden="0" customHeight="1">
      <x:c r="A195" s="5" t="str">
        <x:v>KWA-016</x:v>
      </x:c>
      <x:c r="B195" s="5" t="str">
        <x:v>KWCAG 2.2</x:v>
      </x:c>
      <x:c r="C195" s="5" t="str">
        <x:v>KWCAG 2.2</x:v>
      </x:c>
      <x:c r="D195" s="5" t="str">
        <x:v>깜빡임과 번쩍임 사용 제한</x:v>
      </x:c>
      <x:c r="E195" s="5" t="str">
        <x:v>위험한 섬광 방지</x:v>
      </x:c>
      <x:c r="F195" s="5" t="str">
        <x:v>SRC-004</x:v>
      </x:c>
      <x:c r="G195" s="5" t="str">
        <x:v>KS X OT0003:2022</x:v>
      </x:c>
      <x:c r="H195" s="5" t="str">
        <x:v>6.3.1</x:v>
      </x:c>
      <x:c r="I195" s="5" t="str"/>
      <x:c r="J195" s="5" t="str">
        <x:v>국내 검사기준</x:v>
      </x:c>
      <x:c r="K195" s="5" t="str">
        <x:v>국내 검사기준</x:v>
      </x:c>
      <x:c r="L195" s="5" t="str">
        <x:v>MUST(안)</x:v>
      </x:c>
      <x:c r="M195" s="10" t="str">
        <x:v>적용</x:v>
      </x:c>
      <x:c r="N195" s="5" t="str">
        <x:v>현재 샘플의 회사 필수 기준으로 채택 제안</x:v>
      </x:c>
      <x:c r="O195" s="5" t="str">
        <x:v>관련 기능·적용 기관·계약 변경 시 재평가</x:v>
      </x:c>
      <x:c r="P195" s="5" t="str">
        <x:v>S01~S08 / 해당 기능의 모든 화면·상태</x:v>
      </x:c>
      <x:c r="Q195" s="5" t="str">
        <x:v>경고나 성공효과에 점멸 사용하지 않고 정적인 아이콘·문구 사용</x:v>
      </x:c>
      <x:c r="R195" s="5" t="str">
        <x:v>애니메이션/동영상 전수 검토</x:v>
      </x:c>
      <x:c r="S195" s="10" t="str">
        <x:v>수동</x:v>
      </x:c>
      <x:c r="T195" s="5" t="str">
        <x:v>개발·QA</x:v>
      </x:c>
      <x:c r="U195" s="5" t="str">
        <x:v>P1</x:v>
      </x:c>
      <x:c r="V195" s="10" t="str">
        <x:v>구현</x:v>
      </x:c>
      <x:c r="W195" s="5" t="str">
        <x:v>섬광·점멸 효과를 사용하지 않는다. 유일한 회전 로딩은 모션감소 설정으로 중지한다.</x:v>
      </x:c>
      <x:c r="X195" s="5" t="str">
        <x:v>apps/web/src/styles.css</x:v>
      </x:c>
      <x:c r="Y195" s="5" t="str">
        <x:v>MAN-KWA-016</x:v>
      </x:c>
      <x:c r="Z195" s="10" t="str">
        <x:v>미실행</x:v>
      </x:c>
      <x:c r="AA195" s="10" t="str">
        <x:v>미실행</x:v>
      </x:c>
      <x:c r="AB195" s="5" t="str"/>
      <x:c r="AC195" s="5" t="n">
        <x:v>0</x:v>
      </x:c>
      <x:c r="AD195" s="5" t="n">
        <x:v>1</x:v>
      </x:c>
      <x:c r="AE195" s="10" t="str">
        <x:v>미실행</x:v>
      </x:c>
      <x:c r="AF195" s="5" t="str"/>
      <x:c r="AG195" s="5" t="str"/>
      <x:c r="AH195" s="5" t="str"/>
      <x:c r="AI195" s="10" t="str">
        <x:v>입력 기준 유지</x:v>
      </x:c>
      <x:c r="AJ195" s="5" t="str">
        <x:f>IF(AND(M195="적용",V195="구현",X195&lt;&gt;"",Y195&lt;&gt;"",AB195&lt;&gt;"",AC195&gt;0,AD195&gt;0,AE195="통과",AF195="",AG195&lt;&gt;"",AH195&lt;&gt;"",OR(S195="자동",S195="수동",S195="자동+수동"),IF(OR(S195="자동",S195="자동+수동"),Z195="통과",TRUE),IF(OR(S195="수동",S195="자동+수동"),AA195="통과",TRUE)),"통과",IF(OR(Z195="실패",AA195="실패",AE195="실패"),"실패","보류"))</x:f>
        <x:v>보류</x:v>
      </x:c>
      <x:c r="AK195" s="5" t="str"/>
      <x:c r="AL195" s="5" t="str">
        <x:v>WCA-026</x:v>
      </x:c>
      <x:c r="AM195" s="5" t="str">
        <x:v>입력 v0.1 계획 주석은 original_plan_note에 보존. 최신 구현·시험·증빙은 연결 적용기록을 참조하며 전체 준수·인증을 주장하지 않음.</x:v>
      </x:c>
    </x:row>
    <x:row r="196" ht="26.399999618530273" hidden="0" customHeight="1">
      <x:c r="A196" s="5" t="str">
        <x:v>KWA-017</x:v>
      </x:c>
      <x:c r="B196" s="5" t="str">
        <x:v>KWCAG 2.2</x:v>
      </x:c>
      <x:c r="C196" s="5" t="str">
        <x:v>KWCAG 2.2</x:v>
      </x:c>
      <x:c r="D196" s="5" t="str">
        <x:v>반복 영역 건너뛰기</x:v>
      </x:c>
      <x:c r="E196" s="5" t="str">
        <x:v>본문 빠른 접근</x:v>
      </x:c>
      <x:c r="F196" s="5" t="str">
        <x:v>SRC-004</x:v>
      </x:c>
      <x:c r="G196" s="5" t="str">
        <x:v>KS X OT0003:2022</x:v>
      </x:c>
      <x:c r="H196" s="5" t="str">
        <x:v>6.4.1</x:v>
      </x:c>
      <x:c r="I196" s="5" t="str"/>
      <x:c r="J196" s="5" t="str">
        <x:v>국내 검사기준</x:v>
      </x:c>
      <x:c r="K196" s="5" t="str">
        <x:v>국내 검사기준</x:v>
      </x:c>
      <x:c r="L196" s="5" t="str">
        <x:v>MUST(안)</x:v>
      </x:c>
      <x:c r="M196" s="10" t="str">
        <x:v>적용</x:v>
      </x:c>
      <x:c r="N196" s="5" t="str">
        <x:v>현재 샘플의 회사 필수 기준으로 채택 제안</x:v>
      </x:c>
      <x:c r="O196" s="5" t="str">
        <x:v>관련 기능·적용 기관·계약 변경 시 재평가</x:v>
      </x:c>
      <x:c r="P196" s="5" t="str">
        <x:v>S01~S08 / 해당 기능의 모든 화면·상태</x:v>
      </x:c>
      <x:c r="Q196" s="5" t="str">
        <x:v>문서 첫 링크로 본문 바로가기 제공하고 실제 main으로 초점 이동</x:v>
      </x:c>
      <x:c r="R196" s="5" t="str">
        <x:v>첫 Tab 표시·Enter 이동 자동/수동 확인</x:v>
      </x:c>
      <x:c r="S196" s="10" t="str">
        <x:v>자동+수동</x:v>
      </x:c>
      <x:c r="T196" s="5" t="str">
        <x:v>개발·QA</x:v>
      </x:c>
      <x:c r="U196" s="5" t="str">
        <x:v>P1</x:v>
      </x:c>
      <x:c r="V196" s="10" t="str">
        <x:v>구현</x:v>
      </x:c>
      <x:c r="W196" s="5" t="str">
        <x:v>첫 Tab의 본문 바로가기 링크와 main 목적지를 제공한다.</x:v>
      </x:c>
      <x:c r="X196" s="5" t="str">
        <x:v>apps/web/src/App.tsx#App
apps/web/src/styles.css</x:v>
      </x:c>
      <x:c r="Y196" s="5" t="str">
        <x:v>E2E-KEYBOARD
MAN-KWA-017</x:v>
      </x:c>
      <x:c r="Z196" s="10" t="str">
        <x:v>부분확인</x:v>
      </x:c>
      <x:c r="AA196" s="10" t="str">
        <x:v>미실행</x:v>
      </x:c>
      <x:c r="AB196" s="5" t="str">
        <x:v>E2E-KEYBOARD-2026-10-20T06-15-00-647Z</x:v>
      </x:c>
      <x:c r="AC196" s="5" t="n">
        <x:v>1</x:v>
      </x:c>
      <x:c r="AD196" s="5" t="n">
        <x:v>2</x:v>
      </x:c>
      <x:c r="AE196" s="10" t="str">
        <x:v>부분확인</x:v>
      </x:c>
      <x:c r="AF196" s="5" t="str"/>
      <x:c r="AG196" s="5" t="str"/>
      <x:c r="AH196" s="5" t="str"/>
      <x:c r="AI196" s="10" t="str">
        <x:v>입력 기준 유지</x:v>
      </x:c>
      <x:c r="AJ196" s="5" t="str">
        <x:f>IF(AND(M196="적용",V196="구현",X196&lt;&gt;"",Y196&lt;&gt;"",AB196&lt;&gt;"",AC196&gt;0,AD196&gt;0,AE196="통과",AF196="",AG196&lt;&gt;"",AH196&lt;&gt;"",OR(S196="자동",S196="수동",S196="자동+수동"),IF(OR(S196="자동",S196="자동+수동"),Z196="통과",TRUE),IF(OR(S196="수동",S196="자동+수동"),AA196="통과",TRUE)),"통과",IF(OR(Z196="실패",AA196="실패",AE196="실패"),"실패","보류"))</x:f>
        <x:v>보류</x:v>
      </x:c>
      <x:c r="AK196" s="5" t="str"/>
      <x:c r="AL196" s="5" t="str">
        <x:v>WCA-027</x:v>
      </x:c>
      <x:c r="AM196" s="5" t="str">
        <x:v>입력 v0.1 계획 주석은 original_plan_note에 보존. 최신 구현·시험·증빙은 연결 적용기록을 참조하며 전체 준수·인증을 주장하지 않음.</x:v>
      </x:c>
    </x:row>
    <x:row r="197" ht="39.599998474121094" hidden="0" customHeight="1">
      <x:c r="A197" s="5" t="str">
        <x:v>KWA-018</x:v>
      </x:c>
      <x:c r="B197" s="5" t="str">
        <x:v>KWCAG 2.2</x:v>
      </x:c>
      <x:c r="C197" s="5" t="str">
        <x:v>KWCAG 2.2</x:v>
      </x:c>
      <x:c r="D197" s="5" t="str">
        <x:v>제목 제공</x:v>
      </x:c>
      <x:c r="E197" s="5" t="str">
        <x:v>영역 제목 식별</x:v>
      </x:c>
      <x:c r="F197" s="5" t="str">
        <x:v>SRC-004</x:v>
      </x:c>
      <x:c r="G197" s="5" t="str">
        <x:v>KS X OT0003:2022</x:v>
      </x:c>
      <x:c r="H197" s="5" t="str">
        <x:v>6.4.2</x:v>
      </x:c>
      <x:c r="I197" s="5" t="str"/>
      <x:c r="J197" s="5" t="str">
        <x:v>국내 검사기준</x:v>
      </x:c>
      <x:c r="K197" s="5" t="str">
        <x:v>국내 검사기준</x:v>
      </x:c>
      <x:c r="L197" s="5" t="str">
        <x:v>MUST(안)</x:v>
      </x:c>
      <x:c r="M197" s="10" t="str">
        <x:v>적용</x:v>
      </x:c>
      <x:c r="N197" s="5" t="str">
        <x:v>현재 샘플의 회사 필수 기준으로 채택 제안</x:v>
      </x:c>
      <x:c r="O197" s="5" t="str">
        <x:v>관련 기능·적용 기관·계약 변경 시 재평가</x:v>
      </x:c>
      <x:c r="P197" s="5" t="str">
        <x:v>S01~S08 / 해당 기능의 모든 화면·상태</x:v>
      </x:c>
      <x:c r="Q197" s="5" t="str">
        <x:v>페이지별 document.title·h1과 의미 있는 제목 계층 제공</x:v>
      </x:c>
      <x:c r="R197" s="5" t="str">
        <x:v>자동 제목 점검 + 화면낭독 heading 탐색</x:v>
      </x:c>
      <x:c r="S197" s="10" t="str">
        <x:v>자동+수동</x:v>
      </x:c>
      <x:c r="T197" s="5" t="str">
        <x:v>개발·QA</x:v>
      </x:c>
      <x:c r="U197" s="5" t="str">
        <x:v>P1</x:v>
      </x:c>
      <x:c r="V197" s="10" t="str">
        <x:v>구현</x:v>
      </x:c>
      <x:c r="W197" s="5" t="str">
        <x:v>페이지별 document.title과 한 개 h1, 섹션 h2/h3 계층 및 목적이 드러나는 입력 레이블을 제공한다.</x:v>
      </x:c>
      <x:c r="X197" s="5" t="str">
        <x:v>apps/web/src/App.tsx#routeInfo
apps/web/src/App.tsx#App
apps/web/src/App.tsx#RequestWizard</x:v>
      </x:c>
      <x:c r="Y197" s="5" t="str">
        <x:v>E2E-AXE
MAN-KWA-018</x:v>
      </x:c>
      <x:c r="Z197" s="10" t="str">
        <x:v>부분확인</x:v>
      </x:c>
      <x:c r="AA197" s="10" t="str">
        <x:v>미실행</x:v>
      </x:c>
      <x:c r="AB197" s="5" t="str">
        <x:v>E2E-AXE-2026-10-20T06-15-00-647Z</x:v>
      </x:c>
      <x:c r="AC197" s="5" t="n">
        <x:v>1</x:v>
      </x:c>
      <x:c r="AD197" s="5" t="n">
        <x:v>2</x:v>
      </x:c>
      <x:c r="AE197" s="10" t="str">
        <x:v>부분확인</x:v>
      </x:c>
      <x:c r="AF197" s="5" t="str"/>
      <x:c r="AG197" s="5" t="str"/>
      <x:c r="AH197" s="5" t="str"/>
      <x:c r="AI197" s="10" t="str">
        <x:v>입력 기준 유지</x:v>
      </x:c>
      <x:c r="AJ197" s="5" t="str">
        <x:f>IF(AND(M197="적용",V197="구현",X197&lt;&gt;"",Y197&lt;&gt;"",AB197&lt;&gt;"",AC197&gt;0,AD197&gt;0,AE197="통과",AF197="",AG197&lt;&gt;"",AH197&lt;&gt;"",OR(S197="자동",S197="수동",S197="자동+수동"),IF(OR(S197="자동",S197="자동+수동"),Z197="통과",TRUE),IF(OR(S197="수동",S197="자동+수동"),AA197="통과",TRUE)),"통과",IF(OR(Z197="실패",AA197="실패",AE197="실패"),"실패","보류"))</x:f>
        <x:v>보류</x:v>
      </x:c>
      <x:c r="AK197" s="5" t="str"/>
      <x:c r="AL197" s="5" t="str">
        <x:v>WCA-028, WCA-032</x:v>
      </x:c>
      <x:c r="AM197" s="5" t="str">
        <x:v>입력 v0.1 계획 주석은 original_plan_note에 보존. 최신 구현·시험·증빙은 연결 적용기록을 참조하며 전체 준수·인증을 주장하지 않음.</x:v>
      </x:c>
    </x:row>
    <x:row r="198" ht="52.79999923706055" hidden="0" customHeight="1">
      <x:c r="A198" s="5" t="str">
        <x:v>KWA-019</x:v>
      </x:c>
      <x:c r="B198" s="5" t="str">
        <x:v>KWCAG 2.2</x:v>
      </x:c>
      <x:c r="C198" s="5" t="str">
        <x:v>KWCAG 2.2</x:v>
      </x:c>
      <x:c r="D198" s="5" t="str">
        <x:v>적절한 링크 텍스트</x:v>
      </x:c>
      <x:c r="E198" s="5" t="str">
        <x:v>목적이 드러나는 링크</x:v>
      </x:c>
      <x:c r="F198" s="5" t="str">
        <x:v>SRC-004</x:v>
      </x:c>
      <x:c r="G198" s="5" t="str">
        <x:v>KS X OT0003:2022</x:v>
      </x:c>
      <x:c r="H198" s="5" t="str">
        <x:v>6.4.3</x:v>
      </x:c>
      <x:c r="I198" s="5" t="str"/>
      <x:c r="J198" s="5" t="str">
        <x:v>국내 검사기준</x:v>
      </x:c>
      <x:c r="K198" s="5" t="str">
        <x:v>국내 검사기준</x:v>
      </x:c>
      <x:c r="L198" s="5" t="str">
        <x:v>MUST(안)</x:v>
      </x:c>
      <x:c r="M198" s="10" t="str">
        <x:v>적용</x:v>
      </x:c>
      <x:c r="N198" s="5" t="str">
        <x:v>현재 샘플의 회사 필수 기준으로 채택 제안</x:v>
      </x:c>
      <x:c r="O198" s="5" t="str">
        <x:v>관련 기능·적용 기관·계약 변경 시 재평가</x:v>
      </x:c>
      <x:c r="P198" s="5" t="str">
        <x:v>S01~S08 / 해당 기능의 모든 화면·상태</x:v>
      </x:c>
      <x:c r="Q198" s="5" t="str">
        <x:v>“자세히” 단독 반복 대신 요청명 또는 상세 목적 포함</x:v>
      </x:c>
      <x:c r="R198" s="5" t="str">
        <x:v>링크 목록 탐색 수동 확인</x:v>
      </x:c>
      <x:c r="S198" s="10" t="str">
        <x:v>수동</x:v>
      </x:c>
      <x:c r="T198" s="5" t="str">
        <x:v>개발·QA</x:v>
      </x:c>
      <x:c r="U198" s="5" t="str">
        <x:v>P1</x:v>
      </x:c>
      <x:c r="V198" s="10" t="str">
        <x:v>구현</x:v>
      </x:c>
      <x:c r="W198" s="5" t="str">
        <x:v>요청 제목·파일명·보고서 형식을 링크 이름으로 제공하며 실제 목적지를 href로 유지한다.</x:v>
      </x:c>
      <x:c r="X198" s="5" t="str">
        <x:v>apps/web/src/App.tsx#AppLink
apps/web/src/App.tsx#RequestTable
apps/web/src/App.tsx#RequestDetail
apps/web/src/StandardsBrowser.tsx#StandardsBrowser</x:v>
      </x:c>
      <x:c r="Y198" s="5" t="str">
        <x:v>MAN-KWA-019</x:v>
      </x:c>
      <x:c r="Z198" s="10" t="str">
        <x:v>미실행</x:v>
      </x:c>
      <x:c r="AA198" s="10" t="str">
        <x:v>미실행</x:v>
      </x:c>
      <x:c r="AB198" s="5" t="str"/>
      <x:c r="AC198" s="5" t="n">
        <x:v>0</x:v>
      </x:c>
      <x:c r="AD198" s="5" t="n">
        <x:v>1</x:v>
      </x:c>
      <x:c r="AE198" s="10" t="str">
        <x:v>미실행</x:v>
      </x:c>
      <x:c r="AF198" s="5" t="str"/>
      <x:c r="AG198" s="5" t="str"/>
      <x:c r="AH198" s="5" t="str"/>
      <x:c r="AI198" s="10" t="str">
        <x:v>입력 기준 유지</x:v>
      </x:c>
      <x:c r="AJ198" s="5" t="str">
        <x:f>IF(AND(M198="적용",V198="구현",X198&lt;&gt;"",Y198&lt;&gt;"",AB198&lt;&gt;"",AC198&gt;0,AD198&gt;0,AE198="통과",AF198="",AG198&lt;&gt;"",AH198&lt;&gt;"",OR(S198="자동",S198="수동",S198="자동+수동"),IF(OR(S198="자동",S198="자동+수동"),Z198="통과",TRUE),IF(OR(S198="수동",S198="자동+수동"),AA198="통과",TRUE)),"통과",IF(OR(Z198="실패",AA198="실패",AE198="실패"),"실패","보류"))</x:f>
        <x:v>보류</x:v>
      </x:c>
      <x:c r="AK198" s="5" t="str"/>
      <x:c r="AL198" s="5" t="str">
        <x:v>WCA-030</x:v>
      </x:c>
      <x:c r="AM198" s="5" t="str">
        <x:v>입력 v0.1 계획 주석은 original_plan_note에 보존. 최신 구현·시험·증빙은 연결 적용기록을 참조하며 전체 준수·인증을 주장하지 않음.</x:v>
      </x:c>
    </x:row>
    <x:row r="199" ht="26.399999618530273" hidden="0" customHeight="1">
      <x:c r="A199" s="5" t="str">
        <x:v>KWA-020</x:v>
      </x:c>
      <x:c r="B199" s="5" t="str">
        <x:v>KWCAG 2.2</x:v>
      </x:c>
      <x:c r="C199" s="5" t="str">
        <x:v>KWCAG 2.2</x:v>
      </x:c>
      <x:c r="D199" s="5" t="str">
        <x:v>고정된 참조 위치 정보</x:v>
      </x:c>
      <x:c r="E199" s="5" t="str">
        <x:v>출판문서 위치 유지</x:v>
      </x:c>
      <x:c r="F199" s="5" t="str">
        <x:v>SRC-004</x:v>
      </x:c>
      <x:c r="G199" s="5" t="str">
        <x:v>KS X OT0003:2022</x:v>
      </x:c>
      <x:c r="H199" s="5" t="str">
        <x:v>6.4.4</x:v>
      </x:c>
      <x:c r="I199" s="5" t="str"/>
      <x:c r="J199" s="5" t="str">
        <x:v>국내 검사기준</x:v>
      </x:c>
      <x:c r="K199" s="5" t="str">
        <x:v>국내 검사기준</x:v>
      </x:c>
      <x:c r="L199" s="5" t="str">
        <x:v>MUST(안)</x:v>
      </x:c>
      <x:c r="M199" s="10" t="str">
        <x:v>조건부</x:v>
      </x:c>
      <x:c r="N199" s="5" t="str">
        <x:v>일반 HTML 업무화면만 있고 전자출판 뷰어 없음. WCAG2.2에 동등한 최종 성공기준 없음</x:v>
      </x:c>
      <x:c r="O199" s="5" t="str">
        <x:v>일반 HTML 업무화면만 있고 전자출판 뷰어 없음. WCAG2.2에 동등한 최종 성공기준 없음</x:v>
      </x:c>
      <x:c r="P199" s="5" t="str">
        <x:v>S01~S08 / 해당 기능의 모든 화면·상태</x:v>
      </x:c>
      <x:c r="Q199" s="5" t="str">
        <x:v>전자출판 뷰어 도입 시 원문 페이지 표식·이동·참조정보 보존</x:v>
      </x:c>
      <x:c r="R199" s="5" t="str">
        <x:v>뷰어 서식/확대 변경 후 참조 위치 수동 비교</x:v>
      </x:c>
      <x:c r="S199" s="10" t="str">
        <x:v>수동</x:v>
      </x:c>
      <x:c r="T199" s="5" t="str">
        <x:v>개발·QA</x:v>
      </x:c>
      <x:c r="U199" s="5" t="str">
        <x:v>P1</x:v>
      </x:c>
      <x:c r="V199" s="10" t="str">
        <x:v>계획</x:v>
      </x:c>
      <x:c r="W199" s="5" t="str">
        <x:v>고정 페이지 번호가 필요한 전자출판 콘텐츠를 샘플에 도입하지 않았다. 출판 콘텐츠 추가 시 위치 기준을 재검토한다.</x:v>
      </x:c>
      <x:c r="X199" s="5" t="str"/>
      <x:c r="Y199" s="5" t="str">
        <x:v>MAN-KWA-020</x:v>
      </x:c>
      <x:c r="Z199" s="10" t="str">
        <x:v>미실행</x:v>
      </x:c>
      <x:c r="AA199" s="10" t="str">
        <x:v>미실행</x:v>
      </x:c>
      <x:c r="AB199" s="5" t="str"/>
      <x:c r="AC199" s="5" t="n">
        <x:v>0</x:v>
      </x:c>
      <x:c r="AD199" s="5" t="n">
        <x:v>1</x:v>
      </x:c>
      <x:c r="AE199" s="10" t="str">
        <x:v>미실행</x:v>
      </x:c>
      <x:c r="AF199" s="5" t="str"/>
      <x:c r="AG199" s="5" t="str"/>
      <x:c r="AH199" s="5" t="str"/>
      <x:c r="AI199" s="10" t="str">
        <x:v>입력 기준 유지</x:v>
      </x:c>
      <x:c r="AJ199" s="5" t="str">
        <x:f>IF(AND(M199="적용",V199="구현",X199&lt;&gt;"",Y199&lt;&gt;"",AB199&lt;&gt;"",AC199&gt;0,AD199&gt;0,AE199="통과",AF199="",AG199&lt;&gt;"",AH199&lt;&gt;"",OR(S199="자동",S199="수동",S199="자동+수동"),IF(OR(S199="자동",S199="자동+수동"),Z199="통과",TRUE),IF(OR(S199="수동",S199="자동+수동"),AA199="통과",TRUE)),"통과",IF(OR(Z199="실패",AA199="실패",AE199="실패"),"실패","보류"))</x:f>
        <x:v>보류</x:v>
      </x:c>
      <x:c r="AK199" s="5" t="str"/>
      <x:c r="AL199" s="5" t="str"/>
      <x:c r="AM199" s="5" t="str">
        <x:v>입력 v0.1 계획 주석은 original_plan_note에 보존. 최신 구현·시험·증빙은 연결 적용기록을 참조하며 전체 준수·인증을 주장하지 않음.</x:v>
      </x:c>
    </x:row>
    <x:row r="200" ht="26.399999618530273" hidden="0" customHeight="1">
      <x:c r="A200" s="5" t="str">
        <x:v>KWA-021</x:v>
      </x:c>
      <x:c r="B200" s="5" t="str">
        <x:v>KWCAG 2.2</x:v>
      </x:c>
      <x:c r="C200" s="5" t="str">
        <x:v>KWCAG 2.2</x:v>
      </x:c>
      <x:c r="D200" s="5" t="str">
        <x:v>단일 포인터 입력 지원</x:v>
      </x:c>
      <x:c r="E200" s="5" t="str">
        <x:v>단일 포인터 대안</x:v>
      </x:c>
      <x:c r="F200" s="5" t="str">
        <x:v>SRC-004</x:v>
      </x:c>
      <x:c r="G200" s="5" t="str">
        <x:v>KS X OT0003:2022</x:v>
      </x:c>
      <x:c r="H200" s="5" t="str">
        <x:v>6.5.1</x:v>
      </x:c>
      <x:c r="I200" s="5" t="str"/>
      <x:c r="J200" s="5" t="str">
        <x:v>국내 검사기준</x:v>
      </x:c>
      <x:c r="K200" s="5" t="str">
        <x:v>국내 검사기준</x:v>
      </x:c>
      <x:c r="L200" s="5" t="str">
        <x:v>MUST(안)</x:v>
      </x:c>
      <x:c r="M200" s="10" t="str">
        <x:v>적용</x:v>
      </x:c>
      <x:c r="N200" s="5" t="str">
        <x:v>현재 샘플의 회사 필수 기준으로 채택 제안</x:v>
      </x:c>
      <x:c r="O200" s="5" t="str">
        <x:v>관련 기능·적용 기관·계약 변경 시 재평가</x:v>
      </x:c>
      <x:c r="P200" s="5" t="str">
        <x:v>S01~S08 / 해당 기능의 모든 화면·상태</x:v>
      </x:c>
      <x:c r="Q200" s="5" t="str">
        <x:v>드래그 첨부 외 파일선택 버튼, 복잡제스처 없이 조작</x:v>
      </x:c>
      <x:c r="R200" s="5" t="str">
        <x:v>마우스 단일클릭·한손 터치로 시험</x:v>
      </x:c>
      <x:c r="S200" s="10" t="str">
        <x:v>수동</x:v>
      </x:c>
      <x:c r="T200" s="5" t="str">
        <x:v>개발·QA</x:v>
      </x:c>
      <x:c r="U200" s="5" t="str">
        <x:v>P1</x:v>
      </x:c>
      <x:c r="V200" s="10" t="str">
        <x:v>구현</x:v>
      </x:c>
      <x:c r="W200" s="5" t="str">
        <x:v>복잡 제스처나 끌기를 요구하지 않는다. 첨부는 native 파일 선택과 클릭/키보드 버튼으로 수행한다.</x:v>
      </x:c>
      <x:c r="X200" s="5" t="str">
        <x:v>apps/web/src/App.tsx#RequestWizard
apps/web/src/App.tsx#RequestDetail</x:v>
      </x:c>
      <x:c r="Y200" s="5" t="str">
        <x:v>MAN-KWA-021</x:v>
      </x:c>
      <x:c r="Z200" s="10" t="str">
        <x:v>미실행</x:v>
      </x:c>
      <x:c r="AA200" s="10" t="str">
        <x:v>미실행</x:v>
      </x:c>
      <x:c r="AB200" s="5" t="str"/>
      <x:c r="AC200" s="5" t="n">
        <x:v>0</x:v>
      </x:c>
      <x:c r="AD200" s="5" t="n">
        <x:v>1</x:v>
      </x:c>
      <x:c r="AE200" s="10" t="str">
        <x:v>미실행</x:v>
      </x:c>
      <x:c r="AF200" s="5" t="str"/>
      <x:c r="AG200" s="5" t="str"/>
      <x:c r="AH200" s="5" t="str"/>
      <x:c r="AI200" s="10" t="str">
        <x:v>입력 기준 유지</x:v>
      </x:c>
      <x:c r="AJ200" s="5" t="str">
        <x:f>IF(AND(M200="적용",V200="구현",X200&lt;&gt;"",Y200&lt;&gt;"",AB200&lt;&gt;"",AC200&gt;0,AD200&gt;0,AE200="통과",AF200="",AG200&lt;&gt;"",AH200&lt;&gt;"",OR(S200="자동",S200="수동",S200="자동+수동"),IF(OR(S200="자동",S200="자동+수동"),Z200="통과",TRUE),IF(OR(S200="수동",S200="자동+수동"),AA200="통과",TRUE)),"통과",IF(OR(Z200="실패",AA200="실패",AE200="실패"),"실패","보류"))</x:f>
        <x:v>보류</x:v>
      </x:c>
      <x:c r="AK200" s="5" t="str"/>
      <x:c r="AL200" s="5" t="str">
        <x:v>WCA-035</x:v>
      </x:c>
      <x:c r="AM200" s="5" t="str">
        <x:v>입력 v0.1 계획 주석은 original_plan_note에 보존. 최신 구현·시험·증빙은 연결 적용기록을 참조하며 전체 준수·인증을 주장하지 않음.</x:v>
      </x:c>
    </x:row>
    <x:row r="201" ht="39.599998474121094" hidden="0" customHeight="1">
      <x:c r="A201" s="5" t="str">
        <x:v>KWA-022</x:v>
      </x:c>
      <x:c r="B201" s="5" t="str">
        <x:v>KWCAG 2.2</x:v>
      </x:c>
      <x:c r="C201" s="5" t="str">
        <x:v>KWCAG 2.2</x:v>
      </x:c>
      <x:c r="D201" s="5" t="str">
        <x:v>포인터 입력 취소</x:v>
      </x:c>
      <x:c r="E201" s="5" t="str">
        <x:v>누름 취소 허용</x:v>
      </x:c>
      <x:c r="F201" s="5" t="str">
        <x:v>SRC-004</x:v>
      </x:c>
      <x:c r="G201" s="5" t="str">
        <x:v>KS X OT0003:2022</x:v>
      </x:c>
      <x:c r="H201" s="5" t="str">
        <x:v>6.5.2</x:v>
      </x:c>
      <x:c r="I201" s="5" t="str"/>
      <x:c r="J201" s="5" t="str">
        <x:v>국내 검사기준</x:v>
      </x:c>
      <x:c r="K201" s="5" t="str">
        <x:v>국내 검사기준</x:v>
      </x:c>
      <x:c r="L201" s="5" t="str">
        <x:v>MUST(안)</x:v>
      </x:c>
      <x:c r="M201" s="10" t="str">
        <x:v>적용</x:v>
      </x:c>
      <x:c r="N201" s="5" t="str">
        <x:v>현재 샘플의 회사 필수 기준으로 채택 제안</x:v>
      </x:c>
      <x:c r="O201" s="5" t="str">
        <x:v>관련 기능·적용 기관·계약 변경 시 재평가</x:v>
      </x:c>
      <x:c r="P201" s="5" t="str">
        <x:v>S01~S08 / 해당 기능의 모든 화면·상태</x:v>
      </x:c>
      <x:c r="Q201" s="5" t="str">
        <x:v>파괴적 행동은 pointerdown에서 실행하지 않고 확인·취소 제공</x:v>
      </x:c>
      <x:c r="R201" s="5" t="str">
        <x:v>누른 채 밖으로 이동·취소 동작 수동 시험</x:v>
      </x:c>
      <x:c r="S201" s="10" t="str">
        <x:v>수동</x:v>
      </x:c>
      <x:c r="T201" s="5" t="str">
        <x:v>개발·QA</x:v>
      </x:c>
      <x:c r="U201" s="5" t="str">
        <x:v>P1</x:v>
      </x:c>
      <x:c r="V201" s="10" t="str">
        <x:v>구현</x:v>
      </x:c>
      <x:c r="W201" s="5" t="str">
        <x:v>동작은 기본 click/submit으로 실행하여 pointer-down 즉시 실행을 사용하지 않는다. 중요한 동작은 검토·취소를 제공한다.</x:v>
      </x:c>
      <x:c r="X201" s="5" t="str">
        <x:v>apps/web/src/App.tsx#AppLink
apps/web/src/App.tsx#RequestWizard
apps/web/src/App.tsx#RequestDetail</x:v>
      </x:c>
      <x:c r="Y201" s="5" t="str">
        <x:v>MAN-KWA-022</x:v>
      </x:c>
      <x:c r="Z201" s="10" t="str">
        <x:v>미실행</x:v>
      </x:c>
      <x:c r="AA201" s="10" t="str">
        <x:v>미실행</x:v>
      </x:c>
      <x:c r="AB201" s="5" t="str"/>
      <x:c r="AC201" s="5" t="n">
        <x:v>0</x:v>
      </x:c>
      <x:c r="AD201" s="5" t="n">
        <x:v>1</x:v>
      </x:c>
      <x:c r="AE201" s="10" t="str">
        <x:v>미실행</x:v>
      </x:c>
      <x:c r="AF201" s="5" t="str"/>
      <x:c r="AG201" s="5" t="str"/>
      <x:c r="AH201" s="5" t="str"/>
      <x:c r="AI201" s="10" t="str">
        <x:v>입력 기준 유지</x:v>
      </x:c>
      <x:c r="AJ201" s="5" t="str">
        <x:f>IF(AND(M201="적용",V201="구현",X201&lt;&gt;"",Y201&lt;&gt;"",AB201&lt;&gt;"",AC201&gt;0,AD201&gt;0,AE201="통과",AF201="",AG201&lt;&gt;"",AH201&lt;&gt;"",OR(S201="자동",S201="수동",S201="자동+수동"),IF(OR(S201="자동",S201="자동+수동"),Z201="통과",TRUE),IF(OR(S201="수동",S201="자동+수동"),AA201="통과",TRUE)),"통과",IF(OR(Z201="실패",AA201="실패",AE201="실패"),"실패","보류"))</x:f>
        <x:v>보류</x:v>
      </x:c>
      <x:c r="AK201" s="5" t="str"/>
      <x:c r="AL201" s="5" t="str">
        <x:v>WCA-036</x:v>
      </x:c>
      <x:c r="AM201" s="5" t="str">
        <x:v>입력 v0.1 계획 주석은 original_plan_note에 보존. 최신 구현·시험·증빙은 연결 적용기록을 참조하며 전체 준수·인증을 주장하지 않음.</x:v>
      </x:c>
    </x:row>
    <x:row r="202" ht="39.599998474121094" hidden="0" customHeight="1">
      <x:c r="A202" s="5" t="str">
        <x:v>KWA-023</x:v>
      </x:c>
      <x:c r="B202" s="5" t="str">
        <x:v>KWCAG 2.2</x:v>
      </x:c>
      <x:c r="C202" s="5" t="str">
        <x:v>KWCAG 2.2</x:v>
      </x:c>
      <x:c r="D202" s="5" t="str">
        <x:v>레이블과 네임</x:v>
      </x:c>
      <x:c r="E202" s="5" t="str">
        <x:v>보이는 이름 일치</x:v>
      </x:c>
      <x:c r="F202" s="5" t="str">
        <x:v>SRC-004</x:v>
      </x:c>
      <x:c r="G202" s="5" t="str">
        <x:v>KS X OT0003:2022</x:v>
      </x:c>
      <x:c r="H202" s="5" t="str">
        <x:v>6.5.3</x:v>
      </x:c>
      <x:c r="I202" s="5" t="str"/>
      <x:c r="J202" s="5" t="str">
        <x:v>국내 검사기준</x:v>
      </x:c>
      <x:c r="K202" s="5" t="str">
        <x:v>국내 검사기준</x:v>
      </x:c>
      <x:c r="L202" s="5" t="str">
        <x:v>MUST(안)</x:v>
      </x:c>
      <x:c r="M202" s="10" t="str">
        <x:v>적용</x:v>
      </x:c>
      <x:c r="N202" s="5" t="str">
        <x:v>현재 샘플의 회사 필수 기준으로 채택 제안</x:v>
      </x:c>
      <x:c r="O202" s="5" t="str">
        <x:v>관련 기능·적용 기관·계약 변경 시 재평가</x:v>
      </x:c>
      <x:c r="P202" s="5" t="str">
        <x:v>S01~S08 / 해당 기능의 모든 화면·상태</x:v>
      </x:c>
      <x:c r="Q202" s="5" t="str">
        <x:v>버튼의 accessible name에 표시문구 포함, aria-label로 다른 이름 덮지 않음</x:v>
      </x:c>
      <x:c r="R202" s="5" t="str">
        <x:v>accessible name 자동 검사 + 음성명령 확인</x:v>
      </x:c>
      <x:c r="S202" s="10" t="str">
        <x:v>자동+수동</x:v>
      </x:c>
      <x:c r="T202" s="5" t="str">
        <x:v>개발·QA</x:v>
      </x:c>
      <x:c r="U202" s="5" t="str">
        <x:v>P1</x:v>
      </x:c>
      <x:c r="V202" s="10" t="str">
        <x:v>구현</x:v>
      </x:c>
      <x:c r="W202" s="5" t="str">
        <x:v>가시적 버튼·링크 이름을 접근명에 포함한다. 항목 복사는 규칙ID와 가시적 항목 복사 문구를 함께 aria-label에 포함한다.</x:v>
      </x:c>
      <x:c r="X202" s="5" t="str">
        <x:v>apps/web/src/StandardsBrowser.tsx#StandardsBrowser
apps/web/src/App.tsx#App
apps/web/src/App.tsx#Gallery</x:v>
      </x:c>
      <x:c r="Y202" s="5" t="str">
        <x:v>E2E-AXE
MAN-KWA-023</x:v>
      </x:c>
      <x:c r="Z202" s="10" t="str">
        <x:v>부분확인</x:v>
      </x:c>
      <x:c r="AA202" s="10" t="str">
        <x:v>미실행</x:v>
      </x:c>
      <x:c r="AB202" s="5" t="str">
        <x:v>E2E-AXE-2026-10-20T06-15-00-647Z</x:v>
      </x:c>
      <x:c r="AC202" s="5" t="n">
        <x:v>1</x:v>
      </x:c>
      <x:c r="AD202" s="5" t="n">
        <x:v>2</x:v>
      </x:c>
      <x:c r="AE202" s="10" t="str">
        <x:v>부분확인</x:v>
      </x:c>
      <x:c r="AF202" s="5" t="str"/>
      <x:c r="AG202" s="5" t="str"/>
      <x:c r="AH202" s="5" t="str"/>
      <x:c r="AI202" s="10" t="str">
        <x:v>입력 기준 유지</x:v>
      </x:c>
      <x:c r="AJ202" s="5" t="str">
        <x:f>IF(AND(M202="적용",V202="구현",X202&lt;&gt;"",Y202&lt;&gt;"",AB202&lt;&gt;"",AC202&gt;0,AD202&gt;0,AE202="통과",AF202="",AG202&lt;&gt;"",AH202&lt;&gt;"",OR(S202="자동",S202="수동",S202="자동+수동"),IF(OR(S202="자동",S202="자동+수동"),Z202="통과",TRUE),IF(OR(S202="수동",S202="자동+수동"),AA202="통과",TRUE)),"통과",IF(OR(Z202="실패",AA202="실패",AE202="실패"),"실패","보류"))</x:f>
        <x:v>보류</x:v>
      </x:c>
      <x:c r="AK202" s="5" t="str"/>
      <x:c r="AL202" s="5" t="str">
        <x:v>WCA-037</x:v>
      </x:c>
      <x:c r="AM202" s="5" t="str">
        <x:v>입력 v0.1 계획 주석은 original_plan_note에 보존. 최신 구현·시험·증빙은 연결 적용기록을 참조하며 전체 준수·인증을 주장하지 않음.</x:v>
      </x:c>
    </x:row>
    <x:row r="203" ht="26.399999618530273" hidden="0" customHeight="1">
      <x:c r="A203" s="5" t="str">
        <x:v>KWA-024</x:v>
      </x:c>
      <x:c r="B203" s="5" t="str">
        <x:v>KWCAG 2.2</x:v>
      </x:c>
      <x:c r="C203" s="5" t="str">
        <x:v>KWCAG 2.2</x:v>
      </x:c>
      <x:c r="D203" s="5" t="str">
        <x:v>동작기반 작동</x:v>
      </x:c>
      <x:c r="E203" s="5" t="str">
        <x:v>움직임 대체 조작</x:v>
      </x:c>
      <x:c r="F203" s="5" t="str">
        <x:v>SRC-004</x:v>
      </x:c>
      <x:c r="G203" s="5" t="str">
        <x:v>KS X OT0003:2022</x:v>
      </x:c>
      <x:c r="H203" s="5" t="str">
        <x:v>6.5.4</x:v>
      </x:c>
      <x:c r="I203" s="5" t="str"/>
      <x:c r="J203" s="5" t="str">
        <x:v>국내 검사기준</x:v>
      </x:c>
      <x:c r="K203" s="5" t="str">
        <x:v>국내 검사기준</x:v>
      </x:c>
      <x:c r="L203" s="5" t="str">
        <x:v>MUST(안)</x:v>
      </x:c>
      <x:c r="M203" s="10" t="str">
        <x:v>조건부</x:v>
      </x:c>
      <x:c r="N203" s="5" t="str">
        <x:v>현재 모션센서 조작 기능 없음</x:v>
      </x:c>
      <x:c r="O203" s="5" t="str">
        <x:v>현재 모션센서 조작 기능 없음</x:v>
      </x:c>
      <x:c r="P203" s="5" t="str">
        <x:v>S01~S08 / 해당 기능의 모든 화면·상태</x:v>
      </x:c>
      <x:c r="Q203" s="5" t="str">
        <x:v>흔들기/기울이기 기능 미사용. 도입 시 버튼 대체와 비활성화 제공</x:v>
      </x:c>
      <x:c r="R203" s="5" t="str">
        <x:v>동작센서 기능 존재 확인 및 대체수단 수동 시험</x:v>
      </x:c>
      <x:c r="S203" s="10" t="str">
        <x:v>수동</x:v>
      </x:c>
      <x:c r="T203" s="5" t="str">
        <x:v>개발·QA</x:v>
      </x:c>
      <x:c r="U203" s="5" t="str">
        <x:v>P1</x:v>
      </x:c>
      <x:c r="V203" s="10" t="str">
        <x:v>계획</x:v>
      </x:c>
      <x:c r="W203" s="5" t="str">
        <x:v>장치 움직임·모션 센서로 작동하는 기능은 도입하지 않았다. 추가 시 대체 조작 및 해제수단을 검토한다.</x:v>
      </x:c>
      <x:c r="X203" s="5" t="str"/>
      <x:c r="Y203" s="5" t="str">
        <x:v>MAN-KWA-024</x:v>
      </x:c>
      <x:c r="Z203" s="10" t="str">
        <x:v>미실행</x:v>
      </x:c>
      <x:c r="AA203" s="10" t="str">
        <x:v>미실행</x:v>
      </x:c>
      <x:c r="AB203" s="5" t="str"/>
      <x:c r="AC203" s="5" t="n">
        <x:v>0</x:v>
      </x:c>
      <x:c r="AD203" s="5" t="n">
        <x:v>1</x:v>
      </x:c>
      <x:c r="AE203" s="10" t="str">
        <x:v>미실행</x:v>
      </x:c>
      <x:c r="AF203" s="5" t="str"/>
      <x:c r="AG203" s="5" t="str"/>
      <x:c r="AH203" s="5" t="str"/>
      <x:c r="AI203" s="10" t="str">
        <x:v>입력 기준 유지</x:v>
      </x:c>
      <x:c r="AJ203" s="5" t="str">
        <x:f>IF(AND(M203="적용",V203="구현",X203&lt;&gt;"",Y203&lt;&gt;"",AB203&lt;&gt;"",AC203&gt;0,AD203&gt;0,AE203="통과",AF203="",AG203&lt;&gt;"",AH203&lt;&gt;"",OR(S203="자동",S203="수동",S203="자동+수동"),IF(OR(S203="자동",S203="자동+수동"),Z203="통과",TRUE),IF(OR(S203="수동",S203="자동+수동"),AA203="통과",TRUE)),"통과",IF(OR(Z203="실패",AA203="실패",AE203="실패"),"실패","보류"))</x:f>
        <x:v>보류</x:v>
      </x:c>
      <x:c r="AK203" s="5" t="str"/>
      <x:c r="AL203" s="5" t="str">
        <x:v>WCA-038</x:v>
      </x:c>
      <x:c r="AM203" s="5" t="str">
        <x:v>입력 v0.1 계획 주석은 original_plan_note에 보존. 최신 구현·시험·증빙은 연결 적용기록을 참조하며 전체 준수·인증을 주장하지 않음.</x:v>
      </x:c>
    </x:row>
    <x:row r="204" ht="26.399999618530273" hidden="0" customHeight="1">
      <x:c r="A204" s="5" t="str">
        <x:v>KWA-025</x:v>
      </x:c>
      <x:c r="B204" s="5" t="str">
        <x:v>KWCAG 2.2</x:v>
      </x:c>
      <x:c r="C204" s="5" t="str">
        <x:v>KWCAG 2.2</x:v>
      </x:c>
      <x:c r="D204" s="5" t="str">
        <x:v>기본 언어 표시</x:v>
      </x:c>
      <x:c r="E204" s="5" t="str">
        <x:v>주언어 명시</x:v>
      </x:c>
      <x:c r="F204" s="5" t="str">
        <x:v>SRC-004</x:v>
      </x:c>
      <x:c r="G204" s="5" t="str">
        <x:v>KS X OT0003:2022</x:v>
      </x:c>
      <x:c r="H204" s="5" t="str">
        <x:v>7.1.1</x:v>
      </x:c>
      <x:c r="I204" s="5" t="str"/>
      <x:c r="J204" s="5" t="str">
        <x:v>국내 검사기준</x:v>
      </x:c>
      <x:c r="K204" s="5" t="str">
        <x:v>국내 검사기준</x:v>
      </x:c>
      <x:c r="L204" s="5" t="str">
        <x:v>MUST(안)</x:v>
      </x:c>
      <x:c r="M204" s="10" t="str">
        <x:v>적용</x:v>
      </x:c>
      <x:c r="N204" s="5" t="str">
        <x:v>현재 샘플의 회사 필수 기준으로 채택 제안</x:v>
      </x:c>
      <x:c r="O204" s="5" t="str">
        <x:v>관련 기능·적용 기관·계약 변경 시 재평가</x:v>
      </x:c>
      <x:c r="P204" s="5" t="str">
        <x:v>S01~S08 / 해당 기능의 모든 화면·상태</x:v>
      </x:c>
      <x:c r="Q204" s="5" t="str">
        <x:v>html lang="ko" 지정</x:v>
      </x:c>
      <x:c r="R204" s="5" t="str">
        <x:v>문서 lang 속성 자동 검사 + 실제 주언어와 선언값의 일치 수동 확인</x:v>
      </x:c>
      <x:c r="S204" s="10" t="str">
        <x:v>자동+수동</x:v>
      </x:c>
      <x:c r="T204" s="5" t="str">
        <x:v>개발·QA</x:v>
      </x:c>
      <x:c r="U204" s="5" t="str">
        <x:v>P1</x:v>
      </x:c>
      <x:c r="V204" s="10" t="str">
        <x:v>구현</x:v>
      </x:c>
      <x:c r="W204" s="5" t="str">
        <x:v>루트 HTML에 lang=ko를 명시하고 UI 기본 언어를 한국어로 제공한다.</x:v>
      </x:c>
      <x:c r="X204" s="5" t="str">
        <x:v>apps/web/index.html</x:v>
      </x:c>
      <x:c r="Y204" s="5" t="str">
        <x:v>E2E-AXE
MAN-KWA-025</x:v>
      </x:c>
      <x:c r="Z204" s="10" t="str">
        <x:v>부분확인</x:v>
      </x:c>
      <x:c r="AA204" s="10" t="str">
        <x:v>미실행</x:v>
      </x:c>
      <x:c r="AB204" s="5" t="str">
        <x:v>E2E-AXE-2026-10-20T06-15-00-647Z</x:v>
      </x:c>
      <x:c r="AC204" s="5" t="n">
        <x:v>1</x:v>
      </x:c>
      <x:c r="AD204" s="5" t="n">
        <x:v>2</x:v>
      </x:c>
      <x:c r="AE204" s="10" t="str">
        <x:v>부분확인</x:v>
      </x:c>
      <x:c r="AF204" s="5" t="str"/>
      <x:c r="AG204" s="5" t="str"/>
      <x:c r="AH204" s="5" t="str"/>
      <x:c r="AI204" s="10" t="str">
        <x:v>입력 기준 유지</x:v>
      </x:c>
      <x:c r="AJ204" s="5" t="str">
        <x:f>IF(AND(M204="적용",V204="구현",X204&lt;&gt;"",Y204&lt;&gt;"",AB204&lt;&gt;"",AC204&gt;0,AD204&gt;0,AE204="통과",AF204="",AG204&lt;&gt;"",AH204&lt;&gt;"",OR(S204="자동",S204="수동",S204="자동+수동"),IF(OR(S204="자동",S204="자동+수동"),Z204="통과",TRUE),IF(OR(S204="수동",S204="자동+수동"),AA204="통과",TRUE)),"통과",IF(OR(Z204="실패",AA204="실패",AE204="실패"),"실패","보류"))</x:f>
        <x:v>보류</x:v>
      </x:c>
      <x:c r="AK204" s="5" t="str"/>
      <x:c r="AL204" s="5" t="str">
        <x:v>WCA-041</x:v>
      </x:c>
      <x:c r="AM204" s="5" t="str">
        <x:v>입력 v0.1 계획 주석은 original_plan_note에 보존. 최신 구현·시험·증빙은 연결 적용기록을 참조하며 전체 준수·인증을 주장하지 않음.</x:v>
      </x:c>
    </x:row>
    <x:row r="205" ht="39.599998474121094" hidden="0" customHeight="1">
      <x:c r="A205" s="5" t="str">
        <x:v>KWA-026</x:v>
      </x:c>
      <x:c r="B205" s="5" t="str">
        <x:v>KWCAG 2.2</x:v>
      </x:c>
      <x:c r="C205" s="5" t="str">
        <x:v>KWCAG 2.2</x:v>
      </x:c>
      <x:c r="D205" s="5" t="str">
        <x:v>사용자 요구에 따른 실행</x:v>
      </x:c>
      <x:c r="E205" s="5" t="str">
        <x:v>예측 가능한 실행</x:v>
      </x:c>
      <x:c r="F205" s="5" t="str">
        <x:v>SRC-004</x:v>
      </x:c>
      <x:c r="G205" s="5" t="str">
        <x:v>KS X OT0003:2022</x:v>
      </x:c>
      <x:c r="H205" s="5" t="str">
        <x:v>7.2.1</x:v>
      </x:c>
      <x:c r="I205" s="5" t="str"/>
      <x:c r="J205" s="5" t="str">
        <x:v>국내 검사기준</x:v>
      </x:c>
      <x:c r="K205" s="5" t="str">
        <x:v>국내 검사기준</x:v>
      </x:c>
      <x:c r="L205" s="5" t="str">
        <x:v>MUST(안)</x:v>
      </x:c>
      <x:c r="M205" s="10" t="str">
        <x:v>적용</x:v>
      </x:c>
      <x:c r="N205" s="5" t="str">
        <x:v>현재 샘플의 회사 필수 기준으로 채택 제안</x:v>
      </x:c>
      <x:c r="O205" s="5" t="str">
        <x:v>관련 기능·적용 기관·계약 변경 시 재평가</x:v>
      </x:c>
      <x:c r="P205" s="5" t="str">
        <x:v>S01~S08 / 해당 기능의 모든 화면·상태</x:v>
      </x:c>
      <x:c r="Q205" s="5" t="str">
        <x:v>선택만으로 폼 제출하지 않음, 명시 실행 버튼·새 창 사전 안내</x:v>
      </x:c>
      <x:c r="R205" s="5" t="str">
        <x:v>초점·입력·선택 변화 수동 시험</x:v>
      </x:c>
      <x:c r="S205" s="10" t="str">
        <x:v>수동</x:v>
      </x:c>
      <x:c r="T205" s="5" t="str">
        <x:v>개발·QA</x:v>
      </x:c>
      <x:c r="U205" s="5" t="str">
        <x:v>P1</x:v>
      </x:c>
      <x:c r="V205" s="10" t="str">
        <x:v>구현</x:v>
      </x:c>
      <x:c r="W205" s="5" t="str">
        <x:v>초점만으로 작업을 실행하거나 새 창을 열지 않는다. 검색은 명시 제출, 표준 필터는 같은 화면 결과만 갱신하며 파일 선택은 자동 제출하지 않는다.</x:v>
      </x:c>
      <x:c r="X205" s="5" t="str">
        <x:v>apps/web/src/App.tsx#RequestList
apps/web/src/App.tsx#RequestWizard
apps/web/src/StandardsBrowser.tsx#StandardsBrowser</x:v>
      </x:c>
      <x:c r="Y205" s="5" t="str">
        <x:v>MAN-KWA-026</x:v>
      </x:c>
      <x:c r="Z205" s="10" t="str">
        <x:v>미실행</x:v>
      </x:c>
      <x:c r="AA205" s="10" t="str">
        <x:v>미실행</x:v>
      </x:c>
      <x:c r="AB205" s="5" t="str"/>
      <x:c r="AC205" s="5" t="n">
        <x:v>0</x:v>
      </x:c>
      <x:c r="AD205" s="5" t="n">
        <x:v>1</x:v>
      </x:c>
      <x:c r="AE205" s="10" t="str">
        <x:v>미실행</x:v>
      </x:c>
      <x:c r="AF205" s="5" t="str"/>
      <x:c r="AG205" s="5" t="str"/>
      <x:c r="AH205" s="5" t="str"/>
      <x:c r="AI205" s="10" t="str">
        <x:v>입력 기준 유지</x:v>
      </x:c>
      <x:c r="AJ205" s="5" t="str">
        <x:f>IF(AND(M205="적용",V205="구현",X205&lt;&gt;"",Y205&lt;&gt;"",AB205&lt;&gt;"",AC205&gt;0,AD205&gt;0,AE205="통과",AF205="",AG205&lt;&gt;"",AH205&lt;&gt;"",OR(S205="자동",S205="수동",S205="자동+수동"),IF(OR(S205="자동",S205="자동+수동"),Z205="통과",TRUE),IF(OR(S205="수동",S205="자동+수동"),AA205="통과",TRUE)),"통과",IF(OR(Z205="실패",AA205="실패",AE205="실패"),"실패","보류"))</x:f>
        <x:v>보류</x:v>
      </x:c>
      <x:c r="AK205" s="5" t="str"/>
      <x:c r="AL205" s="5" t="str">
        <x:v>WCA-043, WCA-044</x:v>
      </x:c>
      <x:c r="AM205" s="5" t="str">
        <x:v>입력 v0.1 계획 주석은 original_plan_note에 보존. 최신 구현·시험·증빙은 연결 적용기록을 참조하며 전체 준수·인증을 주장하지 않음.</x:v>
      </x:c>
    </x:row>
    <x:row r="206" ht="26.399999618530273" hidden="0" customHeight="1">
      <x:c r="A206" s="5" t="str">
        <x:v>KWA-027</x:v>
      </x:c>
      <x:c r="B206" s="5" t="str">
        <x:v>KWCAG 2.2</x:v>
      </x:c>
      <x:c r="C206" s="5" t="str">
        <x:v>KWCAG 2.2</x:v>
      </x:c>
      <x:c r="D206" s="5" t="str">
        <x:v>찾기 쉬운 도움 정보</x:v>
      </x:c>
      <x:c r="E206" s="5" t="str">
        <x:v>도움말 위치 일관</x:v>
      </x:c>
      <x:c r="F206" s="5" t="str">
        <x:v>SRC-004</x:v>
      </x:c>
      <x:c r="G206" s="5" t="str">
        <x:v>KS X OT0003:2022</x:v>
      </x:c>
      <x:c r="H206" s="5" t="str">
        <x:v>7.2.2</x:v>
      </x:c>
      <x:c r="I206" s="5" t="str"/>
      <x:c r="J206" s="5" t="str">
        <x:v>국내 검사기준</x:v>
      </x:c>
      <x:c r="K206" s="5" t="str">
        <x:v>국내 검사기준</x:v>
      </x:c>
      <x:c r="L206" s="5" t="str">
        <x:v>MUST(안)</x:v>
      </x:c>
      <x:c r="M206" s="10" t="str">
        <x:v>적용</x:v>
      </x:c>
      <x:c r="N206" s="5" t="str">
        <x:v>현재 샘플의 회사 필수 기준으로 채택 제안</x:v>
      </x:c>
      <x:c r="O206" s="5" t="str">
        <x:v>관련 기능·적용 기관·계약 변경 시 재평가</x:v>
      </x:c>
      <x:c r="P206" s="5" t="str">
        <x:v>S01~S08 / 해당 기능의 모든 화면·상태</x:v>
      </x:c>
      <x:c r="Q206" s="5" t="str">
        <x:v>모든 업무화면에 같은 순서의 도움말·문의 링크 제공</x:v>
      </x:c>
      <x:c r="R206" s="5" t="str">
        <x:v>페이지 비교와 키보드 탐색</x:v>
      </x:c>
      <x:c r="S206" s="10" t="str">
        <x:v>수동</x:v>
      </x:c>
      <x:c r="T206" s="5" t="str">
        <x:v>개발·QA</x:v>
      </x:c>
      <x:c r="U206" s="5" t="str">
        <x:v>P1</x:v>
      </x:c>
      <x:c r="V206" s="10" t="str">
        <x:v>구현</x:v>
      </x:c>
      <x:c r="W206" s="5" t="str">
        <x:v>공통 사이드 메뉴·푸터에 도움말을 같은 순서로 제공하고 입력 옆에 일관된 도움 설명을 제공한다.</x:v>
      </x:c>
      <x:c r="X206" s="5" t="str">
        <x:v>apps/web/src/App.tsx#App
apps/web/src/App.tsx#Help</x:v>
      </x:c>
      <x:c r="Y206" s="5" t="str">
        <x:v>MAN-KWA-027</x:v>
      </x:c>
      <x:c r="Z206" s="10" t="str">
        <x:v>미실행</x:v>
      </x:c>
      <x:c r="AA206" s="10" t="str">
        <x:v>미실행</x:v>
      </x:c>
      <x:c r="AB206" s="5" t="str"/>
      <x:c r="AC206" s="5" t="n">
        <x:v>0</x:v>
      </x:c>
      <x:c r="AD206" s="5" t="n">
        <x:v>1</x:v>
      </x:c>
      <x:c r="AE206" s="10" t="str">
        <x:v>미실행</x:v>
      </x:c>
      <x:c r="AF206" s="5" t="str"/>
      <x:c r="AG206" s="5" t="str"/>
      <x:c r="AH206" s="5" t="str"/>
      <x:c r="AI206" s="10" t="str">
        <x:v>입력 기준 유지</x:v>
      </x:c>
      <x:c r="AJ206" s="5" t="str">
        <x:f>IF(AND(M206="적용",V206="구현",X206&lt;&gt;"",Y206&lt;&gt;"",AB206&lt;&gt;"",AC206&gt;0,AD206&gt;0,AE206="통과",AF206="",AG206&lt;&gt;"",AH206&lt;&gt;"",OR(S206="자동",S206="수동",S206="자동+수동"),IF(OR(S206="자동",S206="자동+수동"),Z206="통과",TRUE),IF(OR(S206="수동",S206="자동+수동"),AA206="통과",TRUE)),"통과",IF(OR(Z206="실패",AA206="실패",AE206="실패"),"실패","보류"))</x:f>
        <x:v>보류</x:v>
      </x:c>
      <x:c r="AK206" s="5" t="str"/>
      <x:c r="AL206" s="5" t="str">
        <x:v>WCA-047</x:v>
      </x:c>
      <x:c r="AM206" s="5" t="str">
        <x:v>입력 v0.1 계획 주석은 original_plan_note에 보존. 최신 구현·시험·증빙은 연결 적용기록을 참조하며 전체 준수·인증을 주장하지 않음.</x:v>
      </x:c>
    </x:row>
    <x:row r="207" ht="66" hidden="0" customHeight="1">
      <x:c r="A207" s="5" t="str">
        <x:v>KWA-028</x:v>
      </x:c>
      <x:c r="B207" s="5" t="str">
        <x:v>KWCAG 2.2</x:v>
      </x:c>
      <x:c r="C207" s="5" t="str">
        <x:v>KWCAG 2.2</x:v>
      </x:c>
      <x:c r="D207" s="5" t="str">
        <x:v>오류 정정</x:v>
      </x:c>
      <x:c r="E207" s="5" t="str">
        <x:v>오류 수정 지원</x:v>
      </x:c>
      <x:c r="F207" s="5" t="str">
        <x:v>SRC-004</x:v>
      </x:c>
      <x:c r="G207" s="5" t="str">
        <x:v>KS X OT0003:2022</x:v>
      </x:c>
      <x:c r="H207" s="5" t="str">
        <x:v>7.3.1</x:v>
      </x:c>
      <x:c r="I207" s="5" t="str"/>
      <x:c r="J207" s="5" t="str">
        <x:v>국내 검사기준</x:v>
      </x:c>
      <x:c r="K207" s="5" t="str">
        <x:v>국내 검사기준</x:v>
      </x:c>
      <x:c r="L207" s="5" t="str">
        <x:v>MUST(안)</x:v>
      </x:c>
      <x:c r="M207" s="10" t="str">
        <x:v>적용</x:v>
      </x:c>
      <x:c r="N207" s="5" t="str">
        <x:v>현재 샘플의 회사 필수 기준으로 채택 제안</x:v>
      </x:c>
      <x:c r="O207" s="5" t="str">
        <x:v>관련 기능·적용 기관·계약 변경 시 재평가</x:v>
      </x:c>
      <x:c r="P207" s="5" t="str">
        <x:v>S01~S08 / 해당 기능의 모든 화면·상태</x:v>
      </x:c>
      <x:c r="Q207" s="5" t="str">
        <x:v>오류 요약·필드 설명·입력값 보존·첫 오류 이동 제공</x:v>
      </x:c>
      <x:c r="R207" s="5" t="str">
        <x:v>필수누락·형식오류·서버검증 실패 수동/자동 시험</x:v>
      </x:c>
      <x:c r="S207" s="10" t="str">
        <x:v>자동+수동</x:v>
      </x:c>
      <x:c r="T207" s="5" t="str">
        <x:v>개발·QA</x:v>
      </x:c>
      <x:c r="U207" s="5" t="str">
        <x:v>P1</x:v>
      </x:c>
      <x:c r="V207" s="10" t="str">
        <x:v>구현</x:v>
      </x:c>
      <x:c r="W207" s="5" t="str">
        <x:v>클라이언트와 서버 ProblemDetails errors의 제목·유형·내용·파일 오류를 필드별로 연결한다. 오류 단계로 돌아가 입력값을 유지하고 오류요약에 초점을 옮기며 필드 링크·aria-invalid·설명과 수정방법을 제공한다. 실제 보조기술 음성 검증은 별도 미실행이다.</x:v>
      </x:c>
      <x:c r="X207" s="5" t="str">
        <x:v>apps/web/src/App.tsx#RequestWizard
apps/web/src/api.ts#ApiError
apps/web/src/api.ts#parseFieldErrors
apps/web/src/ui.tsx#ErrorBox</x:v>
      </x:c>
      <x:c r="Y207" s="5" t="str">
        <x:v>E2E-WORKFLOW
E2E-ERROR
SCREEN-FORM-ERROR
SCREEN-SERVER-VALIDATION
MAN-KWA-028</x:v>
      </x:c>
      <x:c r="Z207" s="10" t="str">
        <x:v>부분확인</x:v>
      </x:c>
      <x:c r="AA207" s="10" t="str">
        <x:v>미실행</x:v>
      </x:c>
      <x:c r="AB207" s="5" t="str">
        <x:v>E2E-WORKFLOW-2026-10-20T06-15-00-647Z
E2E-ERROR-2026-10-20T06-15-00-647Z
SCREEN-FORM-ERROR-2026-10-20T06-15-00-647Z
SCREEN-SERVER-VALIDATION-2026-10-20T06-15-00-647Z</x:v>
      </x:c>
      <x:c r="AC207" s="5" t="n">
        <x:v>4</x:v>
      </x:c>
      <x:c r="AD207" s="5" t="n">
        <x:v>5</x:v>
      </x:c>
      <x:c r="AE207" s="10" t="str">
        <x:v>부분확인</x:v>
      </x:c>
      <x:c r="AF207" s="5" t="str"/>
      <x:c r="AG207" s="5" t="str"/>
      <x:c r="AH207" s="5" t="str"/>
      <x:c r="AI207" s="10" t="str">
        <x:v>입력 기준 유지</x:v>
      </x:c>
      <x:c r="AJ207" s="5" t="str">
        <x:f>IF(AND(M207="적용",V207="구현",X207&lt;&gt;"",Y207&lt;&gt;"",AB207&lt;&gt;"",AC207&gt;0,AD207&gt;0,AE207="통과",AF207="",AG207&lt;&gt;"",AH207&lt;&gt;"",OR(S207="자동",S207="수동",S207="자동+수동"),IF(OR(S207="자동",S207="자동+수동"),Z207="통과",TRUE),IF(OR(S207="수동",S207="자동+수동"),AA207="통과",TRUE)),"통과",IF(OR(Z207="실패",AA207="실패",AE207="실패"),"실패","보류"))</x:f>
        <x:v>보류</x:v>
      </x:c>
      <x:c r="AK207" s="5" t="str"/>
      <x:c r="AL207" s="5" t="str">
        <x:v>WCA-048, WCA-050</x:v>
      </x:c>
      <x:c r="AM207" s="5" t="str">
        <x:v>입력 v0.1 계획 주석은 original_plan_note에 보존. 최신 구현·시험·증빙은 연결 적용기록을 참조하며 전체 준수·인증을 주장하지 않음.</x:v>
      </x:c>
    </x:row>
    <x:row r="208" ht="52.79999923706055" hidden="0" customHeight="1">
      <x:c r="A208" s="5" t="str">
        <x:v>KWA-029</x:v>
      </x:c>
      <x:c r="B208" s="5" t="str">
        <x:v>KWCAG 2.2</x:v>
      </x:c>
      <x:c r="C208" s="5" t="str">
        <x:v>KWCAG 2.2</x:v>
      </x:c>
      <x:c r="D208" s="5" t="str">
        <x:v>레이블 제공</x:v>
      </x:c>
      <x:c r="E208" s="5" t="str">
        <x:v>입력 의미 연결</x:v>
      </x:c>
      <x:c r="F208" s="5" t="str">
        <x:v>SRC-004</x:v>
      </x:c>
      <x:c r="G208" s="5" t="str">
        <x:v>KS X OT0003:2022</x:v>
      </x:c>
      <x:c r="H208" s="5" t="str">
        <x:v>7.3.2</x:v>
      </x:c>
      <x:c r="I208" s="5" t="str"/>
      <x:c r="J208" s="5" t="str">
        <x:v>국내 검사기준</x:v>
      </x:c>
      <x:c r="K208" s="5" t="str">
        <x:v>국내 검사기준</x:v>
      </x:c>
      <x:c r="L208" s="5" t="str">
        <x:v>MUST(안)</x:v>
      </x:c>
      <x:c r="M208" s="10" t="str">
        <x:v>적용</x:v>
      </x:c>
      <x:c r="N208" s="5" t="str">
        <x:v>현재 샘플의 회사 필수 기준으로 채택 제안</x:v>
      </x:c>
      <x:c r="O208" s="5" t="str">
        <x:v>관련 기능·적용 기관·계약 변경 시 재평가</x:v>
      </x:c>
      <x:c r="P208" s="5" t="str">
        <x:v>S01~S08 / 해당 기능의 모든 화면·상태</x:v>
      </x:c>
      <x:c r="Q208" s="5" t="str">
        <x:v>label/htmlFor, fieldset/legend, required 안내·도움말 연결</x:v>
      </x:c>
      <x:c r="R208" s="5" t="str">
        <x:v>자동 레이블 검사 + 낭독 순서 수동 확인</x:v>
      </x:c>
      <x:c r="S208" s="10" t="str">
        <x:v>자동+수동</x:v>
      </x:c>
      <x:c r="T208" s="5" t="str">
        <x:v>개발·QA</x:v>
      </x:c>
      <x:c r="U208" s="5" t="str">
        <x:v>P1</x:v>
      </x:c>
      <x:c r="V208" s="10" t="str">
        <x:v>구현</x:v>
      </x:c>
      <x:c r="W208" s="5" t="str">
        <x:v>label/htmlFor·fieldset/legend와 필수/선택·입력 예·길이/형식 제한을 지속적으로 제공한다.</x:v>
      </x:c>
      <x:c r="X208" s="5" t="str">
        <x:v>apps/web/src/App.tsx#RequestWizard
apps/web/src/App.tsx#Login
apps/web/src/App.tsx#RequestDetail</x:v>
      </x:c>
      <x:c r="Y208" s="5" t="str">
        <x:v>E2E-WORKFLOW
E2E-AXE
SCREEN-FORM
MAN-KWA-029</x:v>
      </x:c>
      <x:c r="Z208" s="10" t="str">
        <x:v>부분확인</x:v>
      </x:c>
      <x:c r="AA208" s="10" t="str">
        <x:v>미실행</x:v>
      </x:c>
      <x:c r="AB208" s="5" t="str">
        <x:v>E2E-WORKFLOW-2026-10-20T06-15-00-647Z
E2E-AXE-2026-10-20T06-15-00-647Z
SCREEN-FORM-2026-10-20T06-15-00-647Z</x:v>
      </x:c>
      <x:c r="AC208" s="5" t="n">
        <x:v>3</x:v>
      </x:c>
      <x:c r="AD208" s="5" t="n">
        <x:v>4</x:v>
      </x:c>
      <x:c r="AE208" s="10" t="str">
        <x:v>부분확인</x:v>
      </x:c>
      <x:c r="AF208" s="5" t="str"/>
      <x:c r="AG208" s="5" t="str"/>
      <x:c r="AH208" s="5" t="str"/>
      <x:c r="AI208" s="10" t="str">
        <x:v>입력 기준 유지</x:v>
      </x:c>
      <x:c r="AJ208" s="5" t="str">
        <x:f>IF(AND(M208="적용",V208="구현",X208&lt;&gt;"",Y208&lt;&gt;"",AB208&lt;&gt;"",AC208&gt;0,AD208&gt;0,AE208="통과",AF208="",AG208&lt;&gt;"",AH208&lt;&gt;"",OR(S208="자동",S208="수동",S208="자동+수동"),IF(OR(S208="자동",S208="자동+수동"),Z208="통과",TRUE),IF(OR(S208="수동",S208="자동+수동"),AA208="통과",TRUE)),"통과",IF(OR(Z208="실패",AA208="실패",AE208="실패"),"실패","보류"))</x:f>
        <x:v>보류</x:v>
      </x:c>
      <x:c r="AK208" s="5" t="str"/>
      <x:c r="AL208" s="5" t="str">
        <x:v>WCA-049</x:v>
      </x:c>
      <x:c r="AM208" s="5" t="str">
        <x:v>입력 v0.1 계획 주석은 original_plan_note에 보존. 최신 구현·시험·증빙은 연결 적용기록을 참조하며 전체 준수·인증을 주장하지 않음.</x:v>
      </x:c>
    </x:row>
    <x:row r="209" ht="26.399999618530273" hidden="0" customHeight="1">
      <x:c r="A209" s="5" t="str">
        <x:v>KWA-030</x:v>
      </x:c>
      <x:c r="B209" s="5" t="str">
        <x:v>KWCAG 2.2</x:v>
      </x:c>
      <x:c r="C209" s="5" t="str">
        <x:v>KWCAG 2.2</x:v>
      </x:c>
      <x:c r="D209" s="5" t="str">
        <x:v>접근 가능한 인증</x:v>
      </x:c>
      <x:c r="E209" s="5" t="str">
        <x:v>인지부담 완화 인증</x:v>
      </x:c>
      <x:c r="F209" s="5" t="str">
        <x:v>SRC-004</x:v>
      </x:c>
      <x:c r="G209" s="5" t="str">
        <x:v>KS X OT0003:2022</x:v>
      </x:c>
      <x:c r="H209" s="5" t="str">
        <x:v>7.3.3</x:v>
      </x:c>
      <x:c r="I209" s="5" t="str"/>
      <x:c r="J209" s="5" t="str">
        <x:v>국내 검사기준</x:v>
      </x:c>
      <x:c r="K209" s="5" t="str">
        <x:v>국내 검사기준</x:v>
      </x:c>
      <x:c r="L209" s="5" t="str">
        <x:v>MUST(안)</x:v>
      </x:c>
      <x:c r="M209" s="10" t="str">
        <x:v>적용</x:v>
      </x:c>
      <x:c r="N209" s="5" t="str">
        <x:v>보안 완화를 뜻하지 않음. 인증수단 전체와 오류복구 경로 포함</x:v>
      </x:c>
      <x:c r="O209" s="5" t="str">
        <x:v>관련 기능·적용 기관·계약 변경 시 재평가</x:v>
      </x:c>
      <x:c r="P209" s="5" t="str">
        <x:v>S01~S08 / 해당 기능의 모든 화면·상태</x:v>
      </x:c>
      <x:c r="Q209" s="5" t="str">
        <x:v>자동완성·붙여넣기·암호관리자 허용, 퍼즐형 인증을 강제하지 않음</x:v>
      </x:c>
      <x:c r="R209" s="5" t="str">
        <x:v>로그인 전체 경로를 암호관리자·키보드·낭독으로 시험</x:v>
      </x:c>
      <x:c r="S209" s="10" t="str">
        <x:v>수동</x:v>
      </x:c>
      <x:c r="T209" s="5" t="str">
        <x:v>개발·QA</x:v>
      </x:c>
      <x:c r="U209" s="5" t="str">
        <x:v>P1</x:v>
      </x:c>
      <x:c r="V209" s="10" t="str">
        <x:v>구현</x:v>
      </x:c>
      <x:c r="W209" s="5" t="str">
        <x:v>비밀번호 붙여넣기/관리자·자동완성을 허용하고 인지기억·수학풀이 등의 인증시험을 추가하지 않는다.</x:v>
      </x:c>
      <x:c r="X209" s="5" t="str">
        <x:v>apps/web/src/App.tsx#Login</x:v>
      </x:c>
      <x:c r="Y209" s="5" t="str">
        <x:v>SCREEN-LOGIN
MAN-KWA-030</x:v>
      </x:c>
      <x:c r="Z209" s="10" t="str">
        <x:v>미실행</x:v>
      </x:c>
      <x:c r="AA209" s="10" t="str">
        <x:v>미실행</x:v>
      </x:c>
      <x:c r="AB209" s="5" t="str">
        <x:v>SCREEN-LOGIN-2026-10-20T06-15-00-647Z</x:v>
      </x:c>
      <x:c r="AC209" s="5" t="n">
        <x:v>1</x:v>
      </x:c>
      <x:c r="AD209" s="5" t="n">
        <x:v>2</x:v>
      </x:c>
      <x:c r="AE209" s="10" t="str">
        <x:v>부분확인</x:v>
      </x:c>
      <x:c r="AF209" s="5" t="str"/>
      <x:c r="AG209" s="5" t="str"/>
      <x:c r="AH209" s="5" t="str"/>
      <x:c r="AI209" s="10" t="str">
        <x:v>입력 기준 유지</x:v>
      </x:c>
      <x:c r="AJ209" s="5" t="str">
        <x:f>IF(AND(M209="적용",V209="구현",X209&lt;&gt;"",Y209&lt;&gt;"",AB209&lt;&gt;"",AC209&gt;0,AD209&gt;0,AE209="통과",AF209="",AG209&lt;&gt;"",AH209&lt;&gt;"",OR(S209="자동",S209="수동",S209="자동+수동"),IF(OR(S209="자동",S209="자동+수동"),Z209="통과",TRUE),IF(OR(S209="수동",S209="자동+수동"),AA209="통과",TRUE)),"통과",IF(OR(Z209="실패",AA209="실패",AE209="실패"),"실패","보류"))</x:f>
        <x:v>보류</x:v>
      </x:c>
      <x:c r="AK209" s="5" t="str"/>
      <x:c r="AL209" s="5" t="str">
        <x:v>WCA-053</x:v>
      </x:c>
      <x:c r="AM209" s="5" t="str">
        <x:v>입력 v0.1 계획 주석은 original_plan_note에 보존. 최신 구현·시험·증빙은 연결 적용기록을 참조하며 전체 준수·인증을 주장하지 않음.</x:v>
      </x:c>
    </x:row>
    <x:row r="210" ht="39.599998474121094" hidden="0" customHeight="1">
      <x:c r="A210" s="5" t="str">
        <x:v>KWA-031</x:v>
      </x:c>
      <x:c r="B210" s="5" t="str">
        <x:v>KWCAG 2.2</x:v>
      </x:c>
      <x:c r="C210" s="5" t="str">
        <x:v>KWCAG 2.2</x:v>
      </x:c>
      <x:c r="D210" s="5" t="str">
        <x:v>반복 입력 정보</x:v>
      </x:c>
      <x:c r="E210" s="5" t="str">
        <x:v>중복기입 완화</x:v>
      </x:c>
      <x:c r="F210" s="5" t="str">
        <x:v>SRC-004</x:v>
      </x:c>
      <x:c r="G210" s="5" t="str">
        <x:v>KS X OT0003:2022</x:v>
      </x:c>
      <x:c r="H210" s="5" t="str">
        <x:v>7.3.4</x:v>
      </x:c>
      <x:c r="I210" s="5" t="str"/>
      <x:c r="J210" s="5" t="str">
        <x:v>국내 검사기준</x:v>
      </x:c>
      <x:c r="K210" s="5" t="str">
        <x:v>국내 검사기준</x:v>
      </x:c>
      <x:c r="L210" s="5" t="str">
        <x:v>MUST(안)</x:v>
      </x:c>
      <x:c r="M210" s="10" t="str">
        <x:v>적용</x:v>
      </x:c>
      <x:c r="N210" s="5" t="str">
        <x:v>현재 샘플의 회사 필수 기준으로 채택 제안</x:v>
      </x:c>
      <x:c r="O210" s="5" t="str">
        <x:v>관련 기능·적용 기관·계약 변경 시 재평가</x:v>
      </x:c>
      <x:c r="P210" s="5" t="str">
        <x:v>S01~S08 / 해당 기능의 모든 화면·상태</x:v>
      </x:c>
      <x:c r="Q210" s="5" t="str">
        <x:v>등록 단계 사이 입력값 보존, 기존 개인정보 선택·불러오기 제공</x:v>
      </x:c>
      <x:c r="R210" s="5" t="str">
        <x:v>단계 왕복·검토화면 수정 시 재입력 여부 시험</x:v>
      </x:c>
      <x:c r="S210" s="10" t="str">
        <x:v>수동</x:v>
      </x:c>
      <x:c r="T210" s="5" t="str">
        <x:v>개발·QA</x:v>
      </x:c>
      <x:c r="U210" s="5" t="str">
        <x:v>P1</x:v>
      </x:c>
      <x:c r="V210" s="10" t="str">
        <x:v>구현</x:v>
      </x:c>
      <x:c r="W210" s="5" t="str">
        <x:v>단계 간 이동 및 오류 후 React 메모리 draft로 입력과 선택파일을 보존한다. 로그인 이메일 등 이미 있는 계정 정보 재입력을 업무 폼에서 요구하지 않는다.</x:v>
      </x:c>
      <x:c r="X210" s="5" t="str">
        <x:v>apps/web/src/App.tsx#RequestWizard</x:v>
      </x:c>
      <x:c r="Y210" s="5" t="str">
        <x:v>E2E-WORKFLOW
SCREEN-COMPLETE
MAN-KWA-031</x:v>
      </x:c>
      <x:c r="Z210" s="10" t="str">
        <x:v>부분확인</x:v>
      </x:c>
      <x:c r="AA210" s="10" t="str">
        <x:v>미실행</x:v>
      </x:c>
      <x:c r="AB210" s="5" t="str">
        <x:v>E2E-WORKFLOW-2026-10-20T06-15-00-647Z
SCREEN-COMPLETE-2026-10-20T06-15-00-647Z</x:v>
      </x:c>
      <x:c r="AC210" s="5" t="n">
        <x:v>2</x:v>
      </x:c>
      <x:c r="AD210" s="5" t="n">
        <x:v>3</x:v>
      </x:c>
      <x:c r="AE210" s="10" t="str">
        <x:v>부분확인</x:v>
      </x:c>
      <x:c r="AF210" s="5" t="str"/>
      <x:c r="AG210" s="5" t="str"/>
      <x:c r="AH210" s="5" t="str"/>
      <x:c r="AI210" s="10" t="str">
        <x:v>입력 기준 유지</x:v>
      </x:c>
      <x:c r="AJ210" s="5" t="str">
        <x:f>IF(AND(M210="적용",V210="구현",X210&lt;&gt;"",Y210&lt;&gt;"",AB210&lt;&gt;"",AC210&gt;0,AD210&gt;0,AE210="통과",AF210="",AG210&lt;&gt;"",AH210&lt;&gt;"",OR(S210="자동",S210="수동",S210="자동+수동"),IF(OR(S210="자동",S210="자동+수동"),Z210="통과",TRUE),IF(OR(S210="수동",S210="자동+수동"),AA210="통과",TRUE)),"통과",IF(OR(Z210="실패",AA210="실패",AE210="실패"),"실패","보류"))</x:f>
        <x:v>보류</x:v>
      </x:c>
      <x:c r="AK210" s="5" t="str"/>
      <x:c r="AL210" s="5" t="str">
        <x:v>WCA-052</x:v>
      </x:c>
      <x:c r="AM210" s="5" t="str">
        <x:v>입력 v0.1 계획 주석은 original_plan_note에 보존. 최신 구현·시험·증빙은 연결 적용기록을 참조하며 전체 준수·인증을 주장하지 않음.</x:v>
      </x:c>
    </x:row>
    <x:row r="211" ht="39.599998474121094" hidden="0" customHeight="1">
      <x:c r="A211" s="5" t="str">
        <x:v>KWA-032</x:v>
      </x:c>
      <x:c r="B211" s="5" t="str">
        <x:v>KWCAG 2.2</x:v>
      </x:c>
      <x:c r="C211" s="5" t="str">
        <x:v>KWCAG 2.2</x:v>
      </x:c>
      <x:c r="D211" s="5" t="str">
        <x:v>마크업 오류 방지</x:v>
      </x:c>
      <x:c r="E211" s="5" t="str">
        <x:v>구조 오류 방지</x:v>
      </x:c>
      <x:c r="F211" s="5" t="str">
        <x:v>SRC-004</x:v>
      </x:c>
      <x:c r="G211" s="5" t="str">
        <x:v>KS X OT0003:2022</x:v>
      </x:c>
      <x:c r="H211" s="5" t="str">
        <x:v>8.1.1</x:v>
      </x:c>
      <x:c r="I211" s="5" t="str"/>
      <x:c r="J211" s="5" t="str">
        <x:v>국내 검사기준</x:v>
      </x:c>
      <x:c r="K211" s="5" t="str">
        <x:v>국내 검사기준</x:v>
      </x:c>
      <x:c r="L211" s="5" t="str">
        <x:v>MUST(안)</x:v>
      </x:c>
      <x:c r="M211" s="10" t="str">
        <x:v>적용</x:v>
      </x:c>
      <x:c r="N211" s="5" t="str">
        <x:v>WCAG2.2는 4.1.1 삭제. KWCAG 검사와 회사 코드품질 항목은 유지</x:v>
      </x:c>
      <x:c r="O211" s="5" t="str">
        <x:v>관련 기능·적용 기관·계약 변경 시 재평가</x:v>
      </x:c>
      <x:c r="P211" s="5" t="str">
        <x:v>S01~S08 / 해당 기능의 모든 화면·상태</x:v>
      </x:c>
      <x:c r="Q211" s="5" t="str">
        <x:v>중복 id, 잘못된 중첩, label 참조 오류를 CI로 점검</x:v>
      </x:c>
      <x:c r="R211" s="5" t="str">
        <x:v>HTML validator + DOM id/reference 검사</x:v>
      </x:c>
      <x:c r="S211" s="10" t="str">
        <x:v>수동</x:v>
      </x:c>
      <x:c r="T211" s="5" t="str">
        <x:v>개발·QA</x:v>
      </x:c>
      <x:c r="U211" s="5" t="str">
        <x:v>P1</x:v>
      </x:c>
      <x:c r="V211" s="10" t="str">
        <x:v>진행</x:v>
      </x:c>
      <x:c r="W211" s="5" t="str">
        <x:v>React JSX 및 semantic HTML로 구조를 제공하고 dialog 제목은 useId로 중복을 방지한다. 모든 문서상태 HTML 마크업 전수 유효성 검사는 미실행이다.</x:v>
      </x:c>
      <x:c r="X211" s="5" t="str">
        <x:v>apps/web/src/App.tsx#App
apps/web/src/App.tsx#RequestTable
apps/web/src/ui.tsx#Modal</x:v>
      </x:c>
      <x:c r="Y211" s="5" t="str">
        <x:v>E2E-AXE
MAN-KWA-032</x:v>
      </x:c>
      <x:c r="Z211" s="10" t="str">
        <x:v>부분확인</x:v>
      </x:c>
      <x:c r="AA211" s="10" t="str">
        <x:v>미실행</x:v>
      </x:c>
      <x:c r="AB211" s="5" t="str">
        <x:v>E2E-AXE-2026-10-20T06-15-00-647Z</x:v>
      </x:c>
      <x:c r="AC211" s="5" t="n">
        <x:v>1</x:v>
      </x:c>
      <x:c r="AD211" s="5" t="n">
        <x:v>2</x:v>
      </x:c>
      <x:c r="AE211" s="10" t="str">
        <x:v>부분확인</x:v>
      </x:c>
      <x:c r="AF211" s="5" t="str"/>
      <x:c r="AG211" s="5" t="str"/>
      <x:c r="AH211" s="5" t="str"/>
      <x:c r="AI211" s="10" t="str">
        <x:v>입력 기준 유지</x:v>
      </x:c>
      <x:c r="AJ211" s="5" t="str">
        <x:f>IF(AND(M211="적용",V211="구현",X211&lt;&gt;"",Y211&lt;&gt;"",AB211&lt;&gt;"",AC211&gt;0,AD211&gt;0,AE211="통과",AF211="",AG211&lt;&gt;"",AH211&lt;&gt;"",OR(S211="자동",S211="수동",S211="자동+수동"),IF(OR(S211="자동",S211="자동+수동"),Z211="통과",TRUE),IF(OR(S211="수동",S211="자동+수동"),AA211="통과",TRUE)),"통과",IF(OR(Z211="실패",AA211="실패",AE211="실패"),"실패","보류"))</x:f>
        <x:v>보류</x:v>
      </x:c>
      <x:c r="AK211" s="5" t="str"/>
      <x:c r="AL211" s="5" t="str">
        <x:v>4.1.1은 WCAG2.2 삭제항목</x:v>
      </x:c>
      <x:c r="AM211" s="5" t="str">
        <x:v>입력 v0.1 계획 주석은 original_plan_note에 보존. 최신 구현·시험·증빙은 연결 적용기록을 참조하며 전체 준수·인증을 주장하지 않음.</x:v>
      </x:c>
    </x:row>
    <x:row r="212" ht="52.79999923706055" hidden="0" customHeight="1">
      <x:c r="A212" s="5" t="str">
        <x:v>KWA-033</x:v>
      </x:c>
      <x:c r="B212" s="5" t="str">
        <x:v>KWCAG 2.2</x:v>
      </x:c>
      <x:c r="C212" s="5" t="str">
        <x:v>KWCAG 2.2</x:v>
      </x:c>
      <x:c r="D212" s="5" t="str">
        <x:v>웹 애플리케이션 접근성 준수</x:v>
      </x:c>
      <x:c r="E212" s="5" t="str">
        <x:v>보조기술 호환</x:v>
      </x:c>
      <x:c r="F212" s="5" t="str">
        <x:v>SRC-004</x:v>
      </x:c>
      <x:c r="G212" s="5" t="str">
        <x:v>KS X OT0003:2022</x:v>
      </x:c>
      <x:c r="H212" s="5" t="str">
        <x:v>8.2.1</x:v>
      </x:c>
      <x:c r="I212" s="5" t="str"/>
      <x:c r="J212" s="5" t="str">
        <x:v>국내 검사기준</x:v>
      </x:c>
      <x:c r="K212" s="5" t="str">
        <x:v>국내 검사기준</x:v>
      </x:c>
      <x:c r="L212" s="5" t="str">
        <x:v>MUST(안)</x:v>
      </x:c>
      <x:c r="M212" s="10" t="str">
        <x:v>적용</x:v>
      </x:c>
      <x:c r="N212" s="5" t="str">
        <x:v>현재 샘플의 회사 필수 기준으로 채택 제안</x:v>
      </x:c>
      <x:c r="O212" s="5" t="str">
        <x:v>관련 기능·적용 기관·계약 변경 시 재평가</x:v>
      </x:c>
      <x:c r="P212" s="5" t="str">
        <x:v>S01~S08 / 해당 기능의 모든 화면·상태</x:v>
      </x:c>
      <x:c r="Q212" s="5" t="str">
        <x:v>네이티브 HTML 우선, 커스텀 위젯은 역할·상태·키보드·초점 함께 구현</x:v>
      </x:c>
      <x:c r="R212" s="5" t="str">
        <x:v>axe 자동 + 실제 화면낭독기/브라우저 수동 조합시험</x:v>
      </x:c>
      <x:c r="S212" s="10" t="str">
        <x:v>자동+수동</x:v>
      </x:c>
      <x:c r="T212" s="5" t="str">
        <x:v>개발·QA</x:v>
      </x:c>
      <x:c r="U212" s="5" t="str">
        <x:v>P1</x:v>
      </x:c>
      <x:c r="V212" s="10" t="str">
        <x:v>진행</x:v>
      </x:c>
      <x:c r="W212" s="5" t="str">
        <x:v>네이티브 컨트롤·접근명·aria-current/invalid/describedby·role=status/alert를 구현했다. 실제 NVDA/VoiceOver/TalkBack 사용 맥락과 음성 출력은 검증하지 않았다.</x:v>
      </x:c>
      <x:c r="X212" s="5" t="str">
        <x:v>apps/web/src/App.tsx#App
apps/web/src/ui.tsx#Modal
apps/web/src/ui.tsx#ErrorBox
apps/web/src/StandardsBrowser.tsx#StandardsBrowser</x:v>
      </x:c>
      <x:c r="Y212" s="5" t="str">
        <x:v>SCREEN-GALLERY
MAN-KWA-033</x:v>
      </x:c>
      <x:c r="Z212" s="10" t="str">
        <x:v>미실행</x:v>
      </x:c>
      <x:c r="AA212" s="10" t="str">
        <x:v>미실행</x:v>
      </x:c>
      <x:c r="AB212" s="5" t="str">
        <x:v>SCREEN-GALLERY-2026-10-20T06-15-00-647Z</x:v>
      </x:c>
      <x:c r="AC212" s="5" t="n">
        <x:v>1</x:v>
      </x:c>
      <x:c r="AD212" s="5" t="n">
        <x:v>2</x:v>
      </x:c>
      <x:c r="AE212" s="10" t="str">
        <x:v>부분확인</x:v>
      </x:c>
      <x:c r="AF212" s="5" t="str"/>
      <x:c r="AG212" s="5" t="str"/>
      <x:c r="AH212" s="5" t="str"/>
      <x:c r="AI212" s="10" t="str">
        <x:v>입력 기준 유지</x:v>
      </x:c>
      <x:c r="AJ212" s="5" t="str">
        <x:f>IF(AND(M212="적용",V212="구현",X212&lt;&gt;"",Y212&lt;&gt;"",AB212&lt;&gt;"",AC212&gt;0,AD212&gt;0,AE212="통과",AF212="",AG212&lt;&gt;"",AH212&lt;&gt;"",OR(S212="자동",S212="수동",S212="자동+수동"),IF(OR(S212="자동",S212="자동+수동"),Z212="통과",TRUE),IF(OR(S212="수동",S212="자동+수동"),AA212="통과",TRUE)),"통과",IF(OR(Z212="실패",AA212="실패",AE212="실패"),"실패","보류"))</x:f>
        <x:v>보류</x:v>
      </x:c>
      <x:c r="AK212" s="5" t="str"/>
      <x:c r="AL212" s="5" t="str">
        <x:v>WCA-054, WCA-055</x:v>
      </x:c>
      <x:c r="AM212" s="5" t="str">
        <x:v>입력 v0.1 계획 주석은 original_plan_note에 보존. 최신 구현·시험·증빙은 연결 적용기록을 참조하며 전체 준수·인증을 주장하지 않음.</x:v>
      </x:c>
    </x:row>
    <x:row r="213" ht="39.599998474121094" hidden="0" customHeight="1">
      <x:c r="A213" s="5" t="str">
        <x:v>WCA-001</x:v>
      </x:c>
      <x:c r="B213" s="5" t="str">
        <x:v>WCAG 2.2 A·AA</x:v>
      </x:c>
      <x:c r="C213" s="5" t="str">
        <x:v>WCAG 2.2</x:v>
      </x:c>
      <x:c r="D213" s="5" t="str">
        <x:v>비텍스트 정보</x:v>
      </x:c>
      <x:c r="E213" s="5" t="str">
        <x:v>이미지 대안·아이콘 이름·장식 제외</x:v>
      </x:c>
      <x:c r="F213" s="5" t="str">
        <x:v>SRC-005</x:v>
      </x:c>
      <x:c r="G213" s="5" t="str">
        <x:v>2024-12-12</x:v>
      </x:c>
      <x:c r="H213" s="5" t="str">
        <x:v>1.1.1</x:v>
      </x:c>
      <x:c r="I213" s="5" t="str"/>
      <x:c r="J213" s="5" t="str">
        <x:v>국제 표준 목표</x:v>
      </x:c>
      <x:c r="K213" s="5" t="str">
        <x:v>A</x:v>
      </x:c>
      <x:c r="L213" s="5" t="str">
        <x:v>MUST(안)</x:v>
      </x:c>
      <x:c r="M213" s="10" t="str">
        <x:v>적용</x:v>
      </x:c>
      <x:c r="N213" s="5" t="str">
        <x:v>현재 샘플의 회사 필수 기준으로 채택 제안</x:v>
      </x:c>
      <x:c r="O213" s="5" t="str">
        <x:v>관련 기능·적용 기관·계약 변경 시 재평가</x:v>
      </x:c>
      <x:c r="P213" s="5" t="str">
        <x:v>S01~S08 / 해당 기능의 모든 화면·상태</x:v>
      </x:c>
      <x:c r="Q213" s="5" t="str">
        <x:v>첨부 썸네일 설명, 장식 빈 alt, 요약 차트의 데이터 표</x:v>
      </x:c>
      <x:c r="R213" s="5" t="str">
        <x:v>자동+수동</x:v>
      </x:c>
      <x:c r="S213" s="10" t="str">
        <x:v>자동+수동</x:v>
      </x:c>
      <x:c r="T213" s="5" t="str">
        <x:v>개발·QA</x:v>
      </x:c>
      <x:c r="U213" s="5" t="str">
        <x:v>P1</x:v>
      </x:c>
      <x:c r="V213" s="10" t="str">
        <x:v>구현</x:v>
      </x:c>
      <x:c r="W213" s="5" t="str">
        <x:v>장식 도형은 aria-hidden으로 제외하고 기능 아이콘은 이름 있는 버튼/링크 또는 가시적인 텍스트와 함께 제공한다.</x:v>
      </x:c>
      <x:c r="X213" s="5" t="str">
        <x:v>apps/web/src/App.tsx#App
apps/web/src/App.tsx#Dashboard
apps/web/src/ui.tsx#Badge</x:v>
      </x:c>
      <x:c r="Y213" s="5" t="str">
        <x:v>MAN-WCA-001</x:v>
      </x:c>
      <x:c r="Z213" s="10" t="str">
        <x:v>미실행</x:v>
      </x:c>
      <x:c r="AA213" s="10" t="str">
        <x:v>미실행</x:v>
      </x:c>
      <x:c r="AB213" s="5" t="str"/>
      <x:c r="AC213" s="5" t="n">
        <x:v>0</x:v>
      </x:c>
      <x:c r="AD213" s="5" t="n">
        <x:v>1</x:v>
      </x:c>
      <x:c r="AE213" s="10" t="str">
        <x:v>미실행</x:v>
      </x:c>
      <x:c r="AF213" s="5" t="str"/>
      <x:c r="AG213" s="5" t="str"/>
      <x:c r="AH213" s="5" t="str"/>
      <x:c r="AI213" s="10" t="str">
        <x:v>입력 기준 유지</x:v>
      </x:c>
      <x:c r="AJ213" s="5" t="str">
        <x:f>IF(AND(M213="적용",V213="구현",X213&lt;&gt;"",Y213&lt;&gt;"",AB213&lt;&gt;"",AC213&gt;0,AD213&gt;0,AE213="통과",AF213="",AG213&lt;&gt;"",AH213&lt;&gt;"",OR(S213="자동",S213="수동",S213="자동+수동"),IF(OR(S213="자동",S213="자동+수동"),Z213="통과",TRUE),IF(OR(S213="수동",S213="자동+수동"),AA213="통과",TRUE)),"통과",IF(OR(Z213="실패",AA213="실패",AE213="실패"),"실패","보류"))</x:f>
        <x:v>보류</x:v>
      </x:c>
      <x:c r="AK213" s="5" t="str"/>
      <x:c r="AL213" s="5" t="str"/>
      <x:c r="AM213" s="5" t="str">
        <x:v>입력 v0.1 계획 주석은 original_plan_note에 보존. 최신 구현·시험·증빙은 연결 적용기록을 참조하며 전체 준수·인증을 주장하지 않음.</x:v>
      </x:c>
    </x:row>
    <x:row r="214" ht="26.399999618530273" hidden="0" customHeight="1">
      <x:c r="A214" s="5" t="str">
        <x:v>WCA-002</x:v>
      </x:c>
      <x:c r="B214" s="5" t="str">
        <x:v>WCAG 2.2 A·AA</x:v>
      </x:c>
      <x:c r="C214" s="5" t="str">
        <x:v>WCAG 2.2</x:v>
      </x:c>
      <x:c r="D214" s="5" t="str">
        <x:v>녹음·무음영상 대안</x:v>
      </x:c>
      <x:c r="E214" s="5" t="str">
        <x:v>단일매체 정보 대안</x:v>
      </x:c>
      <x:c r="F214" s="5" t="str">
        <x:v>SRC-005</x:v>
      </x:c>
      <x:c r="G214" s="5" t="str">
        <x:v>2024-12-12</x:v>
      </x:c>
      <x:c r="H214" s="5" t="str">
        <x:v>1.2.1</x:v>
      </x:c>
      <x:c r="I214" s="5" t="str"/>
      <x:c r="J214" s="5" t="str">
        <x:v>국제 표준 목표</x:v>
      </x:c>
      <x:c r="K214" s="5" t="str">
        <x:v>A</x:v>
      </x:c>
      <x:c r="L214" s="5" t="str">
        <x:v>MUST(안)</x:v>
      </x:c>
      <x:c r="M214" s="10" t="str">
        <x:v>조건부</x:v>
      </x:c>
      <x:c r="N214" s="5" t="str">
        <x:v>현재 음성·녹화영상·라이브 콘텐츠 없음. 기능 추가 시 재판정</x:v>
      </x:c>
      <x:c r="O214" s="5" t="str">
        <x:v>현재 음성·녹화영상·라이브 콘텐츠 없음. 기능 추가 시 재판정</x:v>
      </x:c>
      <x:c r="P214" s="5" t="str">
        <x:v>S01~S08 / 해당 기능의 모든 화면·상태</x:v>
      </x:c>
      <x:c r="Q214" s="5" t="str">
        <x:v>음성·무음영상 추가 시 등가 대본/설명</x:v>
      </x:c>
      <x:c r="R214" s="5" t="str">
        <x:v>기능 존재 확인 후 수동검토</x:v>
      </x:c>
      <x:c r="S214" s="10" t="str">
        <x:v>수동</x:v>
      </x:c>
      <x:c r="T214" s="5" t="str">
        <x:v>개발·QA</x:v>
      </x:c>
      <x:c r="U214" s="5" t="str">
        <x:v>P1</x:v>
      </x:c>
      <x:c r="V214" s="10" t="str">
        <x:v>계획</x:v>
      </x:c>
      <x:c r="W214" s="5" t="str">
        <x:v>해당 미디어를 도입하지 않았다. 조건부 적용을 유지하며 영상·음성 추가 시 자막·대본·음성해설을 구현하고 실제 검사해야 한다.</x:v>
      </x:c>
      <x:c r="X214" s="5" t="str"/>
      <x:c r="Y214" s="5" t="str">
        <x:v>MAN-WCA-002</x:v>
      </x:c>
      <x:c r="Z214" s="10" t="str">
        <x:v>미실행</x:v>
      </x:c>
      <x:c r="AA214" s="10" t="str">
        <x:v>미실행</x:v>
      </x:c>
      <x:c r="AB214" s="5" t="str"/>
      <x:c r="AC214" s="5" t="n">
        <x:v>0</x:v>
      </x:c>
      <x:c r="AD214" s="5" t="n">
        <x:v>1</x:v>
      </x:c>
      <x:c r="AE214" s="10" t="str">
        <x:v>미실행</x:v>
      </x:c>
      <x:c r="AF214" s="5" t="str"/>
      <x:c r="AG214" s="5" t="str"/>
      <x:c r="AH214" s="5" t="str"/>
      <x:c r="AI214" s="10" t="str">
        <x:v>입력 기준 유지</x:v>
      </x:c>
      <x:c r="AJ214" s="5" t="str">
        <x:f>IF(AND(M214="적용",V214="구현",X214&lt;&gt;"",Y214&lt;&gt;"",AB214&lt;&gt;"",AC214&gt;0,AD214&gt;0,AE214="통과",AF214="",AG214&lt;&gt;"",AH214&lt;&gt;"",OR(S214="자동",S214="수동",S214="자동+수동"),IF(OR(S214="자동",S214="자동+수동"),Z214="통과",TRUE),IF(OR(S214="수동",S214="자동+수동"),AA214="통과",TRUE)),"통과",IF(OR(Z214="실패",AA214="실패",AE214="실패"),"실패","보류"))</x:f>
        <x:v>보류</x:v>
      </x:c>
      <x:c r="AK214" s="5" t="str"/>
      <x:c r="AL214" s="5" t="str"/>
      <x:c r="AM214" s="5" t="str">
        <x:v>입력 v0.1 계획 주석은 original_plan_note에 보존. 최신 구현·시험·증빙은 연결 적용기록을 참조하며 전체 준수·인증을 주장하지 않음.</x:v>
      </x:c>
    </x:row>
    <x:row r="215" ht="26.399999618530273" hidden="0" customHeight="1">
      <x:c r="A215" s="5" t="str">
        <x:v>WCA-003</x:v>
      </x:c>
      <x:c r="B215" s="5" t="str">
        <x:v>WCAG 2.2 A·AA</x:v>
      </x:c>
      <x:c r="C215" s="5" t="str">
        <x:v>WCAG 2.2</x:v>
      </x:c>
      <x:c r="D215" s="5" t="str">
        <x:v>녹화영상 자막</x:v>
      </x:c>
      <x:c r="E215" s="5" t="str">
        <x:v>사전녹화 자막</x:v>
      </x:c>
      <x:c r="F215" s="5" t="str">
        <x:v>SRC-005</x:v>
      </x:c>
      <x:c r="G215" s="5" t="str">
        <x:v>2024-12-12</x:v>
      </x:c>
      <x:c r="H215" s="5" t="str">
        <x:v>1.2.2</x:v>
      </x:c>
      <x:c r="I215" s="5" t="str"/>
      <x:c r="J215" s="5" t="str">
        <x:v>국제 표준 목표</x:v>
      </x:c>
      <x:c r="K215" s="5" t="str">
        <x:v>A</x:v>
      </x:c>
      <x:c r="L215" s="5" t="str">
        <x:v>MUST(안)</x:v>
      </x:c>
      <x:c r="M215" s="10" t="str">
        <x:v>조건부</x:v>
      </x:c>
      <x:c r="N215" s="5" t="str">
        <x:v>현재 음성·녹화영상·라이브 콘텐츠 없음. 기능 추가 시 재판정</x:v>
      </x:c>
      <x:c r="O215" s="5" t="str">
        <x:v>현재 음성·녹화영상·라이브 콘텐츠 없음. 기능 추가 시 재판정</x:v>
      </x:c>
      <x:c r="P215" s="5" t="str">
        <x:v>S01~S08 / 해당 기능의 모든 화면·상태</x:v>
      </x:c>
      <x:c r="Q215" s="5" t="str">
        <x:v>영상 추가 시 말·중요 소리의 동기화 자막</x:v>
      </x:c>
      <x:c r="R215" s="5" t="str">
        <x:v>기능 존재 확인 후 수동검토</x:v>
      </x:c>
      <x:c r="S215" s="10" t="str">
        <x:v>수동</x:v>
      </x:c>
      <x:c r="T215" s="5" t="str">
        <x:v>개발·QA</x:v>
      </x:c>
      <x:c r="U215" s="5" t="str">
        <x:v>P1</x:v>
      </x:c>
      <x:c r="V215" s="10" t="str">
        <x:v>계획</x:v>
      </x:c>
      <x:c r="W215" s="5" t="str">
        <x:v>해당 미디어를 도입하지 않았다. 조건부 적용을 유지하며 영상·음성 추가 시 자막·대본·음성해설을 구현하고 실제 검사해야 한다.</x:v>
      </x:c>
      <x:c r="X215" s="5" t="str"/>
      <x:c r="Y215" s="5" t="str">
        <x:v>MAN-WCA-003</x:v>
      </x:c>
      <x:c r="Z215" s="10" t="str">
        <x:v>미실행</x:v>
      </x:c>
      <x:c r="AA215" s="10" t="str">
        <x:v>미실행</x:v>
      </x:c>
      <x:c r="AB215" s="5" t="str"/>
      <x:c r="AC215" s="5" t="n">
        <x:v>0</x:v>
      </x:c>
      <x:c r="AD215" s="5" t="n">
        <x:v>1</x:v>
      </x:c>
      <x:c r="AE215" s="10" t="str">
        <x:v>미실행</x:v>
      </x:c>
      <x:c r="AF215" s="5" t="str"/>
      <x:c r="AG215" s="5" t="str"/>
      <x:c r="AH215" s="5" t="str"/>
      <x:c r="AI215" s="10" t="str">
        <x:v>입력 기준 유지</x:v>
      </x:c>
      <x:c r="AJ215" s="5" t="str">
        <x:f>IF(AND(M215="적용",V215="구현",X215&lt;&gt;"",Y215&lt;&gt;"",AB215&lt;&gt;"",AC215&gt;0,AD215&gt;0,AE215="통과",AF215="",AG215&lt;&gt;"",AH215&lt;&gt;"",OR(S215="자동",S215="수동",S215="자동+수동"),IF(OR(S215="자동",S215="자동+수동"),Z215="통과",TRUE),IF(OR(S215="수동",S215="자동+수동"),AA215="통과",TRUE)),"통과",IF(OR(Z215="실패",AA215="실패",AE215="실패"),"실패","보류"))</x:f>
        <x:v>보류</x:v>
      </x:c>
      <x:c r="AK215" s="5" t="str"/>
      <x:c r="AL215" s="5" t="str"/>
      <x:c r="AM215" s="5" t="str">
        <x:v>입력 v0.1 계획 주석은 original_plan_note에 보존. 최신 구현·시험·증빙은 연결 적용기록을 참조하며 전체 준수·인증을 주장하지 않음.</x:v>
      </x:c>
    </x:row>
    <x:row r="216" ht="26.399999618530273" hidden="0" customHeight="1">
      <x:c r="A216" s="5" t="str">
        <x:v>WCA-004</x:v>
      </x:c>
      <x:c r="B216" s="5" t="str">
        <x:v>WCAG 2.2 A·AA</x:v>
      </x:c>
      <x:c r="C216" s="5" t="str">
        <x:v>WCAG 2.2</x:v>
      </x:c>
      <x:c r="D216" s="5" t="str">
        <x:v>녹화 시각정보 대안</x:v>
      </x:c>
      <x:c r="E216" s="5" t="str">
        <x:v>시각정보 설명 또는 매체대안</x:v>
      </x:c>
      <x:c r="F216" s="5" t="str">
        <x:v>SRC-005</x:v>
      </x:c>
      <x:c r="G216" s="5" t="str">
        <x:v>2024-12-12</x:v>
      </x:c>
      <x:c r="H216" s="5" t="str">
        <x:v>1.2.3</x:v>
      </x:c>
      <x:c r="I216" s="5" t="str"/>
      <x:c r="J216" s="5" t="str">
        <x:v>국제 표준 목표</x:v>
      </x:c>
      <x:c r="K216" s="5" t="str">
        <x:v>A</x:v>
      </x:c>
      <x:c r="L216" s="5" t="str">
        <x:v>MUST(안)</x:v>
      </x:c>
      <x:c r="M216" s="10" t="str">
        <x:v>조건부</x:v>
      </x:c>
      <x:c r="N216" s="5" t="str">
        <x:v>현재 음성·녹화영상·라이브 콘텐츠 없음. 기능 추가 시 재판정</x:v>
      </x:c>
      <x:c r="O216" s="5" t="str">
        <x:v>현재 음성·녹화영상·라이브 콘텐츠 없음. 기능 추가 시 재판정</x:v>
      </x:c>
      <x:c r="P216" s="5" t="str">
        <x:v>S01~S08 / 해당 기능의 모든 화면·상태</x:v>
      </x:c>
      <x:c r="Q216" s="5" t="str">
        <x:v>영상 추가 시 화면행동 설명·등가 대안</x:v>
      </x:c>
      <x:c r="R216" s="5" t="str">
        <x:v>기능 존재 확인 후 수동검토</x:v>
      </x:c>
      <x:c r="S216" s="10" t="str">
        <x:v>수동</x:v>
      </x:c>
      <x:c r="T216" s="5" t="str">
        <x:v>개발·QA</x:v>
      </x:c>
      <x:c r="U216" s="5" t="str">
        <x:v>P1</x:v>
      </x:c>
      <x:c r="V216" s="10" t="str">
        <x:v>계획</x:v>
      </x:c>
      <x:c r="W216" s="5" t="str">
        <x:v>해당 미디어를 도입하지 않았다. 조건부 적용을 유지하며 영상·음성 추가 시 자막·대본·음성해설을 구현하고 실제 검사해야 한다.</x:v>
      </x:c>
      <x:c r="X216" s="5" t="str"/>
      <x:c r="Y216" s="5" t="str">
        <x:v>MAN-WCA-004</x:v>
      </x:c>
      <x:c r="Z216" s="10" t="str">
        <x:v>미실행</x:v>
      </x:c>
      <x:c r="AA216" s="10" t="str">
        <x:v>미실행</x:v>
      </x:c>
      <x:c r="AB216" s="5" t="str"/>
      <x:c r="AC216" s="5" t="n">
        <x:v>0</x:v>
      </x:c>
      <x:c r="AD216" s="5" t="n">
        <x:v>1</x:v>
      </x:c>
      <x:c r="AE216" s="10" t="str">
        <x:v>미실행</x:v>
      </x:c>
      <x:c r="AF216" s="5" t="str"/>
      <x:c r="AG216" s="5" t="str"/>
      <x:c r="AH216" s="5" t="str"/>
      <x:c r="AI216" s="10" t="str">
        <x:v>입력 기준 유지</x:v>
      </x:c>
      <x:c r="AJ216" s="5" t="str">
        <x:f>IF(AND(M216="적용",V216="구현",X216&lt;&gt;"",Y216&lt;&gt;"",AB216&lt;&gt;"",AC216&gt;0,AD216&gt;0,AE216="통과",AF216="",AG216&lt;&gt;"",AH216&lt;&gt;"",OR(S216="자동",S216="수동",S216="자동+수동"),IF(OR(S216="자동",S216="자동+수동"),Z216="통과",TRUE),IF(OR(S216="수동",S216="자동+수동"),AA216="통과",TRUE)),"통과",IF(OR(Z216="실패",AA216="실패",AE216="실패"),"실패","보류"))</x:f>
        <x:v>보류</x:v>
      </x:c>
      <x:c r="AK216" s="5" t="str"/>
      <x:c r="AL216" s="5" t="str"/>
      <x:c r="AM216" s="5" t="str">
        <x:v>입력 v0.1 계획 주석은 original_plan_note에 보존. 최신 구현·시험·증빙은 연결 적용기록을 참조하며 전체 준수·인증을 주장하지 않음.</x:v>
      </x:c>
    </x:row>
    <x:row r="217" ht="26.399999618530273" hidden="0" customHeight="1">
      <x:c r="A217" s="5" t="str">
        <x:v>WCA-005</x:v>
      </x:c>
      <x:c r="B217" s="5" t="str">
        <x:v>WCAG 2.2 A·AA</x:v>
      </x:c>
      <x:c r="C217" s="5" t="str">
        <x:v>WCAG 2.2</x:v>
      </x:c>
      <x:c r="D217" s="5" t="str">
        <x:v>실시간 자막</x:v>
      </x:c>
      <x:c r="E217" s="5" t="str">
        <x:v>라이브 동기자막</x:v>
      </x:c>
      <x:c r="F217" s="5" t="str">
        <x:v>SRC-005</x:v>
      </x:c>
      <x:c r="G217" s="5" t="str">
        <x:v>2024-12-12</x:v>
      </x:c>
      <x:c r="H217" s="5" t="str">
        <x:v>1.2.4</x:v>
      </x:c>
      <x:c r="I217" s="5" t="str"/>
      <x:c r="J217" s="5" t="str">
        <x:v>국제 표준 목표</x:v>
      </x:c>
      <x:c r="K217" s="5" t="str">
        <x:v>AA</x:v>
      </x:c>
      <x:c r="L217" s="5" t="str">
        <x:v>MUST(안)</x:v>
      </x:c>
      <x:c r="M217" s="10" t="str">
        <x:v>조건부</x:v>
      </x:c>
      <x:c r="N217" s="5" t="str">
        <x:v>현재 음성·녹화영상·라이브 콘텐츠 없음. 기능 추가 시 재판정</x:v>
      </x:c>
      <x:c r="O217" s="5" t="str">
        <x:v>현재 음성·녹화영상·라이브 콘텐츠 없음. 기능 추가 시 재판정</x:v>
      </x:c>
      <x:c r="P217" s="5" t="str">
        <x:v>S01~S08 / 해당 기능의 모든 화면·상태</x:v>
      </x:c>
      <x:c r="Q217" s="5" t="str">
        <x:v>실시간 중계 추가 시 전문 자막 프로세스</x:v>
      </x:c>
      <x:c r="R217" s="5" t="str">
        <x:v>기능 존재 확인 후 수동검토</x:v>
      </x:c>
      <x:c r="S217" s="10" t="str">
        <x:v>수동</x:v>
      </x:c>
      <x:c r="T217" s="5" t="str">
        <x:v>개발·QA</x:v>
      </x:c>
      <x:c r="U217" s="5" t="str">
        <x:v>P1</x:v>
      </x:c>
      <x:c r="V217" s="10" t="str">
        <x:v>계획</x:v>
      </x:c>
      <x:c r="W217" s="5" t="str">
        <x:v>해당 미디어를 도입하지 않았다. 조건부 적용을 유지하며 영상·음성 추가 시 자막·대본·음성해설을 구현하고 실제 검사해야 한다.</x:v>
      </x:c>
      <x:c r="X217" s="5" t="str"/>
      <x:c r="Y217" s="5" t="str">
        <x:v>MAN-WCA-005</x:v>
      </x:c>
      <x:c r="Z217" s="10" t="str">
        <x:v>미실행</x:v>
      </x:c>
      <x:c r="AA217" s="10" t="str">
        <x:v>미실행</x:v>
      </x:c>
      <x:c r="AB217" s="5" t="str"/>
      <x:c r="AC217" s="5" t="n">
        <x:v>0</x:v>
      </x:c>
      <x:c r="AD217" s="5" t="n">
        <x:v>1</x:v>
      </x:c>
      <x:c r="AE217" s="10" t="str">
        <x:v>미실행</x:v>
      </x:c>
      <x:c r="AF217" s="5" t="str"/>
      <x:c r="AG217" s="5" t="str"/>
      <x:c r="AH217" s="5" t="str"/>
      <x:c r="AI217" s="10" t="str">
        <x:v>입력 기준 유지</x:v>
      </x:c>
      <x:c r="AJ217" s="5" t="str">
        <x:f>IF(AND(M217="적용",V217="구현",X217&lt;&gt;"",Y217&lt;&gt;"",AB217&lt;&gt;"",AC217&gt;0,AD217&gt;0,AE217="통과",AF217="",AG217&lt;&gt;"",AH217&lt;&gt;"",OR(S217="자동",S217="수동",S217="자동+수동"),IF(OR(S217="자동",S217="자동+수동"),Z217="통과",TRUE),IF(OR(S217="수동",S217="자동+수동"),AA217="통과",TRUE)),"통과",IF(OR(Z217="실패",AA217="실패",AE217="실패"),"실패","보류"))</x:f>
        <x:v>보류</x:v>
      </x:c>
      <x:c r="AK217" s="5" t="str"/>
      <x:c r="AL217" s="5" t="str"/>
      <x:c r="AM217" s="5" t="str">
        <x:v>입력 v0.1 계획 주석은 original_plan_note에 보존. 최신 구현·시험·증빙은 연결 적용기록을 참조하며 전체 준수·인증을 주장하지 않음.</x:v>
      </x:c>
    </x:row>
    <x:row r="218" ht="26.399999618530273" hidden="0" customHeight="1">
      <x:c r="A218" s="5" t="str">
        <x:v>WCA-006</x:v>
      </x:c>
      <x:c r="B218" s="5" t="str">
        <x:v>WCAG 2.2 A·AA</x:v>
      </x:c>
      <x:c r="C218" s="5" t="str">
        <x:v>WCAG 2.2</x:v>
      </x:c>
      <x:c r="D218" s="5" t="str">
        <x:v>녹화영상 음성해설</x:v>
      </x:c>
      <x:c r="E218" s="5" t="str">
        <x:v>시각정보 음성해설</x:v>
      </x:c>
      <x:c r="F218" s="5" t="str">
        <x:v>SRC-005</x:v>
      </x:c>
      <x:c r="G218" s="5" t="str">
        <x:v>2024-12-12</x:v>
      </x:c>
      <x:c r="H218" s="5" t="str">
        <x:v>1.2.5</x:v>
      </x:c>
      <x:c r="I218" s="5" t="str"/>
      <x:c r="J218" s="5" t="str">
        <x:v>국제 표준 목표</x:v>
      </x:c>
      <x:c r="K218" s="5" t="str">
        <x:v>AA</x:v>
      </x:c>
      <x:c r="L218" s="5" t="str">
        <x:v>MUST(안)</x:v>
      </x:c>
      <x:c r="M218" s="10" t="str">
        <x:v>조건부</x:v>
      </x:c>
      <x:c r="N218" s="5" t="str">
        <x:v>현재 음성·녹화영상·라이브 콘텐츠 없음. 기능 추가 시 재판정</x:v>
      </x:c>
      <x:c r="O218" s="5" t="str">
        <x:v>현재 음성·녹화영상·라이브 콘텐츠 없음. 기능 추가 시 재판정</x:v>
      </x:c>
      <x:c r="P218" s="5" t="str">
        <x:v>S01~S08 / 해당 기능의 모든 화면·상태</x:v>
      </x:c>
      <x:c r="Q218" s="5" t="str">
        <x:v>영상 추가 시 기본 오디오로 전달되지 않는 정보 해설</x:v>
      </x:c>
      <x:c r="R218" s="5" t="str">
        <x:v>기능 존재 확인 후 수동검토</x:v>
      </x:c>
      <x:c r="S218" s="10" t="str">
        <x:v>수동</x:v>
      </x:c>
      <x:c r="T218" s="5" t="str">
        <x:v>개발·QA</x:v>
      </x:c>
      <x:c r="U218" s="5" t="str">
        <x:v>P1</x:v>
      </x:c>
      <x:c r="V218" s="10" t="str">
        <x:v>계획</x:v>
      </x:c>
      <x:c r="W218" s="5" t="str">
        <x:v>해당 미디어를 도입하지 않았다. 조건부 적용을 유지하며 영상·음성 추가 시 자막·대본·음성해설을 구현하고 실제 검사해야 한다.</x:v>
      </x:c>
      <x:c r="X218" s="5" t="str"/>
      <x:c r="Y218" s="5" t="str">
        <x:v>MAN-WCA-006</x:v>
      </x:c>
      <x:c r="Z218" s="10" t="str">
        <x:v>미실행</x:v>
      </x:c>
      <x:c r="AA218" s="10" t="str">
        <x:v>미실행</x:v>
      </x:c>
      <x:c r="AB218" s="5" t="str"/>
      <x:c r="AC218" s="5" t="n">
        <x:v>0</x:v>
      </x:c>
      <x:c r="AD218" s="5" t="n">
        <x:v>1</x:v>
      </x:c>
      <x:c r="AE218" s="10" t="str">
        <x:v>미실행</x:v>
      </x:c>
      <x:c r="AF218" s="5" t="str"/>
      <x:c r="AG218" s="5" t="str"/>
      <x:c r="AH218" s="5" t="str"/>
      <x:c r="AI218" s="10" t="str">
        <x:v>입력 기준 유지</x:v>
      </x:c>
      <x:c r="AJ218" s="5" t="str">
        <x:f>IF(AND(M218="적용",V218="구현",X218&lt;&gt;"",Y218&lt;&gt;"",AB218&lt;&gt;"",AC218&gt;0,AD218&gt;0,AE218="통과",AF218="",AG218&lt;&gt;"",AH218&lt;&gt;"",OR(S218="자동",S218="수동",S218="자동+수동"),IF(OR(S218="자동",S218="자동+수동"),Z218="통과",TRUE),IF(OR(S218="수동",S218="자동+수동"),AA218="통과",TRUE)),"통과",IF(OR(Z218="실패",AA218="실패",AE218="실패"),"실패","보류"))</x:f>
        <x:v>보류</x:v>
      </x:c>
      <x:c r="AK218" s="5" t="str"/>
      <x:c r="AL218" s="5" t="str"/>
      <x:c r="AM218" s="5" t="str">
        <x:v>입력 v0.1 계획 주석은 original_plan_note에 보존. 최신 구현·시험·증빙은 연결 적용기록을 참조하며 전체 준수·인증을 주장하지 않음.</x:v>
      </x:c>
    </x:row>
    <x:row r="219" ht="39.599998474121094" hidden="0" customHeight="1">
      <x:c r="A219" s="5" t="str">
        <x:v>WCA-007</x:v>
      </x:c>
      <x:c r="B219" s="5" t="str">
        <x:v>WCAG 2.2 A·AA</x:v>
      </x:c>
      <x:c r="C219" s="5" t="str">
        <x:v>WCAG 2.2</x:v>
      </x:c>
      <x:c r="D219" s="5" t="str">
        <x:v>의미와 관계</x:v>
      </x:c>
      <x:c r="E219" s="5" t="str">
        <x:v>구조 관계 프로그램화</x:v>
      </x:c>
      <x:c r="F219" s="5" t="str">
        <x:v>SRC-005</x:v>
      </x:c>
      <x:c r="G219" s="5" t="str">
        <x:v>2024-12-12</x:v>
      </x:c>
      <x:c r="H219" s="5" t="str">
        <x:v>1.3.1</x:v>
      </x:c>
      <x:c r="I219" s="5" t="str"/>
      <x:c r="J219" s="5" t="str">
        <x:v>국제 표준 목표</x:v>
      </x:c>
      <x:c r="K219" s="5" t="str">
        <x:v>A</x:v>
      </x:c>
      <x:c r="L219" s="5" t="str">
        <x:v>MUST(안)</x:v>
      </x:c>
      <x:c r="M219" s="10" t="str">
        <x:v>적용</x:v>
      </x:c>
      <x:c r="N219" s="5" t="str">
        <x:v>현재 샘플의 회사 필수 기준으로 채택 제안</x:v>
      </x:c>
      <x:c r="O219" s="5" t="str">
        <x:v>관련 기능·적용 기관·계약 변경 시 재평가</x:v>
      </x:c>
      <x:c r="P219" s="5" t="str">
        <x:v>S01~S08 / 해당 기능의 모든 화면·상태</x:v>
      </x:c>
      <x:c r="Q219" s="5" t="str">
        <x:v>table/th/scope, fieldset/legend, 제목구조</x:v>
      </x:c>
      <x:c r="R219" s="5" t="str">
        <x:v>자동+수동</x:v>
      </x:c>
      <x:c r="S219" s="10" t="str">
        <x:v>자동+수동</x:v>
      </x:c>
      <x:c r="T219" s="5" t="str">
        <x:v>개발·QA</x:v>
      </x:c>
      <x:c r="U219" s="5" t="str">
        <x:v>P1</x:v>
      </x:c>
      <x:c r="V219" s="10" t="str">
        <x:v>구현</x:v>
      </x:c>
      <x:c r="W219" s="5" t="str">
        <x:v>caption/theader/scope 관계가 있는 table과 fieldset/legend·label·목록·정의목록의 HTML 의미구조를 사용한다.</x:v>
      </x:c>
      <x:c r="X219" s="5" t="str">
        <x:v>apps/web/src/App.tsx#RequestTable
apps/web/src/App.tsx#RequestWizard
apps/web/src/StandardsBrowser.tsx#StandardsBrowser</x:v>
      </x:c>
      <x:c r="Y219" s="5" t="str">
        <x:v>E2E-AXE
MAN-WCA-007</x:v>
      </x:c>
      <x:c r="Z219" s="10" t="str">
        <x:v>부분확인</x:v>
      </x:c>
      <x:c r="AA219" s="10" t="str">
        <x:v>미실행</x:v>
      </x:c>
      <x:c r="AB219" s="5" t="str">
        <x:v>E2E-AXE-2026-10-20T06-15-00-647Z</x:v>
      </x:c>
      <x:c r="AC219" s="5" t="n">
        <x:v>1</x:v>
      </x:c>
      <x:c r="AD219" s="5" t="n">
        <x:v>2</x:v>
      </x:c>
      <x:c r="AE219" s="10" t="str">
        <x:v>부분확인</x:v>
      </x:c>
      <x:c r="AF219" s="5" t="str"/>
      <x:c r="AG219" s="5" t="str"/>
      <x:c r="AH219" s="5" t="str"/>
      <x:c r="AI219" s="10" t="str">
        <x:v>입력 기준 유지</x:v>
      </x:c>
      <x:c r="AJ219" s="5" t="str">
        <x:f>IF(AND(M219="적용",V219="구현",X219&lt;&gt;"",Y219&lt;&gt;"",AB219&lt;&gt;"",AC219&gt;0,AD219&gt;0,AE219="통과",AF219="",AG219&lt;&gt;"",AH219&lt;&gt;"",OR(S219="자동",S219="수동",S219="자동+수동"),IF(OR(S219="자동",S219="자동+수동"),Z219="통과",TRUE),IF(OR(S219="수동",S219="자동+수동"),AA219="통과",TRUE)),"통과",IF(OR(Z219="실패",AA219="실패",AE219="실패"),"실패","보류"))</x:f>
        <x:v>보류</x:v>
      </x:c>
      <x:c r="AK219" s="5" t="str"/>
      <x:c r="AL219" s="5" t="str"/>
      <x:c r="AM219" s="5" t="str">
        <x:v>입력 v0.1 계획 주석은 original_plan_note에 보존. 최신 구현·시험·증빙은 연결 적용기록을 참조하며 전체 준수·인증을 주장하지 않음.</x:v>
      </x:c>
    </x:row>
    <x:row r="220" ht="39.599998474121094" hidden="0" customHeight="1">
      <x:c r="A220" s="5" t="str">
        <x:v>WCA-008</x:v>
      </x:c>
      <x:c r="B220" s="5" t="str">
        <x:v>WCAG 2.2 A·AA</x:v>
      </x:c>
      <x:c r="C220" s="5" t="str">
        <x:v>WCAG 2.2</x:v>
      </x:c>
      <x:c r="D220" s="5" t="str">
        <x:v>읽기 순서</x:v>
      </x:c>
      <x:c r="E220" s="5" t="str">
        <x:v>의미 유지 순서</x:v>
      </x:c>
      <x:c r="F220" s="5" t="str">
        <x:v>SRC-005</x:v>
      </x:c>
      <x:c r="G220" s="5" t="str">
        <x:v>2024-12-12</x:v>
      </x:c>
      <x:c r="H220" s="5" t="str">
        <x:v>1.3.2</x:v>
      </x:c>
      <x:c r="I220" s="5" t="str"/>
      <x:c r="J220" s="5" t="str">
        <x:v>국제 표준 목표</x:v>
      </x:c>
      <x:c r="K220" s="5" t="str">
        <x:v>A</x:v>
      </x:c>
      <x:c r="L220" s="5" t="str">
        <x:v>MUST(안)</x:v>
      </x:c>
      <x:c r="M220" s="10" t="str">
        <x:v>적용</x:v>
      </x:c>
      <x:c r="N220" s="5" t="str">
        <x:v>현재 샘플의 회사 필수 기준으로 채택 제안</x:v>
      </x:c>
      <x:c r="O220" s="5" t="str">
        <x:v>관련 기능·적용 기관·계약 변경 시 재평가</x:v>
      </x:c>
      <x:c r="P220" s="5" t="str">
        <x:v>S01~S08 / 해당 기능의 모든 화면·상태</x:v>
      </x:c>
      <x:c r="Q220" s="5" t="str">
        <x:v>DOM과 시각순서 일치</x:v>
      </x:c>
      <x:c r="R220" s="5" t="str">
        <x:v>수동</x:v>
      </x:c>
      <x:c r="S220" s="10" t="str">
        <x:v>수동</x:v>
      </x:c>
      <x:c r="T220" s="5" t="str">
        <x:v>개발·QA</x:v>
      </x:c>
      <x:c r="U220" s="5" t="str">
        <x:v>P1</x:v>
      </x:c>
      <x:c r="V220" s="10" t="str">
        <x:v>구현</x:v>
      </x:c>
      <x:c r="W220" s="5" t="str">
        <x:v>탐색→페이지제목→내용→푸터와 단계/오류/입력/작업의 논리적인 DOM 순서를 유지한다. 반응형은 이 순서를 재배열하지 않는다.</x:v>
      </x:c>
      <x:c r="X220" s="5" t="str">
        <x:v>apps/web/src/App.tsx#App
apps/web/src/App.tsx#RequestWizard
apps/web/src/styles.css</x:v>
      </x:c>
      <x:c r="Y220" s="5" t="str">
        <x:v>MAN-WCA-008</x:v>
      </x:c>
      <x:c r="Z220" s="10" t="str">
        <x:v>미실행</x:v>
      </x:c>
      <x:c r="AA220" s="10" t="str">
        <x:v>미실행</x:v>
      </x:c>
      <x:c r="AB220" s="5" t="str"/>
      <x:c r="AC220" s="5" t="n">
        <x:v>0</x:v>
      </x:c>
      <x:c r="AD220" s="5" t="n">
        <x:v>1</x:v>
      </x:c>
      <x:c r="AE220" s="10" t="str">
        <x:v>미실행</x:v>
      </x:c>
      <x:c r="AF220" s="5" t="str"/>
      <x:c r="AG220" s="5" t="str"/>
      <x:c r="AH220" s="5" t="str"/>
      <x:c r="AI220" s="10" t="str">
        <x:v>입력 기준 유지</x:v>
      </x:c>
      <x:c r="AJ220" s="5" t="str">
        <x:f>IF(AND(M220="적용",V220="구현",X220&lt;&gt;"",Y220&lt;&gt;"",AB220&lt;&gt;"",AC220&gt;0,AD220&gt;0,AE220="통과",AF220="",AG220&lt;&gt;"",AH220&lt;&gt;"",OR(S220="자동",S220="수동",S220="자동+수동"),IF(OR(S220="자동",S220="자동+수동"),Z220="통과",TRUE),IF(OR(S220="수동",S220="자동+수동"),AA220="통과",TRUE)),"통과",IF(OR(Z220="실패",AA220="실패",AE220="실패"),"실패","보류"))</x:f>
        <x:v>보류</x:v>
      </x:c>
      <x:c r="AK220" s="5" t="str"/>
      <x:c r="AL220" s="5" t="str"/>
      <x:c r="AM220" s="5" t="str">
        <x:v>입력 v0.1 계획 주석은 original_plan_note에 보존. 최신 구현·시험·증빙은 연결 적용기록을 참조하며 전체 준수·인증을 주장하지 않음.</x:v>
      </x:c>
    </x:row>
    <x:row r="221" ht="39.599998474121094" hidden="0" customHeight="1">
      <x:c r="A221" s="5" t="str">
        <x:v>WCA-009</x:v>
      </x:c>
      <x:c r="B221" s="5" t="str">
        <x:v>WCAG 2.2 A·AA</x:v>
      </x:c>
      <x:c r="C221" s="5" t="str">
        <x:v>WCAG 2.2</x:v>
      </x:c>
      <x:c r="D221" s="5" t="str">
        <x:v>감각에 독립적인 지시</x:v>
      </x:c>
      <x:c r="E221" s="5" t="str">
        <x:v>감각 단서 보완</x:v>
      </x:c>
      <x:c r="F221" s="5" t="str">
        <x:v>SRC-005</x:v>
      </x:c>
      <x:c r="G221" s="5" t="str">
        <x:v>2024-12-12</x:v>
      </x:c>
      <x:c r="H221" s="5" t="str">
        <x:v>1.3.3</x:v>
      </x:c>
      <x:c r="I221" s="5" t="str"/>
      <x:c r="J221" s="5" t="str">
        <x:v>국제 표준 목표</x:v>
      </x:c>
      <x:c r="K221" s="5" t="str">
        <x:v>A</x:v>
      </x:c>
      <x:c r="L221" s="5" t="str">
        <x:v>MUST(안)</x:v>
      </x:c>
      <x:c r="M221" s="10" t="str">
        <x:v>적용</x:v>
      </x:c>
      <x:c r="N221" s="5" t="str">
        <x:v>현재 샘플의 회사 필수 기준으로 채택 제안</x:v>
      </x:c>
      <x:c r="O221" s="5" t="str">
        <x:v>관련 기능·적용 기관·계약 변경 시 재평가</x:v>
      </x:c>
      <x:c r="P221" s="5" t="str">
        <x:v>S01~S08 / 해당 기능의 모든 화면·상태</x:v>
      </x:c>
      <x:c r="Q221" s="5" t="str">
        <x:v>위치·색 대신 컨트롤 이름 병기</x:v>
      </x:c>
      <x:c r="R221" s="5" t="str">
        <x:v>수동</x:v>
      </x:c>
      <x:c r="S221" s="10" t="str">
        <x:v>수동</x:v>
      </x:c>
      <x:c r="T221" s="5" t="str">
        <x:v>개발·QA</x:v>
      </x:c>
      <x:c r="U221" s="5" t="str">
        <x:v>P1</x:v>
      </x:c>
      <x:c r="V221" s="10" t="str">
        <x:v>구현</x:v>
      </x:c>
      <x:c r="W221" s="5" t="str">
        <x:v>버튼 이름·필드명·수정방법을 한국어로 제공하고 위치·모양·색상만을 유일한 지시로 사용하지 않는다.</x:v>
      </x:c>
      <x:c r="X221" s="5" t="str">
        <x:v>apps/web/src/App.tsx#RequestWizard
apps/web/src/App.tsx#Help
apps/web/src/ui.tsx#Badge</x:v>
      </x:c>
      <x:c r="Y221" s="5" t="str">
        <x:v>MAN-WCA-009</x:v>
      </x:c>
      <x:c r="Z221" s="10" t="str">
        <x:v>미실행</x:v>
      </x:c>
      <x:c r="AA221" s="10" t="str">
        <x:v>미실행</x:v>
      </x:c>
      <x:c r="AB221" s="5" t="str"/>
      <x:c r="AC221" s="5" t="n">
        <x:v>0</x:v>
      </x:c>
      <x:c r="AD221" s="5" t="n">
        <x:v>1</x:v>
      </x:c>
      <x:c r="AE221" s="10" t="str">
        <x:v>미실행</x:v>
      </x:c>
      <x:c r="AF221" s="5" t="str"/>
      <x:c r="AG221" s="5" t="str"/>
      <x:c r="AH221" s="5" t="str"/>
      <x:c r="AI221" s="10" t="str">
        <x:v>입력 기준 유지</x:v>
      </x:c>
      <x:c r="AJ221" s="5" t="str">
        <x:f>IF(AND(M221="적용",V221="구현",X221&lt;&gt;"",Y221&lt;&gt;"",AB221&lt;&gt;"",AC221&gt;0,AD221&gt;0,AE221="통과",AF221="",AG221&lt;&gt;"",AH221&lt;&gt;"",OR(S221="자동",S221="수동",S221="자동+수동"),IF(OR(S221="자동",S221="자동+수동"),Z221="통과",TRUE),IF(OR(S221="수동",S221="자동+수동"),AA221="통과",TRUE)),"통과",IF(OR(Z221="실패",AA221="실패",AE221="실패"),"실패","보류"))</x:f>
        <x:v>보류</x:v>
      </x:c>
      <x:c r="AK221" s="5" t="str"/>
      <x:c r="AL221" s="5" t="str"/>
      <x:c r="AM221" s="5" t="str">
        <x:v>입력 v0.1 계획 주석은 original_plan_note에 보존. 최신 구현·시험·증빙은 연결 적용기록을 참조하며 전체 준수·인증을 주장하지 않음.</x:v>
      </x:c>
    </x:row>
    <x:row r="222" ht="26.399999618530273" hidden="0" customHeight="1">
      <x:c r="A222" s="5" t="str">
        <x:v>WCA-010</x:v>
      </x:c>
      <x:c r="B222" s="5" t="str">
        <x:v>WCAG 2.2 A·AA</x:v>
      </x:c>
      <x:c r="C222" s="5" t="str">
        <x:v>WCAG 2.2</x:v>
      </x:c>
      <x:c r="D222" s="5" t="str">
        <x:v>화면 방향</x:v>
      </x:c>
      <x:c r="E222" s="5" t="str">
        <x:v>회전 제약 방지</x:v>
      </x:c>
      <x:c r="F222" s="5" t="str">
        <x:v>SRC-005</x:v>
      </x:c>
      <x:c r="G222" s="5" t="str">
        <x:v>2024-12-12</x:v>
      </x:c>
      <x:c r="H222" s="5" t="str">
        <x:v>1.3.4</x:v>
      </x:c>
      <x:c r="I222" s="5" t="str"/>
      <x:c r="J222" s="5" t="str">
        <x:v>국제 표준 목표</x:v>
      </x:c>
      <x:c r="K222" s="5" t="str">
        <x:v>AA</x:v>
      </x:c>
      <x:c r="L222" s="5" t="str">
        <x:v>MUST(안)</x:v>
      </x:c>
      <x:c r="M222" s="10" t="str">
        <x:v>적용</x:v>
      </x:c>
      <x:c r="N222" s="5" t="str">
        <x:v>현재 샘플의 회사 필수 기준으로 채택 제안</x:v>
      </x:c>
      <x:c r="O222" s="5" t="str">
        <x:v>관련 기능·적용 기관·계약 변경 시 재평가</x:v>
      </x:c>
      <x:c r="P222" s="5" t="str">
        <x:v>S01~S08 / 해당 기능의 모든 화면·상태</x:v>
      </x:c>
      <x:c r="Q222" s="5" t="str">
        <x:v>가로·세로 모두 등록·첨부 가능</x:v>
      </x:c>
      <x:c r="R222" s="5" t="str">
        <x:v>수동</x:v>
      </x:c>
      <x:c r="S222" s="10" t="str">
        <x:v>수동</x:v>
      </x:c>
      <x:c r="T222" s="5" t="str">
        <x:v>개발·QA</x:v>
      </x:c>
      <x:c r="U222" s="5" t="str">
        <x:v>P1</x:v>
      </x:c>
      <x:c r="V222" s="10" t="str">
        <x:v>구현</x:v>
      </x:c>
      <x:c r="W222" s="5" t="str">
        <x:v>화면 방향 고정 API나 회전 제약을 사용하지 않고 가로·세로 폭에 따라 반응형 레이아웃이 동작한다.</x:v>
      </x:c>
      <x:c r="X222" s="5" t="str">
        <x:v>apps/web/src/styles.css</x:v>
      </x:c>
      <x:c r="Y222" s="5" t="str">
        <x:v>E2E-REFLOW
MAN-WCA-010</x:v>
      </x:c>
      <x:c r="Z222" s="10" t="str">
        <x:v>부분확인</x:v>
      </x:c>
      <x:c r="AA222" s="10" t="str">
        <x:v>미실행</x:v>
      </x:c>
      <x:c r="AB222" s="5" t="str">
        <x:v>E2E-REFLOW-2026-10-20T06-15-00-647Z</x:v>
      </x:c>
      <x:c r="AC222" s="5" t="n">
        <x:v>1</x:v>
      </x:c>
      <x:c r="AD222" s="5" t="n">
        <x:v>2</x:v>
      </x:c>
      <x:c r="AE222" s="10" t="str">
        <x:v>부분확인</x:v>
      </x:c>
      <x:c r="AF222" s="5" t="str"/>
      <x:c r="AG222" s="5" t="str"/>
      <x:c r="AH222" s="5" t="str"/>
      <x:c r="AI222" s="10" t="str">
        <x:v>입력 기준 유지</x:v>
      </x:c>
      <x:c r="AJ222" s="5" t="str">
        <x:f>IF(AND(M222="적용",V222="구현",X222&lt;&gt;"",Y222&lt;&gt;"",AB222&lt;&gt;"",AC222&gt;0,AD222&gt;0,AE222="통과",AF222="",AG222&lt;&gt;"",AH222&lt;&gt;"",OR(S222="자동",S222="수동",S222="자동+수동"),IF(OR(S222="자동",S222="자동+수동"),Z222="통과",TRUE),IF(OR(S222="수동",S222="자동+수동"),AA222="통과",TRUE)),"통과",IF(OR(Z222="실패",AA222="실패",AE222="실패"),"실패","보류"))</x:f>
        <x:v>보류</x:v>
      </x:c>
      <x:c r="AK222" s="5" t="str"/>
      <x:c r="AL222" s="5" t="str"/>
      <x:c r="AM222" s="5" t="str">
        <x:v>입력 v0.1 계획 주석은 original_plan_note에 보존. 최신 구현·시험·증빙은 연결 적용기록을 참조하며 전체 준수·인증을 주장하지 않음.</x:v>
      </x:c>
    </x:row>
    <x:row r="223" ht="26.399999618530273" hidden="0" customHeight="1">
      <x:c r="A223" s="5" t="str">
        <x:v>WCA-011</x:v>
      </x:c>
      <x:c r="B223" s="5" t="str">
        <x:v>WCAG 2.2 A·AA</x:v>
      </x:c>
      <x:c r="C223" s="5" t="str">
        <x:v>WCAG 2.2</x:v>
      </x:c>
      <x:c r="D223" s="5" t="str">
        <x:v>입력 목적</x:v>
      </x:c>
      <x:c r="E223" s="5" t="str">
        <x:v>개인정보 입력목적 식별</x:v>
      </x:c>
      <x:c r="F223" s="5" t="str">
        <x:v>SRC-005</x:v>
      </x:c>
      <x:c r="G223" s="5" t="str">
        <x:v>2024-12-12</x:v>
      </x:c>
      <x:c r="H223" s="5" t="str">
        <x:v>1.3.5</x:v>
      </x:c>
      <x:c r="I223" s="5" t="str"/>
      <x:c r="J223" s="5" t="str">
        <x:v>국제 표준 목표</x:v>
      </x:c>
      <x:c r="K223" s="5" t="str">
        <x:v>AA</x:v>
      </x:c>
      <x:c r="L223" s="5" t="str">
        <x:v>MUST(안)</x:v>
      </x:c>
      <x:c r="M223" s="10" t="str">
        <x:v>적용</x:v>
      </x:c>
      <x:c r="N223" s="5" t="str">
        <x:v>현재 샘플의 회사 필수 기준으로 채택 제안</x:v>
      </x:c>
      <x:c r="O223" s="5" t="str">
        <x:v>관련 기능·적용 기관·계약 변경 시 재평가</x:v>
      </x:c>
      <x:c r="P223" s="5" t="str">
        <x:v>S01~S08 / 해당 기능의 모든 화면·상태</x:v>
      </x:c>
      <x:c r="Q223" s="5" t="str">
        <x:v>이름·이메일 등 해당 필드 autocomplete 토큰</x:v>
      </x:c>
      <x:c r="R223" s="5" t="str">
        <x:v>자동+수동</x:v>
      </x:c>
      <x:c r="S223" s="10" t="str">
        <x:v>자동+수동</x:v>
      </x:c>
      <x:c r="T223" s="5" t="str">
        <x:v>개발·QA</x:v>
      </x:c>
      <x:c r="U223" s="5" t="str">
        <x:v>P1</x:v>
      </x:c>
      <x:c r="V223" s="10" t="str">
        <x:v>구현</x:v>
      </x:c>
      <x:c r="W223" s="5" t="str">
        <x:v>로그인 계정·비밀번호 입력에 autocomplete=username/current-password 및 email/password 타입을 명시한다. 추가 개인 프로필 필드는 수집하지 않는다.</x:v>
      </x:c>
      <x:c r="X223" s="5" t="str">
        <x:v>apps/web/src/App.tsx#Login</x:v>
      </x:c>
      <x:c r="Y223" s="5" t="str">
        <x:v>MAN-WCA-011</x:v>
      </x:c>
      <x:c r="Z223" s="10" t="str">
        <x:v>미실행</x:v>
      </x:c>
      <x:c r="AA223" s="10" t="str">
        <x:v>미실행</x:v>
      </x:c>
      <x:c r="AB223" s="5" t="str"/>
      <x:c r="AC223" s="5" t="n">
        <x:v>0</x:v>
      </x:c>
      <x:c r="AD223" s="5" t="n">
        <x:v>1</x:v>
      </x:c>
      <x:c r="AE223" s="10" t="str">
        <x:v>미실행</x:v>
      </x:c>
      <x:c r="AF223" s="5" t="str"/>
      <x:c r="AG223" s="5" t="str"/>
      <x:c r="AH223" s="5" t="str"/>
      <x:c r="AI223" s="10" t="str">
        <x:v>입력 기준 유지</x:v>
      </x:c>
      <x:c r="AJ223" s="5" t="str">
        <x:f>IF(AND(M223="적용",V223="구현",X223&lt;&gt;"",Y223&lt;&gt;"",AB223&lt;&gt;"",AC223&gt;0,AD223&gt;0,AE223="통과",AF223="",AG223&lt;&gt;"",AH223&lt;&gt;"",OR(S223="자동",S223="수동",S223="자동+수동"),IF(OR(S223="자동",S223="자동+수동"),Z223="통과",TRUE),IF(OR(S223="수동",S223="자동+수동"),AA223="통과",TRUE)),"통과",IF(OR(Z223="실패",AA223="실패",AE223="실패"),"실패","보류"))</x:f>
        <x:v>보류</x:v>
      </x:c>
      <x:c r="AK223" s="5" t="str"/>
      <x:c r="AL223" s="5" t="str"/>
      <x:c r="AM223" s="5" t="str">
        <x:v>입력 v0.1 계획 주석은 original_plan_note에 보존. 최신 구현·시험·증빙은 연결 적용기록을 참조하며 전체 준수·인증을 주장하지 않음.</x:v>
      </x:c>
    </x:row>
    <x:row r="224" ht="39.599998474121094" hidden="0" customHeight="1">
      <x:c r="A224" s="5" t="str">
        <x:v>WCA-012</x:v>
      </x:c>
      <x:c r="B224" s="5" t="str">
        <x:v>WCAG 2.2 A·AA</x:v>
      </x:c>
      <x:c r="C224" s="5" t="str">
        <x:v>WCAG 2.2</x:v>
      </x:c>
      <x:c r="D224" s="5" t="str">
        <x:v>색상 대안</x:v>
      </x:c>
      <x:c r="E224" s="5" t="str">
        <x:v>색 단독정보 방지</x:v>
      </x:c>
      <x:c r="F224" s="5" t="str">
        <x:v>SRC-005</x:v>
      </x:c>
      <x:c r="G224" s="5" t="str">
        <x:v>2024-12-12</x:v>
      </x:c>
      <x:c r="H224" s="5" t="str">
        <x:v>1.4.1</x:v>
      </x:c>
      <x:c r="I224" s="5" t="str"/>
      <x:c r="J224" s="5" t="str">
        <x:v>국제 표준 목표</x:v>
      </x:c>
      <x:c r="K224" s="5" t="str">
        <x:v>A</x:v>
      </x:c>
      <x:c r="L224" s="5" t="str">
        <x:v>MUST(안)</x:v>
      </x:c>
      <x:c r="M224" s="10" t="str">
        <x:v>적용</x:v>
      </x:c>
      <x:c r="N224" s="5" t="str">
        <x:v>현재 샘플의 회사 필수 기준으로 채택 제안</x:v>
      </x:c>
      <x:c r="O224" s="5" t="str">
        <x:v>관련 기능·적용 기관·계약 변경 시 재평가</x:v>
      </x:c>
      <x:c r="P224" s="5" t="str">
        <x:v>S01~S08 / 해당 기능의 모든 화면·상태</x:v>
      </x:c>
      <x:c r="Q224" s="5" t="str">
        <x:v>상태·오류·필수여부에 텍스트 추가</x:v>
      </x:c>
      <x:c r="R224" s="5" t="str">
        <x:v>수동</x:v>
      </x:c>
      <x:c r="S224" s="10" t="str">
        <x:v>수동</x:v>
      </x:c>
      <x:c r="T224" s="5" t="str">
        <x:v>개발·QA</x:v>
      </x:c>
      <x:c r="U224" s="5" t="str">
        <x:v>P1</x:v>
      </x:c>
      <x:c r="V224" s="10" t="str">
        <x:v>구현</x:v>
      </x:c>
      <x:c r="W224" s="5" t="str">
        <x:v>상태 이름·체크 아이콘·오류문구·필수 텍스트를 함께 표시하여 색상을 제거해도 의미가 남는다.</x:v>
      </x:c>
      <x:c r="X224" s="5" t="str">
        <x:v>apps/web/src/ui.tsx#Badge
apps/web/src/ui.tsx#ErrorBox
apps/web/src/App.tsx#RequestWizard</x:v>
      </x:c>
      <x:c r="Y224" s="5" t="str">
        <x:v>MAN-WCA-012</x:v>
      </x:c>
      <x:c r="Z224" s="10" t="str">
        <x:v>미실행</x:v>
      </x:c>
      <x:c r="AA224" s="10" t="str">
        <x:v>미실행</x:v>
      </x:c>
      <x:c r="AB224" s="5" t="str"/>
      <x:c r="AC224" s="5" t="n">
        <x:v>0</x:v>
      </x:c>
      <x:c r="AD224" s="5" t="n">
        <x:v>1</x:v>
      </x:c>
      <x:c r="AE224" s="10" t="str">
        <x:v>미실행</x:v>
      </x:c>
      <x:c r="AF224" s="5" t="str"/>
      <x:c r="AG224" s="5" t="str"/>
      <x:c r="AH224" s="5" t="str"/>
      <x:c r="AI224" s="10" t="str">
        <x:v>입력 기준 유지</x:v>
      </x:c>
      <x:c r="AJ224" s="5" t="str">
        <x:f>IF(AND(M224="적용",V224="구현",X224&lt;&gt;"",Y224&lt;&gt;"",AB224&lt;&gt;"",AC224&gt;0,AD224&gt;0,AE224="통과",AF224="",AG224&lt;&gt;"",AH224&lt;&gt;"",OR(S224="자동",S224="수동",S224="자동+수동"),IF(OR(S224="자동",S224="자동+수동"),Z224="통과",TRUE),IF(OR(S224="수동",S224="자동+수동"),AA224="통과",TRUE)),"통과",IF(OR(Z224="실패",AA224="실패",AE224="실패"),"실패","보류"))</x:f>
        <x:v>보류</x:v>
      </x:c>
      <x:c r="AK224" s="5" t="str"/>
      <x:c r="AL224" s="5" t="str"/>
      <x:c r="AM224" s="5" t="str">
        <x:v>입력 v0.1 계획 주석은 original_plan_note에 보존. 최신 구현·시험·증빙은 연결 적용기록을 참조하며 전체 준수·인증을 주장하지 않음.</x:v>
      </x:c>
    </x:row>
    <x:row r="225" ht="26.399999618530273" hidden="0" customHeight="1">
      <x:c r="A225" s="5" t="str">
        <x:v>WCA-013</x:v>
      </x:c>
      <x:c r="B225" s="5" t="str">
        <x:v>WCAG 2.2 A·AA</x:v>
      </x:c>
      <x:c r="C225" s="5" t="str">
        <x:v>WCAG 2.2</x:v>
      </x:c>
      <x:c r="D225" s="5" t="str">
        <x:v>자동음성 제어</x:v>
      </x:c>
      <x:c r="E225" s="5" t="str">
        <x:v>자동음성 통제</x:v>
      </x:c>
      <x:c r="F225" s="5" t="str">
        <x:v>SRC-005</x:v>
      </x:c>
      <x:c r="G225" s="5" t="str">
        <x:v>2024-12-12</x:v>
      </x:c>
      <x:c r="H225" s="5" t="str">
        <x:v>1.4.2</x:v>
      </x:c>
      <x:c r="I225" s="5" t="str"/>
      <x:c r="J225" s="5" t="str">
        <x:v>국제 표준 목표</x:v>
      </x:c>
      <x:c r="K225" s="5" t="str">
        <x:v>A</x:v>
      </x:c>
      <x:c r="L225" s="5" t="str">
        <x:v>MUST(안)</x:v>
      </x:c>
      <x:c r="M225" s="10" t="str">
        <x:v>적용</x:v>
      </x:c>
      <x:c r="N225" s="5" t="str">
        <x:v>현재 샘플의 회사 필수 기준으로 채택 제안</x:v>
      </x:c>
      <x:c r="O225" s="5" t="str">
        <x:v>관련 기능·적용 기관·계약 변경 시 재평가</x:v>
      </x:c>
      <x:c r="P225" s="5" t="str">
        <x:v>S01~S08 / 해당 기능의 모든 화면·상태</x:v>
      </x:c>
      <x:c r="Q225" s="5" t="str">
        <x:v>샘플 자동음성 사용 안 함</x:v>
      </x:c>
      <x:c r="R225" s="5" t="str">
        <x:v>수동</x:v>
      </x:c>
      <x:c r="S225" s="10" t="str">
        <x:v>수동</x:v>
      </x:c>
      <x:c r="T225" s="5" t="str">
        <x:v>개발·QA</x:v>
      </x:c>
      <x:c r="U225" s="5" t="str">
        <x:v>P1</x:v>
      </x:c>
      <x:c r="V225" s="10" t="str">
        <x:v>구현</x:v>
      </x:c>
      <x:c r="W225" s="5" t="str">
        <x:v>음성·음악 자동재생 요소를 사용하지 않는다. 알림은 시각적 텍스트/프로그램 상태로 제공한다.</x:v>
      </x:c>
      <x:c r="X225" s="5" t="str">
        <x:v>apps/web/src/App.tsx#App</x:v>
      </x:c>
      <x:c r="Y225" s="5" t="str">
        <x:v>MAN-WCA-013</x:v>
      </x:c>
      <x:c r="Z225" s="10" t="str">
        <x:v>미실행</x:v>
      </x:c>
      <x:c r="AA225" s="10" t="str">
        <x:v>미실행</x:v>
      </x:c>
      <x:c r="AB225" s="5" t="str"/>
      <x:c r="AC225" s="5" t="n">
        <x:v>0</x:v>
      </x:c>
      <x:c r="AD225" s="5" t="n">
        <x:v>1</x:v>
      </x:c>
      <x:c r="AE225" s="10" t="str">
        <x:v>미실행</x:v>
      </x:c>
      <x:c r="AF225" s="5" t="str"/>
      <x:c r="AG225" s="5" t="str"/>
      <x:c r="AH225" s="5" t="str"/>
      <x:c r="AI225" s="10" t="str">
        <x:v>입력 기준 유지</x:v>
      </x:c>
      <x:c r="AJ225" s="5" t="str">
        <x:f>IF(AND(M225="적용",V225="구현",X225&lt;&gt;"",Y225&lt;&gt;"",AB225&lt;&gt;"",AC225&gt;0,AD225&gt;0,AE225="통과",AF225="",AG225&lt;&gt;"",AH225&lt;&gt;"",OR(S225="자동",S225="수동",S225="자동+수동"),IF(OR(S225="자동",S225="자동+수동"),Z225="통과",TRUE),IF(OR(S225="수동",S225="자동+수동"),AA225="통과",TRUE)),"통과",IF(OR(Z225="실패",AA225="실패",AE225="실패"),"실패","보류"))</x:f>
        <x:v>보류</x:v>
      </x:c>
      <x:c r="AK225" s="5" t="str"/>
      <x:c r="AL225" s="5" t="str"/>
      <x:c r="AM225" s="5" t="str">
        <x:v>입력 v0.1 계획 주석은 original_plan_note에 보존. 최신 구현·시험·증빙은 연결 적용기록을 참조하며 전체 준수·인증을 주장하지 않음.</x:v>
      </x:c>
    </x:row>
    <x:row r="226" ht="26.399999618530273" hidden="0" customHeight="1">
      <x:c r="A226" s="5" t="str">
        <x:v>WCA-014</x:v>
      </x:c>
      <x:c r="B226" s="5" t="str">
        <x:v>WCAG 2.2 A·AA</x:v>
      </x:c>
      <x:c r="C226" s="5" t="str">
        <x:v>WCAG 2.2</x:v>
      </x:c>
      <x:c r="D226" s="5" t="str">
        <x:v>문자 대비</x:v>
      </x:c>
      <x:c r="E226" s="5" t="str">
        <x:v>최소 문자대비</x:v>
      </x:c>
      <x:c r="F226" s="5" t="str">
        <x:v>SRC-005</x:v>
      </x:c>
      <x:c r="G226" s="5" t="str">
        <x:v>2024-12-12</x:v>
      </x:c>
      <x:c r="H226" s="5" t="str">
        <x:v>1.4.3</x:v>
      </x:c>
      <x:c r="I226" s="5" t="str"/>
      <x:c r="J226" s="5" t="str">
        <x:v>국제 표준 목표</x:v>
      </x:c>
      <x:c r="K226" s="5" t="str">
        <x:v>AA</x:v>
      </x:c>
      <x:c r="L226" s="5" t="str">
        <x:v>MUST(안)</x:v>
      </x:c>
      <x:c r="M226" s="10" t="str">
        <x:v>적용</x:v>
      </x:c>
      <x:c r="N226" s="5" t="str">
        <x:v>현재 샘플의 회사 필수 기준으로 채택 제안</x:v>
      </x:c>
      <x:c r="O226" s="5" t="str">
        <x:v>관련 기능·적용 기관·계약 변경 시 재평가</x:v>
      </x:c>
      <x:c r="P226" s="5" t="str">
        <x:v>S01~S08 / 해당 기능의 모든 화면·상태</x:v>
      </x:c>
      <x:c r="Q226" s="5" t="str">
        <x:v>일반4.5:1, 큰 글자3:1, 예외개별검토</x:v>
      </x:c>
      <x:c r="R226" s="5" t="str">
        <x:v>자동+수동</x:v>
      </x:c>
      <x:c r="S226" s="10" t="str">
        <x:v>자동+수동</x:v>
      </x:c>
      <x:c r="T226" s="5" t="str">
        <x:v>개발·QA</x:v>
      </x:c>
      <x:c r="U226" s="5" t="str">
        <x:v>P1</x:v>
      </x:c>
      <x:c r="V226" s="10" t="str">
        <x:v>진행</x:v>
      </x:c>
      <x:c r="W226" s="5" t="str">
        <x:v>기본 색상 토큰·입력/조작 경계를 정의하고 axe에서 탐지된 대비 오류를 수정했다. 모든 상태의 텍스트·비텍스트 역할별 수동 전수 대비 판정은 남아 있다.</x:v>
      </x:c>
      <x:c r="X226" s="5" t="str">
        <x:v>packages/ui/tokens.css
apps/web/src/styles.css</x:v>
      </x:c>
      <x:c r="Y226" s="5" t="str">
        <x:v>E2E-AXE
MAN-WCA-014</x:v>
      </x:c>
      <x:c r="Z226" s="10" t="str">
        <x:v>부분확인</x:v>
      </x:c>
      <x:c r="AA226" s="10" t="str">
        <x:v>미실행</x:v>
      </x:c>
      <x:c r="AB226" s="5" t="str">
        <x:v>E2E-AXE-2026-10-20T06-15-00-647Z</x:v>
      </x:c>
      <x:c r="AC226" s="5" t="n">
        <x:v>1</x:v>
      </x:c>
      <x:c r="AD226" s="5" t="n">
        <x:v>2</x:v>
      </x:c>
      <x:c r="AE226" s="10" t="str">
        <x:v>부분확인</x:v>
      </x:c>
      <x:c r="AF226" s="5" t="str"/>
      <x:c r="AG226" s="5" t="str"/>
      <x:c r="AH226" s="5" t="str"/>
      <x:c r="AI226" s="10" t="str">
        <x:v>입력 기준 유지</x:v>
      </x:c>
      <x:c r="AJ226" s="5" t="str">
        <x:f>IF(AND(M226="적용",V226="구현",X226&lt;&gt;"",Y226&lt;&gt;"",AB226&lt;&gt;"",AC226&gt;0,AD226&gt;0,AE226="통과",AF226="",AG226&lt;&gt;"",AH226&lt;&gt;"",OR(S226="자동",S226="수동",S226="자동+수동"),IF(OR(S226="자동",S226="자동+수동"),Z226="통과",TRUE),IF(OR(S226="수동",S226="자동+수동"),AA226="통과",TRUE)),"통과",IF(OR(Z226="실패",AA226="실패",AE226="실패"),"실패","보류"))</x:f>
        <x:v>보류</x:v>
      </x:c>
      <x:c r="AK226" s="5" t="str"/>
      <x:c r="AL226" s="5" t="str"/>
      <x:c r="AM226" s="5" t="str">
        <x:v>입력 v0.1 계획 주석은 original_plan_note에 보존. 최신 구현·시험·증빙은 연결 적용기록을 참조하며 전체 준수·인증을 주장하지 않음.</x:v>
      </x:c>
    </x:row>
    <x:row r="227" ht="26.399999618530273" hidden="0" customHeight="1">
      <x:c r="A227" s="5" t="str">
        <x:v>WCA-015</x:v>
      </x:c>
      <x:c r="B227" s="5" t="str">
        <x:v>WCAG 2.2 A·AA</x:v>
      </x:c>
      <x:c r="C227" s="5" t="str">
        <x:v>WCAG 2.2</x:v>
      </x:c>
      <x:c r="D227" s="5" t="str">
        <x:v>글자 확대</x:v>
      </x:c>
      <x:c r="E227" s="5" t="str">
        <x:v>200% 글자 확대</x:v>
      </x:c>
      <x:c r="F227" s="5" t="str">
        <x:v>SRC-005</x:v>
      </x:c>
      <x:c r="G227" s="5" t="str">
        <x:v>2024-12-12</x:v>
      </x:c>
      <x:c r="H227" s="5" t="str">
        <x:v>1.4.4</x:v>
      </x:c>
      <x:c r="I227" s="5" t="str"/>
      <x:c r="J227" s="5" t="str">
        <x:v>국제 표준 목표</x:v>
      </x:c>
      <x:c r="K227" s="5" t="str">
        <x:v>AA</x:v>
      </x:c>
      <x:c r="L227" s="5" t="str">
        <x:v>MUST(안)</x:v>
      </x:c>
      <x:c r="M227" s="10" t="str">
        <x:v>적용</x:v>
      </x:c>
      <x:c r="N227" s="5" t="str">
        <x:v>현재 샘플의 회사 필수 기준으로 채택 제안</x:v>
      </x:c>
      <x:c r="O227" s="5" t="str">
        <x:v>관련 기능·적용 기관·계약 변경 시 재평가</x:v>
      </x:c>
      <x:c r="P227" s="5" t="str">
        <x:v>S01~S08 / 해당 기능의 모든 화면·상태</x:v>
      </x:c>
      <x:c r="Q227" s="5" t="str">
        <x:v>텍스트만 확대 시 입력·도움말 잘림 금지</x:v>
      </x:c>
      <x:c r="R227" s="5" t="str">
        <x:v>수동</x:v>
      </x:c>
      <x:c r="S227" s="10" t="str">
        <x:v>수동</x:v>
      </x:c>
      <x:c r="T227" s="5" t="str">
        <x:v>개발·QA</x:v>
      </x:c>
      <x:c r="U227" s="5" t="str">
        <x:v>P1</x:v>
      </x:c>
      <x:c r="V227" s="10" t="str">
        <x:v>진행</x:v>
      </x:c>
      <x:c r="W227" s="5" t="str">
        <x:v>상대 글자 단위, 최소/유동 폭, 줄바꿈,320px 단열 배치와 표 대안을 구현했다. 200%/400%와 사용자 문자간격의 전체상태 수동 전수평가는 남아 있다.</x:v>
      </x:c>
      <x:c r="X227" s="5" t="str">
        <x:v>apps/web/src/styles.css
apps/web/src/App.tsx#Preferences</x:v>
      </x:c>
      <x:c r="Y227" s="5" t="str">
        <x:v>E2E-REFLOW
MAN-WCA-015</x:v>
      </x:c>
      <x:c r="Z227" s="10" t="str">
        <x:v>부분확인</x:v>
      </x:c>
      <x:c r="AA227" s="10" t="str">
        <x:v>미실행</x:v>
      </x:c>
      <x:c r="AB227" s="5" t="str">
        <x:v>E2E-REFLOW-2026-10-20T06-15-00-647Z</x:v>
      </x:c>
      <x:c r="AC227" s="5" t="n">
        <x:v>1</x:v>
      </x:c>
      <x:c r="AD227" s="5" t="n">
        <x:v>2</x:v>
      </x:c>
      <x:c r="AE227" s="10" t="str">
        <x:v>부분확인</x:v>
      </x:c>
      <x:c r="AF227" s="5" t="str"/>
      <x:c r="AG227" s="5" t="str"/>
      <x:c r="AH227" s="5" t="str"/>
      <x:c r="AI227" s="10" t="str">
        <x:v>입력 기준 유지</x:v>
      </x:c>
      <x:c r="AJ227" s="5" t="str">
        <x:f>IF(AND(M227="적용",V227="구현",X227&lt;&gt;"",Y227&lt;&gt;"",AB227&lt;&gt;"",AC227&gt;0,AD227&gt;0,AE227="통과",AF227="",AG227&lt;&gt;"",AH227&lt;&gt;"",OR(S227="자동",S227="수동",S227="자동+수동"),IF(OR(S227="자동",S227="자동+수동"),Z227="통과",TRUE),IF(OR(S227="수동",S227="자동+수동"),AA227="통과",TRUE)),"통과",IF(OR(Z227="실패",AA227="실패",AE227="실패"),"실패","보류"))</x:f>
        <x:v>보류</x:v>
      </x:c>
      <x:c r="AK227" s="5" t="str"/>
      <x:c r="AL227" s="5" t="str"/>
      <x:c r="AM227" s="5" t="str">
        <x:v>입력 v0.1 계획 주석은 original_plan_note에 보존. 최신 구현·시험·증빙은 연결 적용기록을 참조하며 전체 준수·인증을 주장하지 않음.</x:v>
      </x:c>
    </x:row>
    <x:row r="228" ht="39.599998474121094" hidden="0" customHeight="1">
      <x:c r="A228" s="5" t="str">
        <x:v>WCA-016</x:v>
      </x:c>
      <x:c r="B228" s="5" t="str">
        <x:v>WCAG 2.2 A·AA</x:v>
      </x:c>
      <x:c r="C228" s="5" t="str">
        <x:v>WCAG 2.2</x:v>
      </x:c>
      <x:c r="D228" s="5" t="str">
        <x:v>이미지 속 글자</x:v>
      </x:c>
      <x:c r="E228" s="5" t="str">
        <x:v>실제 텍스트 사용</x:v>
      </x:c>
      <x:c r="F228" s="5" t="str">
        <x:v>SRC-005</x:v>
      </x:c>
      <x:c r="G228" s="5" t="str">
        <x:v>2024-12-12</x:v>
      </x:c>
      <x:c r="H228" s="5" t="str">
        <x:v>1.4.5</x:v>
      </x:c>
      <x:c r="I228" s="5" t="str"/>
      <x:c r="J228" s="5" t="str">
        <x:v>국제 표준 목표</x:v>
      </x:c>
      <x:c r="K228" s="5" t="str">
        <x:v>AA</x:v>
      </x:c>
      <x:c r="L228" s="5" t="str">
        <x:v>MUST(안)</x:v>
      </x:c>
      <x:c r="M228" s="10" t="str">
        <x:v>적용</x:v>
      </x:c>
      <x:c r="N228" s="5" t="str">
        <x:v>현재 샘플의 회사 필수 기준으로 채택 제안</x:v>
      </x:c>
      <x:c r="O228" s="5" t="str">
        <x:v>관련 기능·적용 기관·계약 변경 시 재평가</x:v>
      </x:c>
      <x:c r="P228" s="5" t="str">
        <x:v>S01~S08 / 해당 기능의 모든 화면·상태</x:v>
      </x:c>
      <x:c r="Q228" s="5" t="str">
        <x:v>버튼·안내·통계를 이미지 텍스트로 제작하지 않음</x:v>
      </x:c>
      <x:c r="R228" s="5" t="str">
        <x:v>수동</x:v>
      </x:c>
      <x:c r="S228" s="10" t="str">
        <x:v>수동</x:v>
      </x:c>
      <x:c r="T228" s="5" t="str">
        <x:v>개발·QA</x:v>
      </x:c>
      <x:c r="U228" s="5" t="str">
        <x:v>P1</x:v>
      </x:c>
      <x:c r="V228" s="10" t="str">
        <x:v>구현</x:v>
      </x:c>
      <x:c r="W228" s="5" t="str">
        <x:v>서비스 이름·제목·설명·차트 수치를 실제 텍스트로 표시한다. 본문을 이미지로 렌더링하지 않는다.</x:v>
      </x:c>
      <x:c r="X228" s="5" t="str">
        <x:v>apps/web/src/App.tsx#App
apps/web/src/App.tsx#Dashboard
apps/web/src/App.tsx#Login</x:v>
      </x:c>
      <x:c r="Y228" s="5" t="str">
        <x:v>MAN-WCA-016</x:v>
      </x:c>
      <x:c r="Z228" s="10" t="str">
        <x:v>미실행</x:v>
      </x:c>
      <x:c r="AA228" s="10" t="str">
        <x:v>미실행</x:v>
      </x:c>
      <x:c r="AB228" s="5" t="str"/>
      <x:c r="AC228" s="5" t="n">
        <x:v>0</x:v>
      </x:c>
      <x:c r="AD228" s="5" t="n">
        <x:v>1</x:v>
      </x:c>
      <x:c r="AE228" s="10" t="str">
        <x:v>미실행</x:v>
      </x:c>
      <x:c r="AF228" s="5" t="str"/>
      <x:c r="AG228" s="5" t="str"/>
      <x:c r="AH228" s="5" t="str"/>
      <x:c r="AI228" s="10" t="str">
        <x:v>입력 기준 유지</x:v>
      </x:c>
      <x:c r="AJ228" s="5" t="str">
        <x:f>IF(AND(M228="적용",V228="구현",X228&lt;&gt;"",Y228&lt;&gt;"",AB228&lt;&gt;"",AC228&gt;0,AD228&gt;0,AE228="통과",AF228="",AG228&lt;&gt;"",AH228&lt;&gt;"",OR(S228="자동",S228="수동",S228="자동+수동"),IF(OR(S228="자동",S228="자동+수동"),Z228="통과",TRUE),IF(OR(S228="수동",S228="자동+수동"),AA228="통과",TRUE)),"통과",IF(OR(Z228="실패",AA228="실패",AE228="실패"),"실패","보류"))</x:f>
        <x:v>보류</x:v>
      </x:c>
      <x:c r="AK228" s="5" t="str"/>
      <x:c r="AL228" s="5" t="str"/>
      <x:c r="AM228" s="5" t="str">
        <x:v>입력 v0.1 계획 주석은 original_plan_note에 보존. 최신 구현·시험·증빙은 연결 적용기록을 참조하며 전체 준수·인증을 주장하지 않음.</x:v>
      </x:c>
    </x:row>
    <x:row r="229" ht="39.599998474121094" hidden="0" customHeight="1">
      <x:c r="A229" s="5" t="str">
        <x:v>WCA-017</x:v>
      </x:c>
      <x:c r="B229" s="5" t="str">
        <x:v>WCAG 2.2 A·AA</x:v>
      </x:c>
      <x:c r="C229" s="5" t="str">
        <x:v>WCAG 2.2</x:v>
      </x:c>
      <x:c r="D229" s="5" t="str">
        <x:v>재배치</x:v>
      </x:c>
      <x:c r="E229" s="5" t="str">
        <x:v>좁은화면 재배치</x:v>
      </x:c>
      <x:c r="F229" s="5" t="str">
        <x:v>SRC-005</x:v>
      </x:c>
      <x:c r="G229" s="5" t="str">
        <x:v>2024-12-12</x:v>
      </x:c>
      <x:c r="H229" s="5" t="str">
        <x:v>1.4.10</x:v>
      </x:c>
      <x:c r="I229" s="5" t="str"/>
      <x:c r="J229" s="5" t="str">
        <x:v>국제 표준 목표</x:v>
      </x:c>
      <x:c r="K229" s="5" t="str">
        <x:v>AA</x:v>
      </x:c>
      <x:c r="L229" s="5" t="str">
        <x:v>MUST(안)</x:v>
      </x:c>
      <x:c r="M229" s="10" t="str">
        <x:v>적용</x:v>
      </x:c>
      <x:c r="N229" s="5" t="str">
        <x:v>현재 샘플의 회사 필수 기준으로 채택 제안</x:v>
      </x:c>
      <x:c r="O229" s="5" t="str">
        <x:v>관련 기능·적용 기관·계약 변경 시 재평가</x:v>
      </x:c>
      <x:c r="P229" s="5" t="str">
        <x:v>S01~S08 / 해당 기능의 모든 화면·상태</x:v>
      </x:c>
      <x:c r="Q229" s="5" t="str">
        <x:v>320 CSS px 폭 또는 1280폭400% 확대에서 업무 완결</x:v>
      </x:c>
      <x:c r="R229" s="5" t="str">
        <x:v>수동</x:v>
      </x:c>
      <x:c r="S229" s="10" t="str">
        <x:v>수동</x:v>
      </x:c>
      <x:c r="T229" s="5" t="str">
        <x:v>개발·QA</x:v>
      </x:c>
      <x:c r="U229" s="5" t="str">
        <x:v>P1</x:v>
      </x:c>
      <x:c r="V229" s="10" t="str">
        <x:v>진행</x:v>
      </x:c>
      <x:c r="W229" s="5" t="str">
        <x:v>상대 글자 단위, 최소/유동 폭, 줄바꿈,320px 단열 배치와 표 대안을 구현했다. 200%/400%와 사용자 문자간격의 전체상태 수동 전수평가는 남아 있다.</x:v>
      </x:c>
      <x:c r="X229" s="5" t="str">
        <x:v>apps/web/src/styles.css
apps/web/src/App.tsx#Preferences</x:v>
      </x:c>
      <x:c r="Y229" s="5" t="str">
        <x:v>E2E-REFLOW
SCREEN-MOBILE
MAN-WCA-017</x:v>
      </x:c>
      <x:c r="Z229" s="10" t="str">
        <x:v>부분확인</x:v>
      </x:c>
      <x:c r="AA229" s="10" t="str">
        <x:v>미실행</x:v>
      </x:c>
      <x:c r="AB229" s="5" t="str">
        <x:v>E2E-REFLOW-2026-10-20T06-15-00-647Z
SCREEN-MOBILE-2026-10-20T06-15-00-647Z</x:v>
      </x:c>
      <x:c r="AC229" s="5" t="n">
        <x:v>2</x:v>
      </x:c>
      <x:c r="AD229" s="5" t="n">
        <x:v>3</x:v>
      </x:c>
      <x:c r="AE229" s="10" t="str">
        <x:v>부분확인</x:v>
      </x:c>
      <x:c r="AF229" s="5" t="str"/>
      <x:c r="AG229" s="5" t="str"/>
      <x:c r="AH229" s="5" t="str"/>
      <x:c r="AI229" s="10" t="str">
        <x:v>입력 기준 유지</x:v>
      </x:c>
      <x:c r="AJ229" s="5" t="str">
        <x:f>IF(AND(M229="적용",V229="구현",X229&lt;&gt;"",Y229&lt;&gt;"",AB229&lt;&gt;"",AC229&gt;0,AD229&gt;0,AE229="통과",AF229="",AG229&lt;&gt;"",AH229&lt;&gt;"",OR(S229="자동",S229="수동",S229="자동+수동"),IF(OR(S229="자동",S229="자동+수동"),Z229="통과",TRUE),IF(OR(S229="수동",S229="자동+수동"),AA229="통과",TRUE)),"통과",IF(OR(Z229="실패",AA229="실패",AE229="실패"),"실패","보류"))</x:f>
        <x:v>보류</x:v>
      </x:c>
      <x:c r="AK229" s="5" t="str"/>
      <x:c r="AL229" s="5" t="str"/>
      <x:c r="AM229" s="5" t="str">
        <x:v>입력 v0.1 계획 주석은 original_plan_note에 보존. 최신 구현·시험·증빙은 연결 적용기록을 참조하며 전체 준수·인증을 주장하지 않음.</x:v>
      </x:c>
    </x:row>
    <x:row r="230" ht="26.399999618530273" hidden="0" customHeight="1">
      <x:c r="A230" s="5" t="str">
        <x:v>WCA-018</x:v>
      </x:c>
      <x:c r="B230" s="5" t="str">
        <x:v>WCAG 2.2 A·AA</x:v>
      </x:c>
      <x:c r="C230" s="5" t="str">
        <x:v>WCAG 2.2</x:v>
      </x:c>
      <x:c r="D230" s="5" t="str">
        <x:v>제어·도형 대비</x:v>
      </x:c>
      <x:c r="E230" s="5" t="str">
        <x:v>필수 시각정보 대비</x:v>
      </x:c>
      <x:c r="F230" s="5" t="str">
        <x:v>SRC-005</x:v>
      </x:c>
      <x:c r="G230" s="5" t="str">
        <x:v>2024-12-12</x:v>
      </x:c>
      <x:c r="H230" s="5" t="str">
        <x:v>1.4.11</x:v>
      </x:c>
      <x:c r="I230" s="5" t="str"/>
      <x:c r="J230" s="5" t="str">
        <x:v>국제 표준 목표</x:v>
      </x:c>
      <x:c r="K230" s="5" t="str">
        <x:v>AA</x:v>
      </x:c>
      <x:c r="L230" s="5" t="str">
        <x:v>MUST(안)</x:v>
      </x:c>
      <x:c r="M230" s="10" t="str">
        <x:v>적용</x:v>
      </x:c>
      <x:c r="N230" s="5" t="str">
        <x:v>현재 샘플의 회사 필수 기준으로 채택 제안</x:v>
      </x:c>
      <x:c r="O230" s="5" t="str">
        <x:v>관련 기능·적용 기관·계약 변경 시 재평가</x:v>
      </x:c>
      <x:c r="P230" s="5" t="str">
        <x:v>S01~S08 / 해당 기능의 모든 화면·상태</x:v>
      </x:c>
      <x:c r="Q230" s="5" t="str">
        <x:v>입력경계·선택상태·필수 그래픽3:1 확보</x:v>
      </x:c>
      <x:c r="R230" s="5" t="str">
        <x:v>자동+수동</x:v>
      </x:c>
      <x:c r="S230" s="10" t="str">
        <x:v>자동+수동</x:v>
      </x:c>
      <x:c r="T230" s="5" t="str">
        <x:v>개발·QA</x:v>
      </x:c>
      <x:c r="U230" s="5" t="str">
        <x:v>P1</x:v>
      </x:c>
      <x:c r="V230" s="10" t="str">
        <x:v>진행</x:v>
      </x:c>
      <x:c r="W230" s="5" t="str">
        <x:v>기본 색상 토큰·입력/조작 경계를 정의하고 axe에서 탐지된 대비 오류를 수정했다. 모든 상태의 텍스트·비텍스트 역할별 수동 전수 대비 판정은 남아 있다.</x:v>
      </x:c>
      <x:c r="X230" s="5" t="str">
        <x:v>packages/ui/tokens.css
apps/web/src/styles.css</x:v>
      </x:c>
      <x:c r="Y230" s="5" t="str">
        <x:v>MAN-WCA-018</x:v>
      </x:c>
      <x:c r="Z230" s="10" t="str">
        <x:v>미실행</x:v>
      </x:c>
      <x:c r="AA230" s="10" t="str">
        <x:v>미실행</x:v>
      </x:c>
      <x:c r="AB230" s="5" t="str"/>
      <x:c r="AC230" s="5" t="n">
        <x:v>0</x:v>
      </x:c>
      <x:c r="AD230" s="5" t="n">
        <x:v>1</x:v>
      </x:c>
      <x:c r="AE230" s="10" t="str">
        <x:v>미실행</x:v>
      </x:c>
      <x:c r="AF230" s="5" t="str"/>
      <x:c r="AG230" s="5" t="str"/>
      <x:c r="AH230" s="5" t="str"/>
      <x:c r="AI230" s="10" t="str">
        <x:v>입력 기준 유지</x:v>
      </x:c>
      <x:c r="AJ230" s="5" t="str">
        <x:f>IF(AND(M230="적용",V230="구현",X230&lt;&gt;"",Y230&lt;&gt;"",AB230&lt;&gt;"",AC230&gt;0,AD230&gt;0,AE230="통과",AF230="",AG230&lt;&gt;"",AH230&lt;&gt;"",OR(S230="자동",S230="수동",S230="자동+수동"),IF(OR(S230="자동",S230="자동+수동"),Z230="통과",TRUE),IF(OR(S230="수동",S230="자동+수동"),AA230="통과",TRUE)),"통과",IF(OR(Z230="실패",AA230="실패",AE230="실패"),"실패","보류"))</x:f>
        <x:v>보류</x:v>
      </x:c>
      <x:c r="AK230" s="5" t="str"/>
      <x:c r="AL230" s="5" t="str"/>
      <x:c r="AM230" s="5" t="str">
        <x:v>입력 v0.1 계획 주석은 original_plan_note에 보존. 최신 구현·시험·증빙은 연결 적용기록을 참조하며 전체 준수·인증을 주장하지 않음.</x:v>
      </x:c>
    </x:row>
    <x:row r="231" ht="39.599998474121094" hidden="0" customHeight="1">
      <x:c r="A231" s="5" t="str">
        <x:v>WCA-019</x:v>
      </x:c>
      <x:c r="B231" s="5" t="str">
        <x:v>WCAG 2.2 A·AA</x:v>
      </x:c>
      <x:c r="C231" s="5" t="str">
        <x:v>WCAG 2.2</x:v>
      </x:c>
      <x:c r="D231" s="5" t="str">
        <x:v>문자 간격</x:v>
      </x:c>
      <x:c r="E231" s="5" t="str">
        <x:v>사용자 간격설정 보존</x:v>
      </x:c>
      <x:c r="F231" s="5" t="str">
        <x:v>SRC-005</x:v>
      </x:c>
      <x:c r="G231" s="5" t="str">
        <x:v>2024-12-12</x:v>
      </x:c>
      <x:c r="H231" s="5" t="str">
        <x:v>1.4.12</x:v>
      </x:c>
      <x:c r="I231" s="5" t="str"/>
      <x:c r="J231" s="5" t="str">
        <x:v>국제 표준 목표</x:v>
      </x:c>
      <x:c r="K231" s="5" t="str">
        <x:v>AA</x:v>
      </x:c>
      <x:c r="L231" s="5" t="str">
        <x:v>MUST(안)</x:v>
      </x:c>
      <x:c r="M231" s="10" t="str">
        <x:v>적용</x:v>
      </x:c>
      <x:c r="N231" s="5" t="str">
        <x:v>현재 샘플의 회사 필수 기준으로 채택 제안</x:v>
      </x:c>
      <x:c r="O231" s="5" t="str">
        <x:v>관련 기능·적용 기관·계약 변경 시 재평가</x:v>
      </x:c>
      <x:c r="P231" s="5" t="str">
        <x:v>S01~S08 / 해당 기능의 모든 화면·상태</x:v>
      </x:c>
      <x:c r="Q231" s="5" t="str">
        <x:v>행1.5·문단2·문자0.12·단어0.16배 적용 후 잘림 점검</x:v>
      </x:c>
      <x:c r="R231" s="5" t="str">
        <x:v>수동</x:v>
      </x:c>
      <x:c r="S231" s="10" t="str">
        <x:v>수동</x:v>
      </x:c>
      <x:c r="T231" s="5" t="str">
        <x:v>개발·QA</x:v>
      </x:c>
      <x:c r="U231" s="5" t="str">
        <x:v>P1</x:v>
      </x:c>
      <x:c r="V231" s="10" t="str">
        <x:v>진행</x:v>
      </x:c>
      <x:c r="W231" s="5" t="str">
        <x:v>상대 글자 단위, 최소/유동 폭, 줄바꿈,320px 단열 배치와 표 대안을 구현했다. 200%/400%와 사용자 문자간격의 전체상태 수동 전수평가는 남아 있다.</x:v>
      </x:c>
      <x:c r="X231" s="5" t="str">
        <x:v>apps/web/src/styles.css
apps/web/src/App.tsx#Preferences</x:v>
      </x:c>
      <x:c r="Y231" s="5" t="str">
        <x:v>E2E-REFLOW
SCREEN-TEXT-SPACING
MAN-WCA-019</x:v>
      </x:c>
      <x:c r="Z231" s="10" t="str">
        <x:v>부분확인</x:v>
      </x:c>
      <x:c r="AA231" s="10" t="str">
        <x:v>미실행</x:v>
      </x:c>
      <x:c r="AB231" s="5" t="str">
        <x:v>E2E-REFLOW-2026-10-20T06-15-00-647Z
SCREEN-TEXT-SPACING-2026-10-20T06-15-00-647Z</x:v>
      </x:c>
      <x:c r="AC231" s="5" t="n">
        <x:v>2</x:v>
      </x:c>
      <x:c r="AD231" s="5" t="n">
        <x:v>3</x:v>
      </x:c>
      <x:c r="AE231" s="10" t="str">
        <x:v>부분확인</x:v>
      </x:c>
      <x:c r="AF231" s="5" t="str"/>
      <x:c r="AG231" s="5" t="str"/>
      <x:c r="AH231" s="5" t="str"/>
      <x:c r="AI231" s="10" t="str">
        <x:v>입력 기준 유지</x:v>
      </x:c>
      <x:c r="AJ231" s="5" t="str">
        <x:f>IF(AND(M231="적용",V231="구현",X231&lt;&gt;"",Y231&lt;&gt;"",AB231&lt;&gt;"",AC231&gt;0,AD231&gt;0,AE231="통과",AF231="",AG231&lt;&gt;"",AH231&lt;&gt;"",OR(S231="자동",S231="수동",S231="자동+수동"),IF(OR(S231="자동",S231="자동+수동"),Z231="통과",TRUE),IF(OR(S231="수동",S231="자동+수동"),AA231="통과",TRUE)),"통과",IF(OR(Z231="실패",AA231="실패",AE231="실패"),"실패","보류"))</x:f>
        <x:v>보류</x:v>
      </x:c>
      <x:c r="AK231" s="5" t="str"/>
      <x:c r="AL231" s="5" t="str"/>
      <x:c r="AM231" s="5" t="str">
        <x:v>입력 v0.1 계획 주석은 original_plan_note에 보존. 최신 구현·시험·증빙은 연결 적용기록을 참조하며 전체 준수·인증을 주장하지 않음.</x:v>
      </x:c>
    </x:row>
    <x:row r="232" ht="26.399999618530273" hidden="0" customHeight="1">
      <x:c r="A232" s="5" t="str">
        <x:v>WCA-020</x:v>
      </x:c>
      <x:c r="B232" s="5" t="str">
        <x:v>WCAG 2.2 A·AA</x:v>
      </x:c>
      <x:c r="C232" s="5" t="str">
        <x:v>WCAG 2.2</x:v>
      </x:c>
      <x:c r="D232" s="5" t="str">
        <x:v>추가 콘텐츠 유지</x:v>
      </x:c>
      <x:c r="E232" s="5" t="str">
        <x:v>호버·초점 정보 제어</x:v>
      </x:c>
      <x:c r="F232" s="5" t="str">
        <x:v>SRC-005</x:v>
      </x:c>
      <x:c r="G232" s="5" t="str">
        <x:v>2024-12-12</x:v>
      </x:c>
      <x:c r="H232" s="5" t="str">
        <x:v>1.4.13</x:v>
      </x:c>
      <x:c r="I232" s="5" t="str"/>
      <x:c r="J232" s="5" t="str">
        <x:v>국제 표준 목표</x:v>
      </x:c>
      <x:c r="K232" s="5" t="str">
        <x:v>AA</x:v>
      </x:c>
      <x:c r="L232" s="5" t="str">
        <x:v>MUST(안)</x:v>
      </x:c>
      <x:c r="M232" s="10" t="str">
        <x:v>적용</x:v>
      </x:c>
      <x:c r="N232" s="5" t="str">
        <x:v>현재 샘플의 회사 필수 기준으로 채택 제안</x:v>
      </x:c>
      <x:c r="O232" s="5" t="str">
        <x:v>관련 기능·적용 기관·계약 변경 시 재평가</x:v>
      </x:c>
      <x:c r="P232" s="5" t="str">
        <x:v>S01~S08 / 해당 기능의 모든 화면·상태</x:v>
      </x:c>
      <x:c r="Q232" s="5" t="str">
        <x:v>툴팁 닫기·포인터이동·유지조건 구현</x:v>
      </x:c>
      <x:c r="R232" s="5" t="str">
        <x:v>자동+수동</x:v>
      </x:c>
      <x:c r="S232" s="10" t="str">
        <x:v>자동+수동</x:v>
      </x:c>
      <x:c r="T232" s="5" t="str">
        <x:v>개발·QA</x:v>
      </x:c>
      <x:c r="U232" s="5" t="str">
        <x:v>P1</x:v>
      </x:c>
      <x:c r="V232" s="10" t="str">
        <x:v>구현</x:v>
      </x:c>
      <x:c r="W232" s="5" t="str">
        <x:v>호버/초점에만 나타나는 필수 콘텐츠를 사용하지 않는다. 추가정보는 명시적 details 클릭/키보드로 유지·해제한다.</x:v>
      </x:c>
      <x:c r="X232" s="5" t="str">
        <x:v>apps/web/src/StandardsBrowser.tsx#StandardsBrowser
apps/web/src/App.tsx#Help</x:v>
      </x:c>
      <x:c r="Y232" s="5" t="str">
        <x:v>MAN-WCA-020</x:v>
      </x:c>
      <x:c r="Z232" s="10" t="str">
        <x:v>미실행</x:v>
      </x:c>
      <x:c r="AA232" s="10" t="str">
        <x:v>미실행</x:v>
      </x:c>
      <x:c r="AB232" s="5" t="str"/>
      <x:c r="AC232" s="5" t="n">
        <x:v>0</x:v>
      </x:c>
      <x:c r="AD232" s="5" t="n">
        <x:v>1</x:v>
      </x:c>
      <x:c r="AE232" s="10" t="str">
        <x:v>미실행</x:v>
      </x:c>
      <x:c r="AF232" s="5" t="str"/>
      <x:c r="AG232" s="5" t="str"/>
      <x:c r="AH232" s="5" t="str"/>
      <x:c r="AI232" s="10" t="str">
        <x:v>입력 기준 유지</x:v>
      </x:c>
      <x:c r="AJ232" s="5" t="str">
        <x:f>IF(AND(M232="적용",V232="구현",X232&lt;&gt;"",Y232&lt;&gt;"",AB232&lt;&gt;"",AC232&gt;0,AD232&gt;0,AE232="통과",AF232="",AG232&lt;&gt;"",AH232&lt;&gt;"",OR(S232="자동",S232="수동",S232="자동+수동"),IF(OR(S232="자동",S232="자동+수동"),Z232="통과",TRUE),IF(OR(S232="수동",S232="자동+수동"),AA232="통과",TRUE)),"통과",IF(OR(Z232="실패",AA232="실패",AE232="실패"),"실패","보류"))</x:f>
        <x:v>보류</x:v>
      </x:c>
      <x:c r="AK232" s="5" t="str"/>
      <x:c r="AL232" s="5" t="str"/>
      <x:c r="AM232" s="5" t="str">
        <x:v>입력 v0.1 계획 주석은 original_plan_note에 보존. 최신 구현·시험·증빙은 연결 적용기록을 참조하며 전체 준수·인증을 주장하지 않음.</x:v>
      </x:c>
    </x:row>
    <x:row r="233" ht="52.79999923706055" hidden="0" customHeight="1">
      <x:c r="A233" s="5" t="str">
        <x:v>WCA-021</x:v>
      </x:c>
      <x:c r="B233" s="5" t="str">
        <x:v>WCAG 2.2 A·AA</x:v>
      </x:c>
      <x:c r="C233" s="5" t="str">
        <x:v>WCAG 2.2</x:v>
      </x:c>
      <x:c r="D233" s="5" t="str">
        <x:v>키보드 전기능</x:v>
      </x:c>
      <x:c r="E233" s="5" t="str">
        <x:v>키보드 작업 완료</x:v>
      </x:c>
      <x:c r="F233" s="5" t="str">
        <x:v>SRC-005</x:v>
      </x:c>
      <x:c r="G233" s="5" t="str">
        <x:v>2024-12-12</x:v>
      </x:c>
      <x:c r="H233" s="5" t="str">
        <x:v>2.1.1</x:v>
      </x:c>
      <x:c r="I233" s="5" t="str"/>
      <x:c r="J233" s="5" t="str">
        <x:v>국제 표준 목표</x:v>
      </x:c>
      <x:c r="K233" s="5" t="str">
        <x:v>A</x:v>
      </x:c>
      <x:c r="L233" s="5" t="str">
        <x:v>MUST(안)</x:v>
      </x:c>
      <x:c r="M233" s="10" t="str">
        <x:v>적용</x:v>
      </x:c>
      <x:c r="N233" s="5" t="str">
        <x:v>현재 샘플의 회사 필수 기준으로 채택 제안</x:v>
      </x:c>
      <x:c r="O233" s="5" t="str">
        <x:v>관련 기능·적용 기관·계약 변경 시 재평가</x:v>
      </x:c>
      <x:c r="P233" s="5" t="str">
        <x:v>S01~S08 / 해당 기능의 모든 화면·상태</x:v>
      </x:c>
      <x:c r="Q233" s="5" t="str">
        <x:v>검색부터 등록·관리까지 키보드 접근</x:v>
      </x:c>
      <x:c r="R233" s="5" t="str">
        <x:v>자동+수동</x:v>
      </x:c>
      <x:c r="S233" s="10" t="str">
        <x:v>자동+수동</x:v>
      </x:c>
      <x:c r="T233" s="5" t="str">
        <x:v>개발·QA</x:v>
      </x:c>
      <x:c r="U233" s="5" t="str">
        <x:v>P1</x:v>
      </x:c>
      <x:c r="V233" s="10" t="str">
        <x:v>진행</x:v>
      </x:c>
      <x:c r="W233" s="5" t="str">
        <x:v>주요 조작을 native 링크/버튼/입력/select/details/dialog로 제공한다. 전체 역할·상태·업무과정의 키보드 수동 전수검사는 남아 있다.</x:v>
      </x:c>
      <x:c r="X233" s="5" t="str">
        <x:v>apps/web/src/App.tsx#RequestWizard
apps/web/src/App.tsx#RequestDetail
apps/web/src/ui.tsx#Modal
apps/web/src/StandardsBrowser.tsx#StandardsBrowser</x:v>
      </x:c>
      <x:c r="Y233" s="5" t="str">
        <x:v>E2E-KEYBOARD
MAN-WCA-021</x:v>
      </x:c>
      <x:c r="Z233" s="10" t="str">
        <x:v>부분확인</x:v>
      </x:c>
      <x:c r="AA233" s="10" t="str">
        <x:v>미실행</x:v>
      </x:c>
      <x:c r="AB233" s="5" t="str">
        <x:v>E2E-KEYBOARD-2026-10-20T06-15-00-647Z</x:v>
      </x:c>
      <x:c r="AC233" s="5" t="n">
        <x:v>1</x:v>
      </x:c>
      <x:c r="AD233" s="5" t="n">
        <x:v>2</x:v>
      </x:c>
      <x:c r="AE233" s="10" t="str">
        <x:v>부분확인</x:v>
      </x:c>
      <x:c r="AF233" s="5" t="str"/>
      <x:c r="AG233" s="5" t="str"/>
      <x:c r="AH233" s="5" t="str"/>
      <x:c r="AI233" s="10" t="str">
        <x:v>입력 기준 유지</x:v>
      </x:c>
      <x:c r="AJ233" s="5" t="str">
        <x:f>IF(AND(M233="적용",V233="구현",X233&lt;&gt;"",Y233&lt;&gt;"",AB233&lt;&gt;"",AC233&gt;0,AD233&gt;0,AE233="통과",AF233="",AG233&lt;&gt;"",AH233&lt;&gt;"",OR(S233="자동",S233="수동",S233="자동+수동"),IF(OR(S233="자동",S233="자동+수동"),Z233="통과",TRUE),IF(OR(S233="수동",S233="자동+수동"),AA233="통과",TRUE)),"통과",IF(OR(Z233="실패",AA233="실패",AE233="실패"),"실패","보류"))</x:f>
        <x:v>보류</x:v>
      </x:c>
      <x:c r="AK233" s="5" t="str"/>
      <x:c r="AL233" s="5" t="str"/>
      <x:c r="AM233" s="5" t="str">
        <x:v>입력 v0.1 계획 주석은 original_plan_note에 보존. 최신 구현·시험·증빙은 연결 적용기록을 참조하며 전체 준수·인증을 주장하지 않음.</x:v>
      </x:c>
    </x:row>
    <x:row r="234" ht="39.599998474121094" hidden="0" customHeight="1">
      <x:c r="A234" s="5" t="str">
        <x:v>WCA-022</x:v>
      </x:c>
      <x:c r="B234" s="5" t="str">
        <x:v>WCAG 2.2 A·AA</x:v>
      </x:c>
      <x:c r="C234" s="5" t="str">
        <x:v>WCAG 2.2</x:v>
      </x:c>
      <x:c r="D234" s="5" t="str">
        <x:v>키보드 탈출</x:v>
      </x:c>
      <x:c r="E234" s="5" t="str">
        <x:v>초점갇힘 방지</x:v>
      </x:c>
      <x:c r="F234" s="5" t="str">
        <x:v>SRC-005</x:v>
      </x:c>
      <x:c r="G234" s="5" t="str">
        <x:v>2024-12-12</x:v>
      </x:c>
      <x:c r="H234" s="5" t="str">
        <x:v>2.1.2</x:v>
      </x:c>
      <x:c r="I234" s="5" t="str"/>
      <x:c r="J234" s="5" t="str">
        <x:v>국제 표준 목표</x:v>
      </x:c>
      <x:c r="K234" s="5" t="str">
        <x:v>A</x:v>
      </x:c>
      <x:c r="L234" s="5" t="str">
        <x:v>MUST(안)</x:v>
      </x:c>
      <x:c r="M234" s="10" t="str">
        <x:v>적용</x:v>
      </x:c>
      <x:c r="N234" s="5" t="str">
        <x:v>현재 샘플의 회사 필수 기준으로 채택 제안</x:v>
      </x:c>
      <x:c r="O234" s="5" t="str">
        <x:v>관련 기능·적용 기관·계약 변경 시 재평가</x:v>
      </x:c>
      <x:c r="P234" s="5" t="str">
        <x:v>S01~S08 / 해당 기능의 모든 화면·상태</x:v>
      </x:c>
      <x:c r="Q234" s="5" t="str">
        <x:v>모달 Escape와 닫기, 종료 후 원위치 복귀</x:v>
      </x:c>
      <x:c r="R234" s="5" t="str">
        <x:v>자동+수동</x:v>
      </x:c>
      <x:c r="S234" s="10" t="str">
        <x:v>자동+수동</x:v>
      </x:c>
      <x:c r="T234" s="5" t="str">
        <x:v>개발·QA</x:v>
      </x:c>
      <x:c r="U234" s="5" t="str">
        <x:v>P1</x:v>
      </x:c>
      <x:c r="V234" s="10" t="str">
        <x:v>구현</x:v>
      </x:c>
      <x:c r="W234" s="5" t="str">
        <x:v>모달의 Tab/ShiftTab을 내부로 순환시키되 Escape와 닫기/취소를 제공하고 원래 초점으로 복귀한다. 일반 화면에 초점트랩을 사용하지 않는다.</x:v>
      </x:c>
      <x:c r="X234" s="5" t="str">
        <x:v>apps/web/src/ui.tsx#Modal
apps/web/src/App.tsx#App</x:v>
      </x:c>
      <x:c r="Y234" s="5" t="str">
        <x:v>E2E-KEYBOARD
SCREEN-MODAL
MAN-WCA-022</x:v>
      </x:c>
      <x:c r="Z234" s="10" t="str">
        <x:v>부분확인</x:v>
      </x:c>
      <x:c r="AA234" s="10" t="str">
        <x:v>미실행</x:v>
      </x:c>
      <x:c r="AB234" s="5" t="str">
        <x:v>E2E-KEYBOARD-2026-10-20T06-15-00-647Z
SCREEN-MODAL-2026-10-20T06-15-00-647Z</x:v>
      </x:c>
      <x:c r="AC234" s="5" t="n">
        <x:v>2</x:v>
      </x:c>
      <x:c r="AD234" s="5" t="n">
        <x:v>3</x:v>
      </x:c>
      <x:c r="AE234" s="10" t="str">
        <x:v>부분확인</x:v>
      </x:c>
      <x:c r="AF234" s="5" t="str"/>
      <x:c r="AG234" s="5" t="str"/>
      <x:c r="AH234" s="5" t="str"/>
      <x:c r="AI234" s="10" t="str">
        <x:v>입력 기준 유지</x:v>
      </x:c>
      <x:c r="AJ234" s="5" t="str">
        <x:f>IF(AND(M234="적용",V234="구현",X234&lt;&gt;"",Y234&lt;&gt;"",AB234&lt;&gt;"",AC234&gt;0,AD234&gt;0,AE234="통과",AF234="",AG234&lt;&gt;"",AH234&lt;&gt;"",OR(S234="자동",S234="수동",S234="자동+수동"),IF(OR(S234="자동",S234="자동+수동"),Z234="통과",TRUE),IF(OR(S234="수동",S234="자동+수동"),AA234="통과",TRUE)),"통과",IF(OR(Z234="실패",AA234="실패",AE234="실패"),"실패","보류"))</x:f>
        <x:v>보류</x:v>
      </x:c>
      <x:c r="AK234" s="5" t="str"/>
      <x:c r="AL234" s="5" t="str"/>
      <x:c r="AM234" s="5" t="str">
        <x:v>입력 v0.1 계획 주석은 original_plan_note에 보존. 최신 구현·시험·증빙은 연결 적용기록을 참조하며 전체 준수·인증을 주장하지 않음.</x:v>
      </x:c>
    </x:row>
    <x:row r="235" ht="26.399999618530273" hidden="0" customHeight="1">
      <x:c r="A235" s="5" t="str">
        <x:v>WCA-023</x:v>
      </x:c>
      <x:c r="B235" s="5" t="str">
        <x:v>WCAG 2.2 A·AA</x:v>
      </x:c>
      <x:c r="C235" s="5" t="str">
        <x:v>WCAG 2.2</x:v>
      </x:c>
      <x:c r="D235" s="5" t="str">
        <x:v>문자 단축키 통제</x:v>
      </x:c>
      <x:c r="E235" s="5" t="str">
        <x:v>문자단축키 해제수단</x:v>
      </x:c>
      <x:c r="F235" s="5" t="str">
        <x:v>SRC-005</x:v>
      </x:c>
      <x:c r="G235" s="5" t="str">
        <x:v>2024-12-12</x:v>
      </x:c>
      <x:c r="H235" s="5" t="str">
        <x:v>2.1.4</x:v>
      </x:c>
      <x:c r="I235" s="5" t="str"/>
      <x:c r="J235" s="5" t="str">
        <x:v>국제 표준 목표</x:v>
      </x:c>
      <x:c r="K235" s="5" t="str">
        <x:v>A</x:v>
      </x:c>
      <x:c r="L235" s="5" t="str">
        <x:v>MUST(안)</x:v>
      </x:c>
      <x:c r="M235" s="10" t="str">
        <x:v>조건부</x:v>
      </x:c>
      <x:c r="N235" s="5" t="str">
        <x:v>현재 단일문자 전역단축키 없음</x:v>
      </x:c>
      <x:c r="O235" s="5" t="str">
        <x:v>현재 단일문자 전역단축키 없음</x:v>
      </x:c>
      <x:c r="P235" s="5" t="str">
        <x:v>S01~S08 / 해당 기능의 모든 화면·상태</x:v>
      </x:c>
      <x:c r="Q235" s="5" t="str">
        <x:v>전역 단일문자 단축키 미사용</x:v>
      </x:c>
      <x:c r="R235" s="5" t="str">
        <x:v>기능 존재 확인 후 수동검토</x:v>
      </x:c>
      <x:c r="S235" s="10" t="str">
        <x:v>수동</x:v>
      </x:c>
      <x:c r="T235" s="5" t="str">
        <x:v>개발·QA</x:v>
      </x:c>
      <x:c r="U235" s="5" t="str">
        <x:v>P1</x:v>
      </x:c>
      <x:c r="V235" s="10" t="str">
        <x:v>계획</x:v>
      </x:c>
      <x:c r="W235" s="5" t="str">
        <x:v>단일 문자 단축키를 도입하지 않는다. 추가 시 해제·재지정·초점한정 조건을 검토한다.</x:v>
      </x:c>
      <x:c r="X235" s="5" t="str"/>
      <x:c r="Y235" s="5" t="str">
        <x:v>MAN-WCA-023</x:v>
      </x:c>
      <x:c r="Z235" s="10" t="str">
        <x:v>미실행</x:v>
      </x:c>
      <x:c r="AA235" s="10" t="str">
        <x:v>미실행</x:v>
      </x:c>
      <x:c r="AB235" s="5" t="str"/>
      <x:c r="AC235" s="5" t="n">
        <x:v>0</x:v>
      </x:c>
      <x:c r="AD235" s="5" t="n">
        <x:v>1</x:v>
      </x:c>
      <x:c r="AE235" s="10" t="str">
        <x:v>미실행</x:v>
      </x:c>
      <x:c r="AF235" s="5" t="str"/>
      <x:c r="AG235" s="5" t="str"/>
      <x:c r="AH235" s="5" t="str"/>
      <x:c r="AI235" s="10" t="str">
        <x:v>입력 기준 유지</x:v>
      </x:c>
      <x:c r="AJ235" s="5" t="str">
        <x:f>IF(AND(M235="적용",V235="구현",X235&lt;&gt;"",Y235&lt;&gt;"",AB235&lt;&gt;"",AC235&gt;0,AD235&gt;0,AE235="통과",AF235="",AG235&lt;&gt;"",AH235&lt;&gt;"",OR(S235="자동",S235="수동",S235="자동+수동"),IF(OR(S235="자동",S235="자동+수동"),Z235="통과",TRUE),IF(OR(S235="수동",S235="자동+수동"),AA235="통과",TRUE)),"통과",IF(OR(Z235="실패",AA235="실패",AE235="실패"),"실패","보류"))</x:f>
        <x:v>보류</x:v>
      </x:c>
      <x:c r="AK235" s="5" t="str"/>
      <x:c r="AL235" s="5" t="str"/>
      <x:c r="AM235" s="5" t="str">
        <x:v>입력 v0.1 계획 주석은 original_plan_note에 보존. 최신 구현·시험·증빙은 연결 적용기록을 참조하며 전체 준수·인증을 주장하지 않음.</x:v>
      </x:c>
    </x:row>
    <x:row r="236" ht="26.399999618530273" hidden="0" customHeight="1">
      <x:c r="A236" s="5" t="str">
        <x:v>WCA-024</x:v>
      </x:c>
      <x:c r="B236" s="5" t="str">
        <x:v>WCAG 2.2 A·AA</x:v>
      </x:c>
      <x:c r="C236" s="5" t="str">
        <x:v>WCAG 2.2</x:v>
      </x:c>
      <x:c r="D236" s="5" t="str">
        <x:v>제한시간 조절</x:v>
      </x:c>
      <x:c r="E236" s="5" t="str">
        <x:v>시간제한 대응</x:v>
      </x:c>
      <x:c r="F236" s="5" t="str">
        <x:v>SRC-005</x:v>
      </x:c>
      <x:c r="G236" s="5" t="str">
        <x:v>2024-12-12</x:v>
      </x:c>
      <x:c r="H236" s="5" t="str">
        <x:v>2.2.1</x:v>
      </x:c>
      <x:c r="I236" s="5" t="str"/>
      <x:c r="J236" s="5" t="str">
        <x:v>국제 표준 목표</x:v>
      </x:c>
      <x:c r="K236" s="5" t="str">
        <x:v>A</x:v>
      </x:c>
      <x:c r="L236" s="5" t="str">
        <x:v>MUST(안)</x:v>
      </x:c>
      <x:c r="M236" s="10" t="str">
        <x:v>적용</x:v>
      </x:c>
      <x:c r="N236" s="5" t="str">
        <x:v>현재 샘플의 회사 필수 기준으로 채택 제안</x:v>
      </x:c>
      <x:c r="O236" s="5" t="str">
        <x:v>관련 기능·적용 기관·계약 변경 시 재평가</x:v>
      </x:c>
      <x:c r="P236" s="5" t="str">
        <x:v>S01~S08 / 해당 기능의 모든 화면·상태</x:v>
      </x:c>
      <x:c r="Q236" s="5" t="str">
        <x:v>세션 경고·연장·입력복구와 예외 근거</x:v>
      </x:c>
      <x:c r="R236" s="5" t="str">
        <x:v>자동+수동</x:v>
      </x:c>
      <x:c r="S236" s="10" t="str">
        <x:v>자동+수동</x:v>
      </x:c>
      <x:c r="T236" s="5" t="str">
        <x:v>개발·QA</x:v>
      </x:c>
      <x:c r="U236" s="5" t="str">
        <x:v>P1</x:v>
      </x:c>
      <x:c r="V236" s="10" t="str">
        <x:v>구현</x:v>
      </x:c>
      <x:c r="W236" s="5" t="str">
        <x:v>기본20분 세션을 서버 만료시각 기준으로 추적하며60초 전 경고와 간단한 연장을 제공한다. 연장횟수 제한은 없고 경고 닫기와 로그아웃을 지원한다.</x:v>
      </x:c>
      <x:c r="X236" s="5" t="str">
        <x:v>apps/web/src/App.tsx#App
apps/web/src/ui.tsx#Modal</x:v>
      </x:c>
      <x:c r="Y236" s="5" t="str">
        <x:v>MAN-WCA-024</x:v>
      </x:c>
      <x:c r="Z236" s="10" t="str">
        <x:v>미실행</x:v>
      </x:c>
      <x:c r="AA236" s="10" t="str">
        <x:v>미실행</x:v>
      </x:c>
      <x:c r="AB236" s="5" t="str"/>
      <x:c r="AC236" s="5" t="n">
        <x:v>0</x:v>
      </x:c>
      <x:c r="AD236" s="5" t="n">
        <x:v>1</x:v>
      </x:c>
      <x:c r="AE236" s="10" t="str">
        <x:v>미실행</x:v>
      </x:c>
      <x:c r="AF236" s="5" t="str"/>
      <x:c r="AG236" s="5" t="str"/>
      <x:c r="AH236" s="5" t="str"/>
      <x:c r="AI236" s="10" t="str">
        <x:v>입력 기준 유지</x:v>
      </x:c>
      <x:c r="AJ236" s="5" t="str">
        <x:f>IF(AND(M236="적용",V236="구현",X236&lt;&gt;"",Y236&lt;&gt;"",AB236&lt;&gt;"",AC236&gt;0,AD236&gt;0,AE236="통과",AF236="",AG236&lt;&gt;"",AH236&lt;&gt;"",OR(S236="자동",S236="수동",S236="자동+수동"),IF(OR(S236="자동",S236="자동+수동"),Z236="통과",TRUE),IF(OR(S236="수동",S236="자동+수동"),AA236="통과",TRUE)),"통과",IF(OR(Z236="실패",AA236="실패",AE236="실패"),"실패","보류"))</x:f>
        <x:v>보류</x:v>
      </x:c>
      <x:c r="AK236" s="5" t="str"/>
      <x:c r="AL236" s="5" t="str"/>
      <x:c r="AM236" s="5" t="str">
        <x:v>입력 v0.1 계획 주석은 original_plan_note에 보존. 최신 구현·시험·증빙은 연결 적용기록을 참조하며 전체 준수·인증을 주장하지 않음.</x:v>
      </x:c>
    </x:row>
    <x:row r="237" ht="39.599998474121094" hidden="0" customHeight="1">
      <x:c r="A237" s="5" t="str">
        <x:v>WCA-025</x:v>
      </x:c>
      <x:c r="B237" s="5" t="str">
        <x:v>WCAG 2.2 A·AA</x:v>
      </x:c>
      <x:c r="C237" s="5" t="str">
        <x:v>WCAG 2.2</x:v>
      </x:c>
      <x:c r="D237" s="5" t="str">
        <x:v>움직임·갱신 제어</x:v>
      </x:c>
      <x:c r="E237" s="5" t="str">
        <x:v>자동변경 제어</x:v>
      </x:c>
      <x:c r="F237" s="5" t="str">
        <x:v>SRC-005</x:v>
      </x:c>
      <x:c r="G237" s="5" t="str">
        <x:v>2024-12-12</x:v>
      </x:c>
      <x:c r="H237" s="5" t="str">
        <x:v>2.2.2</x:v>
      </x:c>
      <x:c r="I237" s="5" t="str"/>
      <x:c r="J237" s="5" t="str">
        <x:v>국제 표준 목표</x:v>
      </x:c>
      <x:c r="K237" s="5" t="str">
        <x:v>A</x:v>
      </x:c>
      <x:c r="L237" s="5" t="str">
        <x:v>MUST(안)</x:v>
      </x:c>
      <x:c r="M237" s="10" t="str">
        <x:v>적용</x:v>
      </x:c>
      <x:c r="N237" s="5" t="str">
        <x:v>현재 샘플의 회사 필수 기준으로 채택 제안</x:v>
      </x:c>
      <x:c r="O237" s="5" t="str">
        <x:v>관련 기능·적용 기관·계약 변경 시 재평가</x:v>
      </x:c>
      <x:c r="P237" s="5" t="str">
        <x:v>S01~S08 / 해당 기능의 모든 화면·상태</x:v>
      </x:c>
      <x:c r="Q237" s="5" t="str">
        <x:v>회전 배너 배제, 자동갱신 제어</x:v>
      </x:c>
      <x:c r="R237" s="5" t="str">
        <x:v>수동</x:v>
      </x:c>
      <x:c r="S237" s="10" t="str">
        <x:v>수동</x:v>
      </x:c>
      <x:c r="T237" s="5" t="str">
        <x:v>개발·QA</x:v>
      </x:c>
      <x:c r="U237" s="5" t="str">
        <x:v>P1</x:v>
      </x:c>
      <x:c r="V237" s="10" t="str">
        <x:v>구현</x:v>
      </x:c>
      <x:c r="W237" s="5" t="str">
        <x:v>캐러셀·자동갱신 업무 콘텐츠를 사용하지 않는다. 로딩 회전은 시스템 reduced-motion 또는 사용자 움직임 줄이기로 정지할 수 있다.</x:v>
      </x:c>
      <x:c r="X237" s="5" t="str">
        <x:v>apps/web/src/ui.tsx#Loading
apps/web/src/App.tsx#Preferences
apps/web/src/styles.css</x:v>
      </x:c>
      <x:c r="Y237" s="5" t="str">
        <x:v>MAN-WCA-025</x:v>
      </x:c>
      <x:c r="Z237" s="10" t="str">
        <x:v>미실행</x:v>
      </x:c>
      <x:c r="AA237" s="10" t="str">
        <x:v>미실행</x:v>
      </x:c>
      <x:c r="AB237" s="5" t="str"/>
      <x:c r="AC237" s="5" t="n">
        <x:v>0</x:v>
      </x:c>
      <x:c r="AD237" s="5" t="n">
        <x:v>1</x:v>
      </x:c>
      <x:c r="AE237" s="10" t="str">
        <x:v>미실행</x:v>
      </x:c>
      <x:c r="AF237" s="5" t="str"/>
      <x:c r="AG237" s="5" t="str"/>
      <x:c r="AH237" s="5" t="str"/>
      <x:c r="AI237" s="10" t="str">
        <x:v>입력 기준 유지</x:v>
      </x:c>
      <x:c r="AJ237" s="5" t="str">
        <x:f>IF(AND(M237="적용",V237="구현",X237&lt;&gt;"",Y237&lt;&gt;"",AB237&lt;&gt;"",AC237&gt;0,AD237&gt;0,AE237="통과",AF237="",AG237&lt;&gt;"",AH237&lt;&gt;"",OR(S237="자동",S237="수동",S237="자동+수동"),IF(OR(S237="자동",S237="자동+수동"),Z237="통과",TRUE),IF(OR(S237="수동",S237="자동+수동"),AA237="통과",TRUE)),"통과",IF(OR(Z237="실패",AA237="실패",AE237="실패"),"실패","보류"))</x:f>
        <x:v>보류</x:v>
      </x:c>
      <x:c r="AK237" s="5" t="str"/>
      <x:c r="AL237" s="5" t="str"/>
      <x:c r="AM237" s="5" t="str">
        <x:v>입력 v0.1 계획 주석은 original_plan_note에 보존. 최신 구현·시험·증빙은 연결 적용기록을 참조하며 전체 준수·인증을 주장하지 않음.</x:v>
      </x:c>
    </x:row>
    <x:row r="238" ht="26.399999618530273" hidden="0" customHeight="1">
      <x:c r="A238" s="5" t="str">
        <x:v>WCA-026</x:v>
      </x:c>
      <x:c r="B238" s="5" t="str">
        <x:v>WCAG 2.2 A·AA</x:v>
      </x:c>
      <x:c r="C238" s="5" t="str">
        <x:v>WCAG 2.2</x:v>
      </x:c>
      <x:c r="D238" s="5" t="str">
        <x:v>섬광 안전</x:v>
      </x:c>
      <x:c r="E238" s="5" t="str">
        <x:v>섬광 제한</x:v>
      </x:c>
      <x:c r="F238" s="5" t="str">
        <x:v>SRC-005</x:v>
      </x:c>
      <x:c r="G238" s="5" t="str">
        <x:v>2024-12-12</x:v>
      </x:c>
      <x:c r="H238" s="5" t="str">
        <x:v>2.3.1</x:v>
      </x:c>
      <x:c r="I238" s="5" t="str"/>
      <x:c r="J238" s="5" t="str">
        <x:v>국제 표준 목표</x:v>
      </x:c>
      <x:c r="K238" s="5" t="str">
        <x:v>A</x:v>
      </x:c>
      <x:c r="L238" s="5" t="str">
        <x:v>MUST(안)</x:v>
      </x:c>
      <x:c r="M238" s="10" t="str">
        <x:v>적용</x:v>
      </x:c>
      <x:c r="N238" s="5" t="str">
        <x:v>현재 샘플의 회사 필수 기준으로 채택 제안</x:v>
      </x:c>
      <x:c r="O238" s="5" t="str">
        <x:v>관련 기능·적용 기관·계약 변경 시 재평가</x:v>
      </x:c>
      <x:c r="P238" s="5" t="str">
        <x:v>S01~S08 / 해당 기능의 모든 화면·상태</x:v>
      </x:c>
      <x:c r="Q238" s="5" t="str">
        <x:v>깜빡이는 경고·효과 배제</x:v>
      </x:c>
      <x:c r="R238" s="5" t="str">
        <x:v>수동</x:v>
      </x:c>
      <x:c r="S238" s="10" t="str">
        <x:v>수동</x:v>
      </x:c>
      <x:c r="T238" s="5" t="str">
        <x:v>개발·QA</x:v>
      </x:c>
      <x:c r="U238" s="5" t="str">
        <x:v>P1</x:v>
      </x:c>
      <x:c r="V238" s="10" t="str">
        <x:v>구현</x:v>
      </x:c>
      <x:c r="W238" s="5" t="str">
        <x:v>섬광·점멸 효과를 사용하지 않는다. 유일한 회전 로딩은 모션감소 설정으로 중지한다.</x:v>
      </x:c>
      <x:c r="X238" s="5" t="str">
        <x:v>apps/web/src/styles.css</x:v>
      </x:c>
      <x:c r="Y238" s="5" t="str">
        <x:v>MAN-WCA-026</x:v>
      </x:c>
      <x:c r="Z238" s="10" t="str">
        <x:v>미실행</x:v>
      </x:c>
      <x:c r="AA238" s="10" t="str">
        <x:v>미실행</x:v>
      </x:c>
      <x:c r="AB238" s="5" t="str"/>
      <x:c r="AC238" s="5" t="n">
        <x:v>0</x:v>
      </x:c>
      <x:c r="AD238" s="5" t="n">
        <x:v>1</x:v>
      </x:c>
      <x:c r="AE238" s="10" t="str">
        <x:v>미실행</x:v>
      </x:c>
      <x:c r="AF238" s="5" t="str"/>
      <x:c r="AG238" s="5" t="str"/>
      <x:c r="AH238" s="5" t="str"/>
      <x:c r="AI238" s="10" t="str">
        <x:v>입력 기준 유지</x:v>
      </x:c>
      <x:c r="AJ238" s="5" t="str">
        <x:f>IF(AND(M238="적용",V238="구현",X238&lt;&gt;"",Y238&lt;&gt;"",AB238&lt;&gt;"",AC238&gt;0,AD238&gt;0,AE238="통과",AF238="",AG238&lt;&gt;"",AH238&lt;&gt;"",OR(S238="자동",S238="수동",S238="자동+수동"),IF(OR(S238="자동",S238="자동+수동"),Z238="통과",TRUE),IF(OR(S238="수동",S238="자동+수동"),AA238="통과",TRUE)),"통과",IF(OR(Z238="실패",AA238="실패",AE238="실패"),"실패","보류"))</x:f>
        <x:v>보류</x:v>
      </x:c>
      <x:c r="AK238" s="5" t="str"/>
      <x:c r="AL238" s="5" t="str"/>
      <x:c r="AM238" s="5" t="str">
        <x:v>입력 v0.1 계획 주석은 original_plan_note에 보존. 최신 구현·시험·증빙은 연결 적용기록을 참조하며 전체 준수·인증을 주장하지 않음.</x:v>
      </x:c>
    </x:row>
    <x:row r="239" ht="26.399999618530273" hidden="0" customHeight="1">
      <x:c r="A239" s="5" t="str">
        <x:v>WCA-027</x:v>
      </x:c>
      <x:c r="B239" s="5" t="str">
        <x:v>WCAG 2.2 A·AA</x:v>
      </x:c>
      <x:c r="C239" s="5" t="str">
        <x:v>WCAG 2.2</x:v>
      </x:c>
      <x:c r="D239" s="5" t="str">
        <x:v>반복영역 생략</x:v>
      </x:c>
      <x:c r="E239" s="5" t="str">
        <x:v>본문 바로가기</x:v>
      </x:c>
      <x:c r="F239" s="5" t="str">
        <x:v>SRC-005</x:v>
      </x:c>
      <x:c r="G239" s="5" t="str">
        <x:v>2024-12-12</x:v>
      </x:c>
      <x:c r="H239" s="5" t="str">
        <x:v>2.4.1</x:v>
      </x:c>
      <x:c r="I239" s="5" t="str"/>
      <x:c r="J239" s="5" t="str">
        <x:v>국제 표준 목표</x:v>
      </x:c>
      <x:c r="K239" s="5" t="str">
        <x:v>A</x:v>
      </x:c>
      <x:c r="L239" s="5" t="str">
        <x:v>MUST(안)</x:v>
      </x:c>
      <x:c r="M239" s="10" t="str">
        <x:v>적용</x:v>
      </x:c>
      <x:c r="N239" s="5" t="str">
        <x:v>현재 샘플의 회사 필수 기준으로 채택 제안</x:v>
      </x:c>
      <x:c r="O239" s="5" t="str">
        <x:v>관련 기능·적용 기관·계약 변경 시 재평가</x:v>
      </x:c>
      <x:c r="P239" s="5" t="str">
        <x:v>S01~S08 / 해당 기능의 모든 화면·상태</x:v>
      </x:c>
      <x:c r="Q239" s="5" t="str">
        <x:v>첫 초점 skip link와 main 연결</x:v>
      </x:c>
      <x:c r="R239" s="5" t="str">
        <x:v>자동+수동</x:v>
      </x:c>
      <x:c r="S239" s="10" t="str">
        <x:v>자동+수동</x:v>
      </x:c>
      <x:c r="T239" s="5" t="str">
        <x:v>개발·QA</x:v>
      </x:c>
      <x:c r="U239" s="5" t="str">
        <x:v>P1</x:v>
      </x:c>
      <x:c r="V239" s="10" t="str">
        <x:v>구현</x:v>
      </x:c>
      <x:c r="W239" s="5" t="str">
        <x:v>첫 Tab의 본문 바로가기 링크와 main 목적지를 제공한다.</x:v>
      </x:c>
      <x:c r="X239" s="5" t="str">
        <x:v>apps/web/src/App.tsx#App
apps/web/src/styles.css</x:v>
      </x:c>
      <x:c r="Y239" s="5" t="str">
        <x:v>E2E-KEYBOARD
MAN-WCA-027</x:v>
      </x:c>
      <x:c r="Z239" s="10" t="str">
        <x:v>부분확인</x:v>
      </x:c>
      <x:c r="AA239" s="10" t="str">
        <x:v>미실행</x:v>
      </x:c>
      <x:c r="AB239" s="5" t="str">
        <x:v>E2E-KEYBOARD-2026-10-20T06-15-00-647Z</x:v>
      </x:c>
      <x:c r="AC239" s="5" t="n">
        <x:v>1</x:v>
      </x:c>
      <x:c r="AD239" s="5" t="n">
        <x:v>2</x:v>
      </x:c>
      <x:c r="AE239" s="10" t="str">
        <x:v>부분확인</x:v>
      </x:c>
      <x:c r="AF239" s="5" t="str"/>
      <x:c r="AG239" s="5" t="str"/>
      <x:c r="AH239" s="5" t="str"/>
      <x:c r="AI239" s="10" t="str">
        <x:v>입력 기준 유지</x:v>
      </x:c>
      <x:c r="AJ239" s="5" t="str">
        <x:f>IF(AND(M239="적용",V239="구현",X239&lt;&gt;"",Y239&lt;&gt;"",AB239&lt;&gt;"",AC239&gt;0,AD239&gt;0,AE239="통과",AF239="",AG239&lt;&gt;"",AH239&lt;&gt;"",OR(S239="자동",S239="수동",S239="자동+수동"),IF(OR(S239="자동",S239="자동+수동"),Z239="통과",TRUE),IF(OR(S239="수동",S239="자동+수동"),AA239="통과",TRUE)),"통과",IF(OR(Z239="실패",AA239="실패",AE239="실패"),"실패","보류"))</x:f>
        <x:v>보류</x:v>
      </x:c>
      <x:c r="AK239" s="5" t="str"/>
      <x:c r="AL239" s="5" t="str"/>
      <x:c r="AM239" s="5" t="str">
        <x:v>입력 v0.1 계획 주석은 original_plan_note에 보존. 최신 구현·시험·증빙은 연결 적용기록을 참조하며 전체 준수·인증을 주장하지 않음.</x:v>
      </x:c>
    </x:row>
    <x:row r="240" ht="39.599998474121094" hidden="0" customHeight="1">
      <x:c r="A240" s="5" t="str">
        <x:v>WCA-028</x:v>
      </x:c>
      <x:c r="B240" s="5" t="str">
        <x:v>WCAG 2.2 A·AA</x:v>
      </x:c>
      <x:c r="C240" s="5" t="str">
        <x:v>WCAG 2.2</x:v>
      </x:c>
      <x:c r="D240" s="5" t="str">
        <x:v>페이지 제목</x:v>
      </x:c>
      <x:c r="E240" s="5" t="str">
        <x:v>페이지 목적 식별</x:v>
      </x:c>
      <x:c r="F240" s="5" t="str">
        <x:v>SRC-005</x:v>
      </x:c>
      <x:c r="G240" s="5" t="str">
        <x:v>2024-12-12</x:v>
      </x:c>
      <x:c r="H240" s="5" t="str">
        <x:v>2.4.2</x:v>
      </x:c>
      <x:c r="I240" s="5" t="str"/>
      <x:c r="J240" s="5" t="str">
        <x:v>국제 표준 목표</x:v>
      </x:c>
      <x:c r="K240" s="5" t="str">
        <x:v>A</x:v>
      </x:c>
      <x:c r="L240" s="5" t="str">
        <x:v>MUST(안)</x:v>
      </x:c>
      <x:c r="M240" s="10" t="str">
        <x:v>적용</x:v>
      </x:c>
      <x:c r="N240" s="5" t="str">
        <x:v>현재 샘플의 회사 필수 기준으로 채택 제안</x:v>
      </x:c>
      <x:c r="O240" s="5" t="str">
        <x:v>관련 기능·적용 기관·계약 변경 시 재평가</x:v>
      </x:c>
      <x:c r="P240" s="5" t="str">
        <x:v>S01~S08 / 해당 기능의 모든 화면·상태</x:v>
      </x:c>
      <x:c r="Q240" s="5" t="str">
        <x:v>요청명·화면명 포함 document.title</x:v>
      </x:c>
      <x:c r="R240" s="5" t="str">
        <x:v>자동+수동</x:v>
      </x:c>
      <x:c r="S240" s="10" t="str">
        <x:v>자동+수동</x:v>
      </x:c>
      <x:c r="T240" s="5" t="str">
        <x:v>개발·QA</x:v>
      </x:c>
      <x:c r="U240" s="5" t="str">
        <x:v>P1</x:v>
      </x:c>
      <x:c r="V240" s="10" t="str">
        <x:v>구현</x:v>
      </x:c>
      <x:c r="W240" s="5" t="str">
        <x:v>페이지별 document.title과 한 개 h1, 섹션 h2/h3 계층 및 목적이 드러나는 입력 레이블을 제공한다.</x:v>
      </x:c>
      <x:c r="X240" s="5" t="str">
        <x:v>apps/web/src/App.tsx#routeInfo
apps/web/src/App.tsx#App
apps/web/src/App.tsx#RequestWizard</x:v>
      </x:c>
      <x:c r="Y240" s="5" t="str">
        <x:v>E2E-AXE
MAN-WCA-028</x:v>
      </x:c>
      <x:c r="Z240" s="10" t="str">
        <x:v>부분확인</x:v>
      </x:c>
      <x:c r="AA240" s="10" t="str">
        <x:v>미실행</x:v>
      </x:c>
      <x:c r="AB240" s="5" t="str">
        <x:v>E2E-AXE-2026-10-20T06-15-00-647Z</x:v>
      </x:c>
      <x:c r="AC240" s="5" t="n">
        <x:v>1</x:v>
      </x:c>
      <x:c r="AD240" s="5" t="n">
        <x:v>2</x:v>
      </x:c>
      <x:c r="AE240" s="10" t="str">
        <x:v>부분확인</x:v>
      </x:c>
      <x:c r="AF240" s="5" t="str"/>
      <x:c r="AG240" s="5" t="str"/>
      <x:c r="AH240" s="5" t="str"/>
      <x:c r="AI240" s="10" t="str">
        <x:v>입력 기준 유지</x:v>
      </x:c>
      <x:c r="AJ240" s="5" t="str">
        <x:f>IF(AND(M240="적용",V240="구현",X240&lt;&gt;"",Y240&lt;&gt;"",AB240&lt;&gt;"",AC240&gt;0,AD240&gt;0,AE240="통과",AF240="",AG240&lt;&gt;"",AH240&lt;&gt;"",OR(S240="자동",S240="수동",S240="자동+수동"),IF(OR(S240="자동",S240="자동+수동"),Z240="통과",TRUE),IF(OR(S240="수동",S240="자동+수동"),AA240="통과",TRUE)),"통과",IF(OR(Z240="실패",AA240="실패",AE240="실패"),"실패","보류"))</x:f>
        <x:v>보류</x:v>
      </x:c>
      <x:c r="AK240" s="5" t="str"/>
      <x:c r="AL240" s="5" t="str"/>
      <x:c r="AM240" s="5" t="str">
        <x:v>입력 v0.1 계획 주석은 original_plan_note에 보존. 최신 구현·시험·증빙은 연결 적용기록을 참조하며 전체 준수·인증을 주장하지 않음.</x:v>
      </x:c>
    </x:row>
    <x:row r="241" ht="39.599998474121094" hidden="0" customHeight="1">
      <x:c r="A241" s="5" t="str">
        <x:v>WCA-029</x:v>
      </x:c>
      <x:c r="B241" s="5" t="str">
        <x:v>WCAG 2.2 A·AA</x:v>
      </x:c>
      <x:c r="C241" s="5" t="str">
        <x:v>WCAG 2.2</x:v>
      </x:c>
      <x:c r="D241" s="5" t="str">
        <x:v>초점 순서</x:v>
      </x:c>
      <x:c r="E241" s="5" t="str">
        <x:v>논리적 초점</x:v>
      </x:c>
      <x:c r="F241" s="5" t="str">
        <x:v>SRC-005</x:v>
      </x:c>
      <x:c r="G241" s="5" t="str">
        <x:v>2024-12-12</x:v>
      </x:c>
      <x:c r="H241" s="5" t="str">
        <x:v>2.4.3</x:v>
      </x:c>
      <x:c r="I241" s="5" t="str"/>
      <x:c r="J241" s="5" t="str">
        <x:v>국제 표준 목표</x:v>
      </x:c>
      <x:c r="K241" s="5" t="str">
        <x:v>A</x:v>
      </x:c>
      <x:c r="L241" s="5" t="str">
        <x:v>MUST(안)</x:v>
      </x:c>
      <x:c r="M241" s="10" t="str">
        <x:v>적용</x:v>
      </x:c>
      <x:c r="N241" s="5" t="str">
        <x:v>현재 샘플의 회사 필수 기준으로 채택 제안</x:v>
      </x:c>
      <x:c r="O241" s="5" t="str">
        <x:v>관련 기능·적용 기관·계약 변경 시 재평가</x:v>
      </x:c>
      <x:c r="P241" s="5" t="str">
        <x:v>S01~S08 / 해당 기능의 모든 화면·상태</x:v>
      </x:c>
      <x:c r="Q241" s="5" t="str">
        <x:v>양수 tabindex 금지, 전환·모달 순서 관리</x:v>
      </x:c>
      <x:c r="R241" s="5" t="str">
        <x:v>자동+수동</x:v>
      </x:c>
      <x:c r="S241" s="10" t="str">
        <x:v>자동+수동</x:v>
      </x:c>
      <x:c r="T241" s="5" t="str">
        <x:v>개발·QA</x:v>
      </x:c>
      <x:c r="U241" s="5" t="str">
        <x:v>P1</x:v>
      </x:c>
      <x:c r="V241" s="10" t="str">
        <x:v>구현</x:v>
      </x:c>
      <x:c r="W241" s="5" t="str">
        <x:v>가시적인 3px 초점, 화면/단계 이동 제목 초점, dialog 내부 Tab순환과 원위치 복귀, scroll-margin을 구현한다. 본문을 가리는 고정 푸터는 사용하지 않는다.</x:v>
      </x:c>
      <x:c r="X241" s="5" t="str">
        <x:v>apps/web/src/App.tsx#App
apps/web/src/ui.tsx#Modal
apps/web/src/styles.css</x:v>
      </x:c>
      <x:c r="Y241" s="5" t="str">
        <x:v>E2E-KEYBOARD
SCREEN-MODAL
MAN-WCA-029</x:v>
      </x:c>
      <x:c r="Z241" s="10" t="str">
        <x:v>부분확인</x:v>
      </x:c>
      <x:c r="AA241" s="10" t="str">
        <x:v>미실행</x:v>
      </x:c>
      <x:c r="AB241" s="5" t="str">
        <x:v>E2E-KEYBOARD-2026-10-20T06-15-00-647Z
SCREEN-MODAL-2026-10-20T06-15-00-647Z</x:v>
      </x:c>
      <x:c r="AC241" s="5" t="n">
        <x:v>2</x:v>
      </x:c>
      <x:c r="AD241" s="5" t="n">
        <x:v>3</x:v>
      </x:c>
      <x:c r="AE241" s="10" t="str">
        <x:v>부분확인</x:v>
      </x:c>
      <x:c r="AF241" s="5" t="str"/>
      <x:c r="AG241" s="5" t="str"/>
      <x:c r="AH241" s="5" t="str"/>
      <x:c r="AI241" s="10" t="str">
        <x:v>입력 기준 유지</x:v>
      </x:c>
      <x:c r="AJ241" s="5" t="str">
        <x:f>IF(AND(M241="적용",V241="구현",X241&lt;&gt;"",Y241&lt;&gt;"",AB241&lt;&gt;"",AC241&gt;0,AD241&gt;0,AE241="통과",AF241="",AG241&lt;&gt;"",AH241&lt;&gt;"",OR(S241="자동",S241="수동",S241="자동+수동"),IF(OR(S241="자동",S241="자동+수동"),Z241="통과",TRUE),IF(OR(S241="수동",S241="자동+수동"),AA241="통과",TRUE)),"통과",IF(OR(Z241="실패",AA241="실패",AE241="실패"),"실패","보류"))</x:f>
        <x:v>보류</x:v>
      </x:c>
      <x:c r="AK241" s="5" t="str"/>
      <x:c r="AL241" s="5" t="str"/>
      <x:c r="AM241" s="5" t="str">
        <x:v>입력 v0.1 계획 주석은 original_plan_note에 보존. 최신 구현·시험·증빙은 연결 적용기록을 참조하며 전체 준수·인증을 주장하지 않음.</x:v>
      </x:c>
    </x:row>
    <x:row r="242" ht="52.79999923706055" hidden="0" customHeight="1">
      <x:c r="A242" s="5" t="str">
        <x:v>WCA-030</x:v>
      </x:c>
      <x:c r="B242" s="5" t="str">
        <x:v>WCAG 2.2 A·AA</x:v>
      </x:c>
      <x:c r="C242" s="5" t="str">
        <x:v>WCAG 2.2</x:v>
      </x:c>
      <x:c r="D242" s="5" t="str">
        <x:v>링크 목적</x:v>
      </x:c>
      <x:c r="E242" s="5" t="str">
        <x:v>링크 목적 전달</x:v>
      </x:c>
      <x:c r="F242" s="5" t="str">
        <x:v>SRC-005</x:v>
      </x:c>
      <x:c r="G242" s="5" t="str">
        <x:v>2024-12-12</x:v>
      </x:c>
      <x:c r="H242" s="5" t="str">
        <x:v>2.4.4</x:v>
      </x:c>
      <x:c r="I242" s="5" t="str"/>
      <x:c r="J242" s="5" t="str">
        <x:v>국제 표준 목표</x:v>
      </x:c>
      <x:c r="K242" s="5" t="str">
        <x:v>A</x:v>
      </x:c>
      <x:c r="L242" s="5" t="str">
        <x:v>MUST(안)</x:v>
      </x:c>
      <x:c r="M242" s="10" t="str">
        <x:v>적용</x:v>
      </x:c>
      <x:c r="N242" s="5" t="str">
        <x:v>현재 샘플의 회사 필수 기준으로 채택 제안</x:v>
      </x:c>
      <x:c r="O242" s="5" t="str">
        <x:v>관련 기능·적용 기관·계약 변경 시 재평가</x:v>
      </x:c>
      <x:c r="P242" s="5" t="str">
        <x:v>S01~S08 / 해당 기능의 모든 화면·상태</x:v>
      </x:c>
      <x:c r="Q242" s="5" t="str">
        <x:v>문맥에서 요청 식별 가능한 상세 링크</x:v>
      </x:c>
      <x:c r="R242" s="5" t="str">
        <x:v>수동</x:v>
      </x:c>
      <x:c r="S242" s="10" t="str">
        <x:v>수동</x:v>
      </x:c>
      <x:c r="T242" s="5" t="str">
        <x:v>개발·QA</x:v>
      </x:c>
      <x:c r="U242" s="5" t="str">
        <x:v>P1</x:v>
      </x:c>
      <x:c r="V242" s="10" t="str">
        <x:v>구현</x:v>
      </x:c>
      <x:c r="W242" s="5" t="str">
        <x:v>요청 제목·파일명·보고서 형식을 링크 이름으로 제공하며 실제 목적지를 href로 유지한다.</x:v>
      </x:c>
      <x:c r="X242" s="5" t="str">
        <x:v>apps/web/src/App.tsx#AppLink
apps/web/src/App.tsx#RequestTable
apps/web/src/App.tsx#RequestDetail
apps/web/src/StandardsBrowser.tsx#StandardsBrowser</x:v>
      </x:c>
      <x:c r="Y242" s="5" t="str">
        <x:v>MAN-WCA-030</x:v>
      </x:c>
      <x:c r="Z242" s="10" t="str">
        <x:v>미실행</x:v>
      </x:c>
      <x:c r="AA242" s="10" t="str">
        <x:v>미실행</x:v>
      </x:c>
      <x:c r="AB242" s="5" t="str"/>
      <x:c r="AC242" s="5" t="n">
        <x:v>0</x:v>
      </x:c>
      <x:c r="AD242" s="5" t="n">
        <x:v>1</x:v>
      </x:c>
      <x:c r="AE242" s="10" t="str">
        <x:v>미실행</x:v>
      </x:c>
      <x:c r="AF242" s="5" t="str"/>
      <x:c r="AG242" s="5" t="str"/>
      <x:c r="AH242" s="5" t="str"/>
      <x:c r="AI242" s="10" t="str">
        <x:v>입력 기준 유지</x:v>
      </x:c>
      <x:c r="AJ242" s="5" t="str">
        <x:f>IF(AND(M242="적용",V242="구현",X242&lt;&gt;"",Y242&lt;&gt;"",AB242&lt;&gt;"",AC242&gt;0,AD242&gt;0,AE242="통과",AF242="",AG242&lt;&gt;"",AH242&lt;&gt;"",OR(S242="자동",S242="수동",S242="자동+수동"),IF(OR(S242="자동",S242="자동+수동"),Z242="통과",TRUE),IF(OR(S242="수동",S242="자동+수동"),AA242="통과",TRUE)),"통과",IF(OR(Z242="실패",AA242="실패",AE242="실패"),"실패","보류"))</x:f>
        <x:v>보류</x:v>
      </x:c>
      <x:c r="AK242" s="5" t="str"/>
      <x:c r="AL242" s="5" t="str"/>
      <x:c r="AM242" s="5" t="str">
        <x:v>입력 v0.1 계획 주석은 original_plan_note에 보존. 최신 구현·시험·증빙은 연결 적용기록을 참조하며 전체 준수·인증을 주장하지 않음.</x:v>
      </x:c>
    </x:row>
    <x:row r="243" ht="39.599998474121094" hidden="0" customHeight="1">
      <x:c r="A243" s="5" t="str">
        <x:v>WCA-031</x:v>
      </x:c>
      <x:c r="B243" s="5" t="str">
        <x:v>WCAG 2.2 A·AA</x:v>
      </x:c>
      <x:c r="C243" s="5" t="str">
        <x:v>WCAG 2.2</x:v>
      </x:c>
      <x:c r="D243" s="5" t="str">
        <x:v>찾는 방법 다양화</x:v>
      </x:c>
      <x:c r="E243" s="5" t="str">
        <x:v>복수 탐색수단</x:v>
      </x:c>
      <x:c r="F243" s="5" t="str">
        <x:v>SRC-005</x:v>
      </x:c>
      <x:c r="G243" s="5" t="str">
        <x:v>2024-12-12</x:v>
      </x:c>
      <x:c r="H243" s="5" t="str">
        <x:v>2.4.5</x:v>
      </x:c>
      <x:c r="I243" s="5" t="str"/>
      <x:c r="J243" s="5" t="str">
        <x:v>국제 표준 목표</x:v>
      </x:c>
      <x:c r="K243" s="5" t="str">
        <x:v>AA</x:v>
      </x:c>
      <x:c r="L243" s="5" t="str">
        <x:v>MUST(안)</x:v>
      </x:c>
      <x:c r="M243" s="10" t="str">
        <x:v>적용</x:v>
      </x:c>
      <x:c r="N243" s="5" t="str">
        <x:v>현재 샘플의 회사 필수 기준으로 채택 제안</x:v>
      </x:c>
      <x:c r="O243" s="5" t="str">
        <x:v>관련 기능·적용 기관·계약 변경 시 재평가</x:v>
      </x:c>
      <x:c r="P243" s="5" t="str">
        <x:v>S01~S08 / 해당 기능의 모든 화면·상태</x:v>
      </x:c>
      <x:c r="Q243" s="5" t="str">
        <x:v>메뉴와 검색·목록 등 두 경로 제공</x:v>
      </x:c>
      <x:c r="R243" s="5" t="str">
        <x:v>수동</x:v>
      </x:c>
      <x:c r="S243" s="10" t="str">
        <x:v>수동</x:v>
      </x:c>
      <x:c r="T243" s="5" t="str">
        <x:v>개발·QA</x:v>
      </x:c>
      <x:c r="U243" s="5" t="str">
        <x:v>P1</x:v>
      </x:c>
      <x:c r="V243" s="10" t="str">
        <x:v>구현</x:v>
      </x:c>
      <x:c r="W243" s="5" t="str">
        <x:v>공통 탐색, 대시보드 상태별 링크, 요청 검색·정렬, 도움말·자료 검색 경로를 제공한다.</x:v>
      </x:c>
      <x:c r="X243" s="5" t="str">
        <x:v>apps/web/src/App.tsx#App
apps/web/src/App.tsx#Dashboard
apps/web/src/App.tsx#RequestList</x:v>
      </x:c>
      <x:c r="Y243" s="5" t="str">
        <x:v>MAN-WCA-031</x:v>
      </x:c>
      <x:c r="Z243" s="10" t="str">
        <x:v>미실행</x:v>
      </x:c>
      <x:c r="AA243" s="10" t="str">
        <x:v>미실행</x:v>
      </x:c>
      <x:c r="AB243" s="5" t="str"/>
      <x:c r="AC243" s="5" t="n">
        <x:v>0</x:v>
      </x:c>
      <x:c r="AD243" s="5" t="n">
        <x:v>1</x:v>
      </x:c>
      <x:c r="AE243" s="10" t="str">
        <x:v>미실행</x:v>
      </x:c>
      <x:c r="AF243" s="5" t="str"/>
      <x:c r="AG243" s="5" t="str"/>
      <x:c r="AH243" s="5" t="str"/>
      <x:c r="AI243" s="10" t="str">
        <x:v>입력 기준 유지</x:v>
      </x:c>
      <x:c r="AJ243" s="5" t="str">
        <x:f>IF(AND(M243="적용",V243="구현",X243&lt;&gt;"",Y243&lt;&gt;"",AB243&lt;&gt;"",AC243&gt;0,AD243&gt;0,AE243="통과",AF243="",AG243&lt;&gt;"",AH243&lt;&gt;"",OR(S243="자동",S243="수동",S243="자동+수동"),IF(OR(S243="자동",S243="자동+수동"),Z243="통과",TRUE),IF(OR(S243="수동",S243="자동+수동"),AA243="통과",TRUE)),"통과",IF(OR(Z243="실패",AA243="실패",AE243="실패"),"실패","보류"))</x:f>
        <x:v>보류</x:v>
      </x:c>
      <x:c r="AK243" s="5" t="str"/>
      <x:c r="AL243" s="5" t="str"/>
      <x:c r="AM243" s="5" t="str">
        <x:v>입력 v0.1 계획 주석은 original_plan_note에 보존. 최신 구현·시험·증빙은 연결 적용기록을 참조하며 전체 준수·인증을 주장하지 않음.</x:v>
      </x:c>
    </x:row>
    <x:row r="244" ht="39.599998474121094" hidden="0" customHeight="1">
      <x:c r="A244" s="5" t="str">
        <x:v>WCA-032</x:v>
      </x:c>
      <x:c r="B244" s="5" t="str">
        <x:v>WCAG 2.2 A·AA</x:v>
      </x:c>
      <x:c r="C244" s="5" t="str">
        <x:v>WCAG 2.2</x:v>
      </x:c>
      <x:c r="D244" s="5" t="str">
        <x:v>제목·레이블 설명</x:v>
      </x:c>
      <x:c r="E244" s="5" t="str">
        <x:v>목적 드러나는 제목</x:v>
      </x:c>
      <x:c r="F244" s="5" t="str">
        <x:v>SRC-005</x:v>
      </x:c>
      <x:c r="G244" s="5" t="str">
        <x:v>2024-12-12</x:v>
      </x:c>
      <x:c r="H244" s="5" t="str">
        <x:v>2.4.6</x:v>
      </x:c>
      <x:c r="I244" s="5" t="str"/>
      <x:c r="J244" s="5" t="str">
        <x:v>국제 표준 목표</x:v>
      </x:c>
      <x:c r="K244" s="5" t="str">
        <x:v>AA</x:v>
      </x:c>
      <x:c r="L244" s="5" t="str">
        <x:v>MUST(안)</x:v>
      </x:c>
      <x:c r="M244" s="10" t="str">
        <x:v>적용</x:v>
      </x:c>
      <x:c r="N244" s="5" t="str">
        <x:v>현재 샘플의 회사 필수 기준으로 채택 제안</x:v>
      </x:c>
      <x:c r="O244" s="5" t="str">
        <x:v>관련 기능·적용 기관·계약 변경 시 재평가</x:v>
      </x:c>
      <x:c r="P244" s="5" t="str">
        <x:v>S01~S08 / 해당 기능의 모든 화면·상태</x:v>
      </x:c>
      <x:c r="Q244" s="5" t="str">
        <x:v>“요청 제목”, “처리 상태” 등 명시</x:v>
      </x:c>
      <x:c r="R244" s="5" t="str">
        <x:v>수동</x:v>
      </x:c>
      <x:c r="S244" s="10" t="str">
        <x:v>수동</x:v>
      </x:c>
      <x:c r="T244" s="5" t="str">
        <x:v>개발·QA</x:v>
      </x:c>
      <x:c r="U244" s="5" t="str">
        <x:v>P1</x:v>
      </x:c>
      <x:c r="V244" s="10" t="str">
        <x:v>구현</x:v>
      </x:c>
      <x:c r="W244" s="5" t="str">
        <x:v>페이지별 document.title과 한 개 h1, 섹션 h2/h3 계층 및 목적이 드러나는 입력 레이블을 제공한다.</x:v>
      </x:c>
      <x:c r="X244" s="5" t="str">
        <x:v>apps/web/src/App.tsx#routeInfo
apps/web/src/App.tsx#App
apps/web/src/App.tsx#RequestWizard</x:v>
      </x:c>
      <x:c r="Y244" s="5" t="str">
        <x:v>MAN-WCA-032</x:v>
      </x:c>
      <x:c r="Z244" s="10" t="str">
        <x:v>미실행</x:v>
      </x:c>
      <x:c r="AA244" s="10" t="str">
        <x:v>미실행</x:v>
      </x:c>
      <x:c r="AB244" s="5" t="str"/>
      <x:c r="AC244" s="5" t="n">
        <x:v>0</x:v>
      </x:c>
      <x:c r="AD244" s="5" t="n">
        <x:v>1</x:v>
      </x:c>
      <x:c r="AE244" s="10" t="str">
        <x:v>미실행</x:v>
      </x:c>
      <x:c r="AF244" s="5" t="str"/>
      <x:c r="AG244" s="5" t="str"/>
      <x:c r="AH244" s="5" t="str"/>
      <x:c r="AI244" s="10" t="str">
        <x:v>입력 기준 유지</x:v>
      </x:c>
      <x:c r="AJ244" s="5" t="str">
        <x:f>IF(AND(M244="적용",V244="구현",X244&lt;&gt;"",Y244&lt;&gt;"",AB244&lt;&gt;"",AC244&gt;0,AD244&gt;0,AE244="통과",AF244="",AG244&lt;&gt;"",AH244&lt;&gt;"",OR(S244="자동",S244="수동",S244="자동+수동"),IF(OR(S244="자동",S244="자동+수동"),Z244="통과",TRUE),IF(OR(S244="수동",S244="자동+수동"),AA244="통과",TRUE)),"통과",IF(OR(Z244="실패",AA244="실패",AE244="실패"),"실패","보류"))</x:f>
        <x:v>보류</x:v>
      </x:c>
      <x:c r="AK244" s="5" t="str"/>
      <x:c r="AL244" s="5" t="str"/>
      <x:c r="AM244" s="5" t="str">
        <x:v>입력 v0.1 계획 주석은 original_plan_note에 보존. 최신 구현·시험·증빙은 연결 적용기록을 참조하며 전체 준수·인증을 주장하지 않음.</x:v>
      </x:c>
    </x:row>
    <x:row r="245" ht="39.599998474121094" hidden="0" customHeight="1">
      <x:c r="A245" s="5" t="str">
        <x:v>WCA-033</x:v>
      </x:c>
      <x:c r="B245" s="5" t="str">
        <x:v>WCAG 2.2 A·AA</x:v>
      </x:c>
      <x:c r="C245" s="5" t="str">
        <x:v>WCAG 2.2</x:v>
      </x:c>
      <x:c r="D245" s="5" t="str">
        <x:v>초점 가시성</x:v>
      </x:c>
      <x:c r="E245" s="5" t="str">
        <x:v>초점 표시</x:v>
      </x:c>
      <x:c r="F245" s="5" t="str">
        <x:v>SRC-005</x:v>
      </x:c>
      <x:c r="G245" s="5" t="str">
        <x:v>2024-12-12</x:v>
      </x:c>
      <x:c r="H245" s="5" t="str">
        <x:v>2.4.7</x:v>
      </x:c>
      <x:c r="I245" s="5" t="str"/>
      <x:c r="J245" s="5" t="str">
        <x:v>국제 표준 목표</x:v>
      </x:c>
      <x:c r="K245" s="5" t="str">
        <x:v>AA</x:v>
      </x:c>
      <x:c r="L245" s="5" t="str">
        <x:v>MUST(안)</x:v>
      </x:c>
      <x:c r="M245" s="10" t="str">
        <x:v>적용</x:v>
      </x:c>
      <x:c r="N245" s="5" t="str">
        <x:v>현재 샘플의 회사 필수 기준으로 채택 제안</x:v>
      </x:c>
      <x:c r="O245" s="5" t="str">
        <x:v>관련 기능·적용 기관·계약 변경 시 재평가</x:v>
      </x:c>
      <x:c r="P245" s="5" t="str">
        <x:v>S01~S08 / 해당 기능의 모든 화면·상태</x:v>
      </x:c>
      <x:c r="Q245" s="5" t="str">
        <x:v>모든 인터랙티브 요소 focus-visible 스타일</x:v>
      </x:c>
      <x:c r="R245" s="5" t="str">
        <x:v>자동+수동</x:v>
      </x:c>
      <x:c r="S245" s="10" t="str">
        <x:v>자동+수동</x:v>
      </x:c>
      <x:c r="T245" s="5" t="str">
        <x:v>개발·QA</x:v>
      </x:c>
      <x:c r="U245" s="5" t="str">
        <x:v>P1</x:v>
      </x:c>
      <x:c r="V245" s="10" t="str">
        <x:v>구현</x:v>
      </x:c>
      <x:c r="W245" s="5" t="str">
        <x:v>가시적인 3px 초점, 화면/단계 이동 제목 초점, dialog 내부 Tab순환과 원위치 복귀, scroll-margin을 구현한다. 본문을 가리는 고정 푸터는 사용하지 않는다.</x:v>
      </x:c>
      <x:c r="X245" s="5" t="str">
        <x:v>apps/web/src/App.tsx#App
apps/web/src/ui.tsx#Modal
apps/web/src/styles.css</x:v>
      </x:c>
      <x:c r="Y245" s="5" t="str">
        <x:v>E2E-KEYBOARD
MAN-WCA-033</x:v>
      </x:c>
      <x:c r="Z245" s="10" t="str">
        <x:v>부분확인</x:v>
      </x:c>
      <x:c r="AA245" s="10" t="str">
        <x:v>미실행</x:v>
      </x:c>
      <x:c r="AB245" s="5" t="str">
        <x:v>E2E-KEYBOARD-2026-10-20T06-15-00-647Z</x:v>
      </x:c>
      <x:c r="AC245" s="5" t="n">
        <x:v>1</x:v>
      </x:c>
      <x:c r="AD245" s="5" t="n">
        <x:v>2</x:v>
      </x:c>
      <x:c r="AE245" s="10" t="str">
        <x:v>부분확인</x:v>
      </x:c>
      <x:c r="AF245" s="5" t="str"/>
      <x:c r="AG245" s="5" t="str"/>
      <x:c r="AH245" s="5" t="str"/>
      <x:c r="AI245" s="10" t="str">
        <x:v>입력 기준 유지</x:v>
      </x:c>
      <x:c r="AJ245" s="5" t="str">
        <x:f>IF(AND(M245="적용",V245="구현",X245&lt;&gt;"",Y245&lt;&gt;"",AB245&lt;&gt;"",AC245&gt;0,AD245&gt;0,AE245="통과",AF245="",AG245&lt;&gt;"",AH245&lt;&gt;"",OR(S245="자동",S245="수동",S245="자동+수동"),IF(OR(S245="자동",S245="자동+수동"),Z245="통과",TRUE),IF(OR(S245="수동",S245="자동+수동"),AA245="통과",TRUE)),"통과",IF(OR(Z245="실패",AA245="실패",AE245="실패"),"실패","보류"))</x:f>
        <x:v>보류</x:v>
      </x:c>
      <x:c r="AK245" s="5" t="str"/>
      <x:c r="AL245" s="5" t="str"/>
      <x:c r="AM245" s="5" t="str">
        <x:v>입력 v0.1 계획 주석은 original_plan_note에 보존. 최신 구현·시험·증빙은 연결 적용기록을 참조하며 전체 준수·인증을 주장하지 않음.</x:v>
      </x:c>
    </x:row>
    <x:row r="246" ht="39.599998474121094" hidden="0" customHeight="1">
      <x:c r="A246" s="5" t="str">
        <x:v>WCA-034</x:v>
      </x:c>
      <x:c r="B246" s="5" t="str">
        <x:v>WCAG 2.2 A·AA</x:v>
      </x:c>
      <x:c r="C246" s="5" t="str">
        <x:v>WCAG 2.2</x:v>
      </x:c>
      <x:c r="D246" s="5" t="str">
        <x:v>초점 가림 방지</x:v>
      </x:c>
      <x:c r="E246" s="5" t="str">
        <x:v>초점 완전가림 방지</x:v>
      </x:c>
      <x:c r="F246" s="5" t="str">
        <x:v>SRC-005</x:v>
      </x:c>
      <x:c r="G246" s="5" t="str">
        <x:v>2024-12-12</x:v>
      </x:c>
      <x:c r="H246" s="5" t="str">
        <x:v>2.4.11</x:v>
      </x:c>
      <x:c r="I246" s="5" t="str"/>
      <x:c r="J246" s="5" t="str">
        <x:v>국제 표준 목표</x:v>
      </x:c>
      <x:c r="K246" s="5" t="str">
        <x:v>AA</x:v>
      </x:c>
      <x:c r="L246" s="5" t="str">
        <x:v>MUST(안)</x:v>
      </x:c>
      <x:c r="M246" s="10" t="str">
        <x:v>적용</x:v>
      </x:c>
      <x:c r="N246" s="5" t="str">
        <x:v>현재 샘플의 회사 필수 기준으로 채택 제안</x:v>
      </x:c>
      <x:c r="O246" s="5" t="str">
        <x:v>관련 기능·적용 기관·계약 변경 시 재평가</x:v>
      </x:c>
      <x:c r="P246" s="5" t="str">
        <x:v>S01~S08 / 해당 기능의 모든 화면·상태</x:v>
      </x:c>
      <x:c r="Q246" s="5" t="str">
        <x:v>고정헤더·하단바·알림이 초점요소 완전히 가리지 않음</x:v>
      </x:c>
      <x:c r="R246" s="5" t="str">
        <x:v>수동</x:v>
      </x:c>
      <x:c r="S246" s="10" t="str">
        <x:v>수동</x:v>
      </x:c>
      <x:c r="T246" s="5" t="str">
        <x:v>개발·QA</x:v>
      </x:c>
      <x:c r="U246" s="5" t="str">
        <x:v>P1</x:v>
      </x:c>
      <x:c r="V246" s="10" t="str">
        <x:v>구현</x:v>
      </x:c>
      <x:c r="W246" s="5" t="str">
        <x:v>가시적인 3px 초점, 화면/단계 이동 제목 초점, dialog 내부 Tab순환과 원위치 복귀, scroll-margin을 구현한다. 본문을 가리는 고정 푸터는 사용하지 않는다.</x:v>
      </x:c>
      <x:c r="X246" s="5" t="str">
        <x:v>apps/web/src/App.tsx#App
apps/web/src/ui.tsx#Modal
apps/web/src/styles.css</x:v>
      </x:c>
      <x:c r="Y246" s="5" t="str">
        <x:v>MAN-WCA-034</x:v>
      </x:c>
      <x:c r="Z246" s="10" t="str">
        <x:v>미실행</x:v>
      </x:c>
      <x:c r="AA246" s="10" t="str">
        <x:v>미실행</x:v>
      </x:c>
      <x:c r="AB246" s="5" t="str"/>
      <x:c r="AC246" s="5" t="n">
        <x:v>0</x:v>
      </x:c>
      <x:c r="AD246" s="5" t="n">
        <x:v>1</x:v>
      </x:c>
      <x:c r="AE246" s="10" t="str">
        <x:v>미실행</x:v>
      </x:c>
      <x:c r="AF246" s="5" t="str"/>
      <x:c r="AG246" s="5" t="str"/>
      <x:c r="AH246" s="5" t="str"/>
      <x:c r="AI246" s="10" t="str">
        <x:v>입력 기준 유지</x:v>
      </x:c>
      <x:c r="AJ246" s="5" t="str">
        <x:f>IF(AND(M246="적용",V246="구현",X246&lt;&gt;"",Y246&lt;&gt;"",AB246&lt;&gt;"",AC246&gt;0,AD246&gt;0,AE246="통과",AF246="",AG246&lt;&gt;"",AH246&lt;&gt;"",OR(S246="자동",S246="수동",S246="자동+수동"),IF(OR(S246="자동",S246="자동+수동"),Z246="통과",TRUE),IF(OR(S246="수동",S246="자동+수동"),AA246="통과",TRUE)),"통과",IF(OR(Z246="실패",AA246="실패",AE246="실패"),"실패","보류"))</x:f>
        <x:v>보류</x:v>
      </x:c>
      <x:c r="AK246" s="5" t="str"/>
      <x:c r="AL246" s="5" t="str"/>
      <x:c r="AM246" s="5" t="str">
        <x:v>입력 v0.1 계획 주석은 original_plan_note에 보존. 최신 구현·시험·증빙은 연결 적용기록을 참조하며 전체 준수·인증을 주장하지 않음.</x:v>
      </x:c>
    </x:row>
    <x:row r="247" ht="26.399999618530273" hidden="0" customHeight="1">
      <x:c r="A247" s="5" t="str">
        <x:v>WCA-035</x:v>
      </x:c>
      <x:c r="B247" s="5" t="str">
        <x:v>WCAG 2.2 A·AA</x:v>
      </x:c>
      <x:c r="C247" s="5" t="str">
        <x:v>WCAG 2.2</x:v>
      </x:c>
      <x:c r="D247" s="5" t="str">
        <x:v>복잡 제스처 대체</x:v>
      </x:c>
      <x:c r="E247" s="5" t="str">
        <x:v>단일포인터 대안</x:v>
      </x:c>
      <x:c r="F247" s="5" t="str">
        <x:v>SRC-005</x:v>
      </x:c>
      <x:c r="G247" s="5" t="str">
        <x:v>2024-12-12</x:v>
      </x:c>
      <x:c r="H247" s="5" t="str">
        <x:v>2.5.1</x:v>
      </x:c>
      <x:c r="I247" s="5" t="str"/>
      <x:c r="J247" s="5" t="str">
        <x:v>국제 표준 목표</x:v>
      </x:c>
      <x:c r="K247" s="5" t="str">
        <x:v>A</x:v>
      </x:c>
      <x:c r="L247" s="5" t="str">
        <x:v>MUST(안)</x:v>
      </x:c>
      <x:c r="M247" s="10" t="str">
        <x:v>적용</x:v>
      </x:c>
      <x:c r="N247" s="5" t="str">
        <x:v>현재 샘플의 회사 필수 기준으로 채택 제안</x:v>
      </x:c>
      <x:c r="O247" s="5" t="str">
        <x:v>관련 기능·적용 기관·계약 변경 시 재평가</x:v>
      </x:c>
      <x:c r="P247" s="5" t="str">
        <x:v>S01~S08 / 해당 기능의 모든 화면·상태</x:v>
      </x:c>
      <x:c r="Q247" s="5" t="str">
        <x:v>스와이프·핀치 대신 명시 버튼 제공</x:v>
      </x:c>
      <x:c r="R247" s="5" t="str">
        <x:v>자동+수동</x:v>
      </x:c>
      <x:c r="S247" s="10" t="str">
        <x:v>자동+수동</x:v>
      </x:c>
      <x:c r="T247" s="5" t="str">
        <x:v>개발·QA</x:v>
      </x:c>
      <x:c r="U247" s="5" t="str">
        <x:v>P1</x:v>
      </x:c>
      <x:c r="V247" s="10" t="str">
        <x:v>구현</x:v>
      </x:c>
      <x:c r="W247" s="5" t="str">
        <x:v>복잡 제스처나 끌기를 요구하지 않는다. 첨부는 native 파일 선택과 클릭/키보드 버튼으로 수행한다.</x:v>
      </x:c>
      <x:c r="X247" s="5" t="str">
        <x:v>apps/web/src/App.tsx#RequestWizard
apps/web/src/App.tsx#RequestDetail</x:v>
      </x:c>
      <x:c r="Y247" s="5" t="str">
        <x:v>MAN-WCA-035</x:v>
      </x:c>
      <x:c r="Z247" s="10" t="str">
        <x:v>미실행</x:v>
      </x:c>
      <x:c r="AA247" s="10" t="str">
        <x:v>미실행</x:v>
      </x:c>
      <x:c r="AB247" s="5" t="str"/>
      <x:c r="AC247" s="5" t="n">
        <x:v>0</x:v>
      </x:c>
      <x:c r="AD247" s="5" t="n">
        <x:v>1</x:v>
      </x:c>
      <x:c r="AE247" s="10" t="str">
        <x:v>미실행</x:v>
      </x:c>
      <x:c r="AF247" s="5" t="str"/>
      <x:c r="AG247" s="5" t="str"/>
      <x:c r="AH247" s="5" t="str"/>
      <x:c r="AI247" s="10" t="str">
        <x:v>입력 기준 유지</x:v>
      </x:c>
      <x:c r="AJ247" s="5" t="str">
        <x:f>IF(AND(M247="적용",V247="구현",X247&lt;&gt;"",Y247&lt;&gt;"",AB247&lt;&gt;"",AC247&gt;0,AD247&gt;0,AE247="통과",AF247="",AG247&lt;&gt;"",AH247&lt;&gt;"",OR(S247="자동",S247="수동",S247="자동+수동"),IF(OR(S247="자동",S247="자동+수동"),Z247="통과",TRUE),IF(OR(S247="수동",S247="자동+수동"),AA247="통과",TRUE)),"통과",IF(OR(Z247="실패",AA247="실패",AE247="실패"),"실패","보류"))</x:f>
        <x:v>보류</x:v>
      </x:c>
      <x:c r="AK247" s="5" t="str"/>
      <x:c r="AL247" s="5" t="str"/>
      <x:c r="AM247" s="5" t="str">
        <x:v>입력 v0.1 계획 주석은 original_plan_note에 보존. 최신 구현·시험·증빙은 연결 적용기록을 참조하며 전체 준수·인증을 주장하지 않음.</x:v>
      </x:c>
    </x:row>
    <x:row r="248" ht="39.599998474121094" hidden="0" customHeight="1">
      <x:c r="A248" s="5" t="str">
        <x:v>WCA-036</x:v>
      </x:c>
      <x:c r="B248" s="5" t="str">
        <x:v>WCAG 2.2 A·AA</x:v>
      </x:c>
      <x:c r="C248" s="5" t="str">
        <x:v>WCAG 2.2</x:v>
      </x:c>
      <x:c r="D248" s="5" t="str">
        <x:v>포인터 취소</x:v>
      </x:c>
      <x:c r="E248" s="5" t="str">
        <x:v>누름 취소지원</x:v>
      </x:c>
      <x:c r="F248" s="5" t="str">
        <x:v>SRC-005</x:v>
      </x:c>
      <x:c r="G248" s="5" t="str">
        <x:v>2024-12-12</x:v>
      </x:c>
      <x:c r="H248" s="5" t="str">
        <x:v>2.5.2</x:v>
      </x:c>
      <x:c r="I248" s="5" t="str"/>
      <x:c r="J248" s="5" t="str">
        <x:v>국제 표준 목표</x:v>
      </x:c>
      <x:c r="K248" s="5" t="str">
        <x:v>A</x:v>
      </x:c>
      <x:c r="L248" s="5" t="str">
        <x:v>MUST(안)</x:v>
      </x:c>
      <x:c r="M248" s="10" t="str">
        <x:v>적용</x:v>
      </x:c>
      <x:c r="N248" s="5" t="str">
        <x:v>현재 샘플의 회사 필수 기준으로 채택 제안</x:v>
      </x:c>
      <x:c r="O248" s="5" t="str">
        <x:v>관련 기능·적용 기관·계약 변경 시 재평가</x:v>
      </x:c>
      <x:c r="P248" s="5" t="str">
        <x:v>S01~S08 / 해당 기능의 모든 화면·상태</x:v>
      </x:c>
      <x:c r="Q248" s="5" t="str">
        <x:v>pointerdown 실행 금지, click 기반 확정</x:v>
      </x:c>
      <x:c r="R248" s="5" t="str">
        <x:v>수동</x:v>
      </x:c>
      <x:c r="S248" s="10" t="str">
        <x:v>수동</x:v>
      </x:c>
      <x:c r="T248" s="5" t="str">
        <x:v>개발·QA</x:v>
      </x:c>
      <x:c r="U248" s="5" t="str">
        <x:v>P1</x:v>
      </x:c>
      <x:c r="V248" s="10" t="str">
        <x:v>구현</x:v>
      </x:c>
      <x:c r="W248" s="5" t="str">
        <x:v>동작은 기본 click/submit으로 실행하여 pointer-down 즉시 실행을 사용하지 않는다. 중요한 동작은 검토·취소를 제공한다.</x:v>
      </x:c>
      <x:c r="X248" s="5" t="str">
        <x:v>apps/web/src/App.tsx#AppLink
apps/web/src/App.tsx#RequestWizard
apps/web/src/App.tsx#RequestDetail</x:v>
      </x:c>
      <x:c r="Y248" s="5" t="str">
        <x:v>MAN-WCA-036</x:v>
      </x:c>
      <x:c r="Z248" s="10" t="str">
        <x:v>미실행</x:v>
      </x:c>
      <x:c r="AA248" s="10" t="str">
        <x:v>미실행</x:v>
      </x:c>
      <x:c r="AB248" s="5" t="str"/>
      <x:c r="AC248" s="5" t="n">
        <x:v>0</x:v>
      </x:c>
      <x:c r="AD248" s="5" t="n">
        <x:v>1</x:v>
      </x:c>
      <x:c r="AE248" s="10" t="str">
        <x:v>미실행</x:v>
      </x:c>
      <x:c r="AF248" s="5" t="str"/>
      <x:c r="AG248" s="5" t="str"/>
      <x:c r="AH248" s="5" t="str"/>
      <x:c r="AI248" s="10" t="str">
        <x:v>입력 기준 유지</x:v>
      </x:c>
      <x:c r="AJ248" s="5" t="str">
        <x:f>IF(AND(M248="적용",V248="구현",X248&lt;&gt;"",Y248&lt;&gt;"",AB248&lt;&gt;"",AC248&gt;0,AD248&gt;0,AE248="통과",AF248="",AG248&lt;&gt;"",AH248&lt;&gt;"",OR(S248="자동",S248="수동",S248="자동+수동"),IF(OR(S248="자동",S248="자동+수동"),Z248="통과",TRUE),IF(OR(S248="수동",S248="자동+수동"),AA248="통과",TRUE)),"통과",IF(OR(Z248="실패",AA248="실패",AE248="실패"),"실패","보류"))</x:f>
        <x:v>보류</x:v>
      </x:c>
      <x:c r="AK248" s="5" t="str"/>
      <x:c r="AL248" s="5" t="str"/>
      <x:c r="AM248" s="5" t="str">
        <x:v>입력 v0.1 계획 주석은 original_plan_note에 보존. 최신 구현·시험·증빙은 연결 적용기록을 참조하며 전체 준수·인증을 주장하지 않음.</x:v>
      </x:c>
    </x:row>
    <x:row r="249" ht="39.599998474121094" hidden="0" customHeight="1">
      <x:c r="A249" s="5" t="str">
        <x:v>WCA-037</x:v>
      </x:c>
      <x:c r="B249" s="5" t="str">
        <x:v>WCAG 2.2 A·AA</x:v>
      </x:c>
      <x:c r="C249" s="5" t="str">
        <x:v>WCAG 2.2</x:v>
      </x:c>
      <x:c r="D249" s="5" t="str">
        <x:v>표시문구와 접근명</x:v>
      </x:c>
      <x:c r="E249" s="5" t="str">
        <x:v>보이는 이름 포함</x:v>
      </x:c>
      <x:c r="F249" s="5" t="str">
        <x:v>SRC-005</x:v>
      </x:c>
      <x:c r="G249" s="5" t="str">
        <x:v>2024-12-12</x:v>
      </x:c>
      <x:c r="H249" s="5" t="str">
        <x:v>2.5.3</x:v>
      </x:c>
      <x:c r="I249" s="5" t="str"/>
      <x:c r="J249" s="5" t="str">
        <x:v>국제 표준 목표</x:v>
      </x:c>
      <x:c r="K249" s="5" t="str">
        <x:v>A</x:v>
      </x:c>
      <x:c r="L249" s="5" t="str">
        <x:v>MUST(안)</x:v>
      </x:c>
      <x:c r="M249" s="10" t="str">
        <x:v>적용</x:v>
      </x:c>
      <x:c r="N249" s="5" t="str">
        <x:v>현재 샘플의 회사 필수 기준으로 채택 제안</x:v>
      </x:c>
      <x:c r="O249" s="5" t="str">
        <x:v>관련 기능·적용 기관·계약 변경 시 재평가</x:v>
      </x:c>
      <x:c r="P249" s="5" t="str">
        <x:v>S01~S08 / 해당 기능의 모든 화면·상태</x:v>
      </x:c>
      <x:c r="Q249" s="5" t="str">
        <x:v>표시문구가 접근가능 이름에 포함</x:v>
      </x:c>
      <x:c r="R249" s="5" t="str">
        <x:v>자동+수동</x:v>
      </x:c>
      <x:c r="S249" s="10" t="str">
        <x:v>자동+수동</x:v>
      </x:c>
      <x:c r="T249" s="5" t="str">
        <x:v>개발·QA</x:v>
      </x:c>
      <x:c r="U249" s="5" t="str">
        <x:v>P1</x:v>
      </x:c>
      <x:c r="V249" s="10" t="str">
        <x:v>구현</x:v>
      </x:c>
      <x:c r="W249" s="5" t="str">
        <x:v>가시적 버튼·링크 이름을 접근명에 포함한다. 항목 복사는 규칙ID와 가시적 항목 복사 문구를 함께 aria-label에 포함한다.</x:v>
      </x:c>
      <x:c r="X249" s="5" t="str">
        <x:v>apps/web/src/StandardsBrowser.tsx#StandardsBrowser
apps/web/src/App.tsx#App
apps/web/src/App.tsx#Gallery</x:v>
      </x:c>
      <x:c r="Y249" s="5" t="str">
        <x:v>E2E-AXE
MAN-WCA-037</x:v>
      </x:c>
      <x:c r="Z249" s="10" t="str">
        <x:v>부분확인</x:v>
      </x:c>
      <x:c r="AA249" s="10" t="str">
        <x:v>미실행</x:v>
      </x:c>
      <x:c r="AB249" s="5" t="str">
        <x:v>E2E-AXE-2026-10-20T06-15-00-647Z</x:v>
      </x:c>
      <x:c r="AC249" s="5" t="n">
        <x:v>1</x:v>
      </x:c>
      <x:c r="AD249" s="5" t="n">
        <x:v>2</x:v>
      </x:c>
      <x:c r="AE249" s="10" t="str">
        <x:v>부분확인</x:v>
      </x:c>
      <x:c r="AF249" s="5" t="str"/>
      <x:c r="AG249" s="5" t="str"/>
      <x:c r="AH249" s="5" t="str"/>
      <x:c r="AI249" s="10" t="str">
        <x:v>입력 기준 유지</x:v>
      </x:c>
      <x:c r="AJ249" s="5" t="str">
        <x:f>IF(AND(M249="적용",V249="구현",X249&lt;&gt;"",Y249&lt;&gt;"",AB249&lt;&gt;"",AC249&gt;0,AD249&gt;0,AE249="통과",AF249="",AG249&lt;&gt;"",AH249&lt;&gt;"",OR(S249="자동",S249="수동",S249="자동+수동"),IF(OR(S249="자동",S249="자동+수동"),Z249="통과",TRUE),IF(OR(S249="수동",S249="자동+수동"),AA249="통과",TRUE)),"통과",IF(OR(Z249="실패",AA249="실패",AE249="실패"),"실패","보류"))</x:f>
        <x:v>보류</x:v>
      </x:c>
      <x:c r="AK249" s="5" t="str"/>
      <x:c r="AL249" s="5" t="str"/>
      <x:c r="AM249" s="5" t="str">
        <x:v>입력 v0.1 계획 주석은 original_plan_note에 보존. 최신 구현·시험·증빙은 연결 적용기록을 참조하며 전체 준수·인증을 주장하지 않음.</x:v>
      </x:c>
    </x:row>
    <x:row r="250" ht="26.399999618530273" hidden="0" customHeight="1">
      <x:c r="A250" s="5" t="str">
        <x:v>WCA-038</x:v>
      </x:c>
      <x:c r="B250" s="5" t="str">
        <x:v>WCAG 2.2 A·AA</x:v>
      </x:c>
      <x:c r="C250" s="5" t="str">
        <x:v>WCAG 2.2</x:v>
      </x:c>
      <x:c r="D250" s="5" t="str">
        <x:v>동작센서 대체</x:v>
      </x:c>
      <x:c r="E250" s="5" t="str">
        <x:v>모션 대안·해제</x:v>
      </x:c>
      <x:c r="F250" s="5" t="str">
        <x:v>SRC-005</x:v>
      </x:c>
      <x:c r="G250" s="5" t="str">
        <x:v>2024-12-12</x:v>
      </x:c>
      <x:c r="H250" s="5" t="str">
        <x:v>2.5.4</x:v>
      </x:c>
      <x:c r="I250" s="5" t="str"/>
      <x:c r="J250" s="5" t="str">
        <x:v>국제 표준 목표</x:v>
      </x:c>
      <x:c r="K250" s="5" t="str">
        <x:v>A</x:v>
      </x:c>
      <x:c r="L250" s="5" t="str">
        <x:v>MUST(안)</x:v>
      </x:c>
      <x:c r="M250" s="10" t="str">
        <x:v>조건부</x:v>
      </x:c>
      <x:c r="N250" s="5" t="str">
        <x:v>현재 모션센서 기능 없음</x:v>
      </x:c>
      <x:c r="O250" s="5" t="str">
        <x:v>현재 모션센서 기능 없음</x:v>
      </x:c>
      <x:c r="P250" s="5" t="str">
        <x:v>S01~S08 / 해당 기능의 모든 화면·상태</x:v>
      </x:c>
      <x:c r="Q250" s="5" t="str">
        <x:v>흔들기·기울이기 미사용</x:v>
      </x:c>
      <x:c r="R250" s="5" t="str">
        <x:v>기능 존재 확인 후 수동검토</x:v>
      </x:c>
      <x:c r="S250" s="10" t="str">
        <x:v>수동</x:v>
      </x:c>
      <x:c r="T250" s="5" t="str">
        <x:v>개발·QA</x:v>
      </x:c>
      <x:c r="U250" s="5" t="str">
        <x:v>P1</x:v>
      </x:c>
      <x:c r="V250" s="10" t="str">
        <x:v>계획</x:v>
      </x:c>
      <x:c r="W250" s="5" t="str">
        <x:v>장치 움직임·모션 센서로 작동하는 기능은 도입하지 않았다. 추가 시 대체 조작 및 해제수단을 검토한다.</x:v>
      </x:c>
      <x:c r="X250" s="5" t="str"/>
      <x:c r="Y250" s="5" t="str">
        <x:v>MAN-WCA-038</x:v>
      </x:c>
      <x:c r="Z250" s="10" t="str">
        <x:v>미실행</x:v>
      </x:c>
      <x:c r="AA250" s="10" t="str">
        <x:v>미실행</x:v>
      </x:c>
      <x:c r="AB250" s="5" t="str"/>
      <x:c r="AC250" s="5" t="n">
        <x:v>0</x:v>
      </x:c>
      <x:c r="AD250" s="5" t="n">
        <x:v>1</x:v>
      </x:c>
      <x:c r="AE250" s="10" t="str">
        <x:v>미실행</x:v>
      </x:c>
      <x:c r="AF250" s="5" t="str"/>
      <x:c r="AG250" s="5" t="str"/>
      <x:c r="AH250" s="5" t="str"/>
      <x:c r="AI250" s="10" t="str">
        <x:v>입력 기준 유지</x:v>
      </x:c>
      <x:c r="AJ250" s="5" t="str">
        <x:f>IF(AND(M250="적용",V250="구현",X250&lt;&gt;"",Y250&lt;&gt;"",AB250&lt;&gt;"",AC250&gt;0,AD250&gt;0,AE250="통과",AF250="",AG250&lt;&gt;"",AH250&lt;&gt;"",OR(S250="자동",S250="수동",S250="자동+수동"),IF(OR(S250="자동",S250="자동+수동"),Z250="통과",TRUE),IF(OR(S250="수동",S250="자동+수동"),AA250="통과",TRUE)),"통과",IF(OR(Z250="실패",AA250="실패",AE250="실패"),"실패","보류"))</x:f>
        <x:v>보류</x:v>
      </x:c>
      <x:c r="AK250" s="5" t="str"/>
      <x:c r="AL250" s="5" t="str"/>
      <x:c r="AM250" s="5" t="str">
        <x:v>입력 v0.1 계획 주석은 original_plan_note에 보존. 최신 구현·시험·증빙은 연결 적용기록을 참조하며 전체 준수·인증을 주장하지 않음.</x:v>
      </x:c>
    </x:row>
    <x:row r="251" ht="26.399999618530273" hidden="0" customHeight="1">
      <x:c r="A251" s="5" t="str">
        <x:v>WCA-039</x:v>
      </x:c>
      <x:c r="B251" s="5" t="str">
        <x:v>WCAG 2.2 A·AA</x:v>
      </x:c>
      <x:c r="C251" s="5" t="str">
        <x:v>WCAG 2.2</x:v>
      </x:c>
      <x:c r="D251" s="5" t="str">
        <x:v>끌기 대체</x:v>
      </x:c>
      <x:c r="E251" s="5" t="str">
        <x:v>드래그 없는 대안</x:v>
      </x:c>
      <x:c r="F251" s="5" t="str">
        <x:v>SRC-005</x:v>
      </x:c>
      <x:c r="G251" s="5" t="str">
        <x:v>2024-12-12</x:v>
      </x:c>
      <x:c r="H251" s="5" t="str">
        <x:v>2.5.7</x:v>
      </x:c>
      <x:c r="I251" s="5" t="str"/>
      <x:c r="J251" s="5" t="str">
        <x:v>국제 표준 목표</x:v>
      </x:c>
      <x:c r="K251" s="5" t="str">
        <x:v>AA</x:v>
      </x:c>
      <x:c r="L251" s="5" t="str">
        <x:v>MUST(안)</x:v>
      </x:c>
      <x:c r="M251" s="10" t="str">
        <x:v>적용</x:v>
      </x:c>
      <x:c r="N251" s="5" t="str">
        <x:v>현재 샘플의 회사 필수 기준으로 채택 제안</x:v>
      </x:c>
      <x:c r="O251" s="5" t="str">
        <x:v>관련 기능·적용 기관·계약 변경 시 재평가</x:v>
      </x:c>
      <x:c r="P251" s="5" t="str">
        <x:v>S01~S08 / 해당 기능의 모든 화면·상태</x:v>
      </x:c>
      <x:c r="Q251" s="5" t="str">
        <x:v>첨부 파일선택 버튼·순서변경 위아래 버튼</x:v>
      </x:c>
      <x:c r="R251" s="5" t="str">
        <x:v>자동+수동</x:v>
      </x:c>
      <x:c r="S251" s="10" t="str">
        <x:v>자동+수동</x:v>
      </x:c>
      <x:c r="T251" s="5" t="str">
        <x:v>개발·QA</x:v>
      </x:c>
      <x:c r="U251" s="5" t="str">
        <x:v>P1</x:v>
      </x:c>
      <x:c r="V251" s="10" t="str">
        <x:v>구현</x:v>
      </x:c>
      <x:c r="W251" s="5" t="str">
        <x:v>복잡 제스처나 끌기를 요구하지 않는다. 첨부는 native 파일 선택과 클릭/키보드 버튼으로 수행한다.</x:v>
      </x:c>
      <x:c r="X251" s="5" t="str">
        <x:v>apps/web/src/App.tsx#RequestWizard
apps/web/src/App.tsx#RequestDetail</x:v>
      </x:c>
      <x:c r="Y251" s="5" t="str">
        <x:v>MAN-WCA-039</x:v>
      </x:c>
      <x:c r="Z251" s="10" t="str">
        <x:v>미실행</x:v>
      </x:c>
      <x:c r="AA251" s="10" t="str">
        <x:v>미실행</x:v>
      </x:c>
      <x:c r="AB251" s="5" t="str"/>
      <x:c r="AC251" s="5" t="n">
        <x:v>0</x:v>
      </x:c>
      <x:c r="AD251" s="5" t="n">
        <x:v>1</x:v>
      </x:c>
      <x:c r="AE251" s="10" t="str">
        <x:v>미실행</x:v>
      </x:c>
      <x:c r="AF251" s="5" t="str"/>
      <x:c r="AG251" s="5" t="str"/>
      <x:c r="AH251" s="5" t="str"/>
      <x:c r="AI251" s="10" t="str">
        <x:v>입력 기준 유지</x:v>
      </x:c>
      <x:c r="AJ251" s="5" t="str">
        <x:f>IF(AND(M251="적용",V251="구현",X251&lt;&gt;"",Y251&lt;&gt;"",AB251&lt;&gt;"",AC251&gt;0,AD251&gt;0,AE251="통과",AF251="",AG251&lt;&gt;"",AH251&lt;&gt;"",OR(S251="자동",S251="수동",S251="자동+수동"),IF(OR(S251="자동",S251="자동+수동"),Z251="통과",TRUE),IF(OR(S251="수동",S251="자동+수동"),AA251="통과",TRUE)),"통과",IF(OR(Z251="실패",AA251="실패",AE251="실패"),"실패","보류"))</x:f>
        <x:v>보류</x:v>
      </x:c>
      <x:c r="AK251" s="5" t="str"/>
      <x:c r="AL251" s="5" t="str"/>
      <x:c r="AM251" s="5" t="str">
        <x:v>입력 v0.1 계획 주석은 original_plan_note에 보존. 최신 구현·시험·증빙은 연결 적용기록을 참조하며 전체 준수·인증을 주장하지 않음.</x:v>
      </x:c>
    </x:row>
    <x:row r="252" ht="26.399999618530273" hidden="0" customHeight="1">
      <x:c r="A252" s="5" t="str">
        <x:v>WCA-040</x:v>
      </x:c>
      <x:c r="B252" s="5" t="str">
        <x:v>WCAG 2.2 A·AA</x:v>
      </x:c>
      <x:c r="C252" s="5" t="str">
        <x:v>WCAG 2.2</x:v>
      </x:c>
      <x:c r="D252" s="5" t="str">
        <x:v>포인터 대상 크기</x:v>
      </x:c>
      <x:c r="E252" s="5" t="str">
        <x:v>24 CSS px 또는 예외</x:v>
      </x:c>
      <x:c r="F252" s="5" t="str">
        <x:v>SRC-005</x:v>
      </x:c>
      <x:c r="G252" s="5" t="str">
        <x:v>2024-12-12</x:v>
      </x:c>
      <x:c r="H252" s="5" t="str">
        <x:v>2.5.8</x:v>
      </x:c>
      <x:c r="I252" s="5" t="str"/>
      <x:c r="J252" s="5" t="str">
        <x:v>국제 표준 목표</x:v>
      </x:c>
      <x:c r="K252" s="5" t="str">
        <x:v>AA</x:v>
      </x:c>
      <x:c r="L252" s="5" t="str">
        <x:v>MUST(안)</x:v>
      </x:c>
      <x:c r="M252" s="10" t="str">
        <x:v>적용</x:v>
      </x:c>
      <x:c r="N252" s="5" t="str">
        <x:v>현재 샘플의 회사 필수 기준으로 채택 제안</x:v>
      </x:c>
      <x:c r="O252" s="5" t="str">
        <x:v>관련 기능·적용 기관·계약 변경 시 재평가</x:v>
      </x:c>
      <x:c r="P252" s="5" t="str">
        <x:v>S01~S08 / 해당 기능의 모든 화면·상태</x:v>
      </x:c>
      <x:c r="Q252" s="5" t="str">
        <x:v>각 타깃24×24 이상 또는 규정 예외 증빙, 주요 버튼44~48 회사목표</x:v>
      </x:c>
      <x:c r="R252" s="5" t="str">
        <x:v>자동+수동</x:v>
      </x:c>
      <x:c r="S252" s="10" t="str">
        <x:v>자동+수동</x:v>
      </x:c>
      <x:c r="T252" s="5" t="str">
        <x:v>개발·QA</x:v>
      </x:c>
      <x:c r="U252" s="5" t="str">
        <x:v>P1</x:v>
      </x:c>
      <x:c r="V252" s="10" t="str">
        <x:v>구현</x:v>
      </x:c>
      <x:c r="W252" s="5" t="str">
        <x:v>주요 버튼 최소44×46px, 입력/select48px, 아이콘 버튼44×44px, 파일 선택/라디오 라벨의 큰 조작영역을 제공한다. WCAG24px와 사내44px 목표는 별도다.</x:v>
      </x:c>
      <x:c r="X252" s="5" t="str">
        <x:v>apps/web/src/styles.css</x:v>
      </x:c>
      <x:c r="Y252" s="5" t="str">
        <x:v>MAN-WCA-040</x:v>
      </x:c>
      <x:c r="Z252" s="10" t="str">
        <x:v>미실행</x:v>
      </x:c>
      <x:c r="AA252" s="10" t="str">
        <x:v>미실행</x:v>
      </x:c>
      <x:c r="AB252" s="5" t="str"/>
      <x:c r="AC252" s="5" t="n">
        <x:v>0</x:v>
      </x:c>
      <x:c r="AD252" s="5" t="n">
        <x:v>1</x:v>
      </x:c>
      <x:c r="AE252" s="10" t="str">
        <x:v>미실행</x:v>
      </x:c>
      <x:c r="AF252" s="5" t="str"/>
      <x:c r="AG252" s="5" t="str"/>
      <x:c r="AH252" s="5" t="str"/>
      <x:c r="AI252" s="10" t="str">
        <x:v>입력 기준 유지</x:v>
      </x:c>
      <x:c r="AJ252" s="5" t="str">
        <x:f>IF(AND(M252="적용",V252="구현",X252&lt;&gt;"",Y252&lt;&gt;"",AB252&lt;&gt;"",AC252&gt;0,AD252&gt;0,AE252="통과",AF252="",AG252&lt;&gt;"",AH252&lt;&gt;"",OR(S252="자동",S252="수동",S252="자동+수동"),IF(OR(S252="자동",S252="자동+수동"),Z252="통과",TRUE),IF(OR(S252="수동",S252="자동+수동"),AA252="통과",TRUE)),"통과",IF(OR(Z252="실패",AA252="실패",AE252="실패"),"실패","보류"))</x:f>
        <x:v>보류</x:v>
      </x:c>
      <x:c r="AK252" s="5" t="str"/>
      <x:c r="AL252" s="5" t="str"/>
      <x:c r="AM252" s="5" t="str">
        <x:v>입력 v0.1 계획 주석은 original_plan_note에 보존. 최신 구현·시험·증빙은 연결 적용기록을 참조하며 전체 준수·인증을 주장하지 않음.</x:v>
      </x:c>
    </x:row>
    <x:row r="253" ht="26.399999618530273" hidden="0" customHeight="1">
      <x:c r="A253" s="5" t="str">
        <x:v>WCA-041</x:v>
      </x:c>
      <x:c r="B253" s="5" t="str">
        <x:v>WCAG 2.2 A·AA</x:v>
      </x:c>
      <x:c r="C253" s="5" t="str">
        <x:v>WCAG 2.2</x:v>
      </x:c>
      <x:c r="D253" s="5" t="str">
        <x:v>페이지 언어</x:v>
      </x:c>
      <x:c r="E253" s="5" t="str">
        <x:v>주언어 명시</x:v>
      </x:c>
      <x:c r="F253" s="5" t="str">
        <x:v>SRC-005</x:v>
      </x:c>
      <x:c r="G253" s="5" t="str">
        <x:v>2024-12-12</x:v>
      </x:c>
      <x:c r="H253" s="5" t="str">
        <x:v>3.1.1</x:v>
      </x:c>
      <x:c r="I253" s="5" t="str"/>
      <x:c r="J253" s="5" t="str">
        <x:v>국제 표준 목표</x:v>
      </x:c>
      <x:c r="K253" s="5" t="str">
        <x:v>A</x:v>
      </x:c>
      <x:c r="L253" s="5" t="str">
        <x:v>MUST(안)</x:v>
      </x:c>
      <x:c r="M253" s="10" t="str">
        <x:v>적용</x:v>
      </x:c>
      <x:c r="N253" s="5" t="str">
        <x:v>현재 샘플의 회사 필수 기준으로 채택 제안</x:v>
      </x:c>
      <x:c r="O253" s="5" t="str">
        <x:v>관련 기능·적용 기관·계약 변경 시 재평가</x:v>
      </x:c>
      <x:c r="P253" s="5" t="str">
        <x:v>S01~S08 / 해당 기능의 모든 화면·상태</x:v>
      </x:c>
      <x:c r="Q253" s="5" t="str">
        <x:v>html lang="ko"</x:v>
      </x:c>
      <x:c r="R253" s="5" t="str">
        <x:v>문서 lang 속성 자동 검사 + 실제 주언어와 선언값의 일치 수동 확인</x:v>
      </x:c>
      <x:c r="S253" s="10" t="str">
        <x:v>자동+수동</x:v>
      </x:c>
      <x:c r="T253" s="5" t="str">
        <x:v>개발·QA</x:v>
      </x:c>
      <x:c r="U253" s="5" t="str">
        <x:v>P1</x:v>
      </x:c>
      <x:c r="V253" s="10" t="str">
        <x:v>구현</x:v>
      </x:c>
      <x:c r="W253" s="5" t="str">
        <x:v>루트 HTML에 lang=ko를 명시하고 UI 기본 언어를 한국어로 제공한다.</x:v>
      </x:c>
      <x:c r="X253" s="5" t="str">
        <x:v>apps/web/index.html</x:v>
      </x:c>
      <x:c r="Y253" s="5" t="str">
        <x:v>E2E-AXE
MAN-WCA-041</x:v>
      </x:c>
      <x:c r="Z253" s="10" t="str">
        <x:v>부분확인</x:v>
      </x:c>
      <x:c r="AA253" s="10" t="str">
        <x:v>미실행</x:v>
      </x:c>
      <x:c r="AB253" s="5" t="str">
        <x:v>E2E-AXE-2026-10-20T06-15-00-647Z</x:v>
      </x:c>
      <x:c r="AC253" s="5" t="n">
        <x:v>1</x:v>
      </x:c>
      <x:c r="AD253" s="5" t="n">
        <x:v>2</x:v>
      </x:c>
      <x:c r="AE253" s="10" t="str">
        <x:v>부분확인</x:v>
      </x:c>
      <x:c r="AF253" s="5" t="str"/>
      <x:c r="AG253" s="5" t="str"/>
      <x:c r="AH253" s="5" t="str"/>
      <x:c r="AI253" s="10" t="str">
        <x:v>입력 기준 유지</x:v>
      </x:c>
      <x:c r="AJ253" s="5" t="str">
        <x:f>IF(AND(M253="적용",V253="구현",X253&lt;&gt;"",Y253&lt;&gt;"",AB253&lt;&gt;"",AC253&gt;0,AD253&gt;0,AE253="통과",AF253="",AG253&lt;&gt;"",AH253&lt;&gt;"",OR(S253="자동",S253="수동",S253="자동+수동"),IF(OR(S253="자동",S253="자동+수동"),Z253="통과",TRUE),IF(OR(S253="수동",S253="자동+수동"),AA253="통과",TRUE)),"통과",IF(OR(Z253="실패",AA253="실패",AE253="실패"),"실패","보류"))</x:f>
        <x:v>보류</x:v>
      </x:c>
      <x:c r="AK253" s="5" t="str"/>
      <x:c r="AL253" s="5" t="str"/>
      <x:c r="AM253" s="5" t="str">
        <x:v>입력 v0.1 계획 주석은 original_plan_note에 보존. 최신 구현·시험·증빙은 연결 적용기록을 참조하며 전체 준수·인증을 주장하지 않음.</x:v>
      </x:c>
    </x:row>
    <x:row r="254" ht="52.79999923706055" hidden="0" customHeight="1">
      <x:c r="A254" s="5" t="str">
        <x:v>WCA-042</x:v>
      </x:c>
      <x:c r="B254" s="5" t="str">
        <x:v>WCAG 2.2 A·AA</x:v>
      </x:c>
      <x:c r="C254" s="5" t="str">
        <x:v>WCAG 2.2</x:v>
      </x:c>
      <x:c r="D254" s="5" t="str">
        <x:v>부분 언어</x:v>
      </x:c>
      <x:c r="E254" s="5" t="str">
        <x:v>언어변경 명시</x:v>
      </x:c>
      <x:c r="F254" s="5" t="str">
        <x:v>SRC-005</x:v>
      </x:c>
      <x:c r="G254" s="5" t="str">
        <x:v>2024-12-12</x:v>
      </x:c>
      <x:c r="H254" s="5" t="str">
        <x:v>3.1.2</x:v>
      </x:c>
      <x:c r="I254" s="5" t="str"/>
      <x:c r="J254" s="5" t="str">
        <x:v>국제 표준 목표</x:v>
      </x:c>
      <x:c r="K254" s="5" t="str">
        <x:v>AA</x:v>
      </x:c>
      <x:c r="L254" s="5" t="str">
        <x:v>MUST(안)</x:v>
      </x:c>
      <x:c r="M254" s="10" t="str">
        <x:v>적용</x:v>
      </x:c>
      <x:c r="N254" s="5" t="str">
        <x:v>현재 샘플의 회사 필수 기준으로 채택 제안</x:v>
      </x:c>
      <x:c r="O254" s="5" t="str">
        <x:v>관련 기능·적용 기관·계약 변경 시 재평가</x:v>
      </x:c>
      <x:c r="P254" s="5" t="str">
        <x:v>S01~S08 / 해당 기능의 모든 화면·상태</x:v>
      </x:c>
      <x:c r="Q254" s="5" t="str">
        <x:v>다른 언어의 문구에 lang, 고유명사 등 예외 구분</x:v>
      </x:c>
      <x:c r="R254" s="5" t="str">
        <x:v>수동</x:v>
      </x:c>
      <x:c r="S254" s="10" t="str">
        <x:v>수동</x:v>
      </x:c>
      <x:c r="T254" s="5" t="str">
        <x:v>개발·QA</x:v>
      </x:c>
      <x:c r="U254" s="5" t="str">
        <x:v>P1</x:v>
      </x:c>
      <x:c r="V254" s="10" t="str">
        <x:v>구현</x:v>
      </x:c>
      <x:c r="W254" s="5" t="str">
        <x:v>루트 한국어와 별도로 브랜드/서비스명·영문 문구·갤러리 분류의 영어 영역에 lang=en을 명시한다. 기술명·코드·식별자는 기술 표기 예외와 구분한다. 실제 화면낭독기 발음 평가는 별도 미실행이다.</x:v>
      </x:c>
      <x:c r="X254" s="5" t="str">
        <x:v>apps/web/index.html
apps/web/src/App.tsx#App
apps/web/src/App.tsx#Gallery
apps/web/src/StandardsBrowser.tsx#StandardsBrowser</x:v>
      </x:c>
      <x:c r="Y254" s="5" t="str">
        <x:v>MAN-WCA-042</x:v>
      </x:c>
      <x:c r="Z254" s="10" t="str">
        <x:v>미실행</x:v>
      </x:c>
      <x:c r="AA254" s="10" t="str">
        <x:v>미실행</x:v>
      </x:c>
      <x:c r="AB254" s="5" t="str"/>
      <x:c r="AC254" s="5" t="n">
        <x:v>0</x:v>
      </x:c>
      <x:c r="AD254" s="5" t="n">
        <x:v>1</x:v>
      </x:c>
      <x:c r="AE254" s="10" t="str">
        <x:v>미실행</x:v>
      </x:c>
      <x:c r="AF254" s="5" t="str"/>
      <x:c r="AG254" s="5" t="str"/>
      <x:c r="AH254" s="5" t="str"/>
      <x:c r="AI254" s="10" t="str">
        <x:v>입력 기준 유지</x:v>
      </x:c>
      <x:c r="AJ254" s="5" t="str">
        <x:f>IF(AND(M254="적용",V254="구현",X254&lt;&gt;"",Y254&lt;&gt;"",AB254&lt;&gt;"",AC254&gt;0,AD254&gt;0,AE254="통과",AF254="",AG254&lt;&gt;"",AH254&lt;&gt;"",OR(S254="자동",S254="수동",S254="자동+수동"),IF(OR(S254="자동",S254="자동+수동"),Z254="통과",TRUE),IF(OR(S254="수동",S254="자동+수동"),AA254="통과",TRUE)),"통과",IF(OR(Z254="실패",AA254="실패",AE254="실패"),"실패","보류"))</x:f>
        <x:v>보류</x:v>
      </x:c>
      <x:c r="AK254" s="5" t="str"/>
      <x:c r="AL254" s="5" t="str"/>
      <x:c r="AM254" s="5" t="str">
        <x:v>입력 v0.1 계획 주석은 original_plan_note에 보존. 최신 구현·시험·증빙은 연결 적용기록을 참조하며 전체 준수·인증을 주장하지 않음.</x:v>
      </x:c>
    </x:row>
    <x:row r="255" ht="39.599998474121094" hidden="0" customHeight="1">
      <x:c r="A255" s="5" t="str">
        <x:v>WCA-043</x:v>
      </x:c>
      <x:c r="B255" s="5" t="str">
        <x:v>WCAG 2.2 A·AA</x:v>
      </x:c>
      <x:c r="C255" s="5" t="str">
        <x:v>WCAG 2.2</x:v>
      </x:c>
      <x:c r="D255" s="5" t="str">
        <x:v>초점 시 예측성</x:v>
      </x:c>
      <x:c r="E255" s="5" t="str">
        <x:v>초점 자동실행 방지</x:v>
      </x:c>
      <x:c r="F255" s="5" t="str">
        <x:v>SRC-005</x:v>
      </x:c>
      <x:c r="G255" s="5" t="str">
        <x:v>2024-12-12</x:v>
      </x:c>
      <x:c r="H255" s="5" t="str">
        <x:v>3.2.1</x:v>
      </x:c>
      <x:c r="I255" s="5" t="str"/>
      <x:c r="J255" s="5" t="str">
        <x:v>국제 표준 목표</x:v>
      </x:c>
      <x:c r="K255" s="5" t="str">
        <x:v>A</x:v>
      </x:c>
      <x:c r="L255" s="5" t="str">
        <x:v>MUST(안)</x:v>
      </x:c>
      <x:c r="M255" s="10" t="str">
        <x:v>적용</x:v>
      </x:c>
      <x:c r="N255" s="5" t="str">
        <x:v>현재 샘플의 회사 필수 기준으로 채택 제안</x:v>
      </x:c>
      <x:c r="O255" s="5" t="str">
        <x:v>관련 기능·적용 기관·계약 변경 시 재평가</x:v>
      </x:c>
      <x:c r="P255" s="5" t="str">
        <x:v>S01~S08 / 해당 기능의 모든 화면·상태</x:v>
      </x:c>
      <x:c r="Q255" s="5" t="str">
        <x:v>초점만으로 새 창·이동·제출 금지</x:v>
      </x:c>
      <x:c r="R255" s="5" t="str">
        <x:v>자동+수동</x:v>
      </x:c>
      <x:c r="S255" s="10" t="str">
        <x:v>자동+수동</x:v>
      </x:c>
      <x:c r="T255" s="5" t="str">
        <x:v>개발·QA</x:v>
      </x:c>
      <x:c r="U255" s="5" t="str">
        <x:v>P1</x:v>
      </x:c>
      <x:c r="V255" s="10" t="str">
        <x:v>구현</x:v>
      </x:c>
      <x:c r="W255" s="5" t="str">
        <x:v>초점만으로 작업을 실행하거나 새 창을 열지 않는다. 검색은 명시 제출, 표준 필터는 같은 화면 결과만 갱신하며 파일 선택은 자동 제출하지 않는다.</x:v>
      </x:c>
      <x:c r="X255" s="5" t="str">
        <x:v>apps/web/src/App.tsx#RequestList
apps/web/src/App.tsx#RequestWizard
apps/web/src/StandardsBrowser.tsx#StandardsBrowser</x:v>
      </x:c>
      <x:c r="Y255" s="5" t="str">
        <x:v>MAN-WCA-043</x:v>
      </x:c>
      <x:c r="Z255" s="10" t="str">
        <x:v>미실행</x:v>
      </x:c>
      <x:c r="AA255" s="10" t="str">
        <x:v>미실행</x:v>
      </x:c>
      <x:c r="AB255" s="5" t="str"/>
      <x:c r="AC255" s="5" t="n">
        <x:v>0</x:v>
      </x:c>
      <x:c r="AD255" s="5" t="n">
        <x:v>1</x:v>
      </x:c>
      <x:c r="AE255" s="10" t="str">
        <x:v>미실행</x:v>
      </x:c>
      <x:c r="AF255" s="5" t="str"/>
      <x:c r="AG255" s="5" t="str"/>
      <x:c r="AH255" s="5" t="str"/>
      <x:c r="AI255" s="10" t="str">
        <x:v>입력 기준 유지</x:v>
      </x:c>
      <x:c r="AJ255" s="5" t="str">
        <x:f>IF(AND(M255="적용",V255="구현",X255&lt;&gt;"",Y255&lt;&gt;"",AB255&lt;&gt;"",AC255&gt;0,AD255&gt;0,AE255="통과",AF255="",AG255&lt;&gt;"",AH255&lt;&gt;"",OR(S255="자동",S255="수동",S255="자동+수동"),IF(OR(S255="자동",S255="자동+수동"),Z255="통과",TRUE),IF(OR(S255="수동",S255="자동+수동"),AA255="통과",TRUE)),"통과",IF(OR(Z255="실패",AA255="실패",AE255="실패"),"실패","보류"))</x:f>
        <x:v>보류</x:v>
      </x:c>
      <x:c r="AK255" s="5" t="str"/>
      <x:c r="AL255" s="5" t="str"/>
      <x:c r="AM255" s="5" t="str">
        <x:v>입력 v0.1 계획 주석은 original_plan_note에 보존. 최신 구현·시험·증빙은 연결 적용기록을 참조하며 전체 준수·인증을 주장하지 않음.</x:v>
      </x:c>
    </x:row>
    <x:row r="256" ht="39.599998474121094" hidden="0" customHeight="1">
      <x:c r="A256" s="5" t="str">
        <x:v>WCA-044</x:v>
      </x:c>
      <x:c r="B256" s="5" t="str">
        <x:v>WCAG 2.2 A·AA</x:v>
      </x:c>
      <x:c r="C256" s="5" t="str">
        <x:v>WCAG 2.2</x:v>
      </x:c>
      <x:c r="D256" s="5" t="str">
        <x:v>입력 시 예측성</x:v>
      </x:c>
      <x:c r="E256" s="5" t="str">
        <x:v>입력 맥락변화 예고</x:v>
      </x:c>
      <x:c r="F256" s="5" t="str">
        <x:v>SRC-005</x:v>
      </x:c>
      <x:c r="G256" s="5" t="str">
        <x:v>2024-12-12</x:v>
      </x:c>
      <x:c r="H256" s="5" t="str">
        <x:v>3.2.2</x:v>
      </x:c>
      <x:c r="I256" s="5" t="str"/>
      <x:c r="J256" s="5" t="str">
        <x:v>국제 표준 목표</x:v>
      </x:c>
      <x:c r="K256" s="5" t="str">
        <x:v>A</x:v>
      </x:c>
      <x:c r="L256" s="5" t="str">
        <x:v>MUST(안)</x:v>
      </x:c>
      <x:c r="M256" s="10" t="str">
        <x:v>적용</x:v>
      </x:c>
      <x:c r="N256" s="5" t="str">
        <x:v>현재 샘플의 회사 필수 기준으로 채택 제안</x:v>
      </x:c>
      <x:c r="O256" s="5" t="str">
        <x:v>관련 기능·적용 기관·계약 변경 시 재평가</x:v>
      </x:c>
      <x:c r="P256" s="5" t="str">
        <x:v>S01~S08 / 해당 기능의 모든 화면·상태</x:v>
      </x:c>
      <x:c r="Q256" s="5" t="str">
        <x:v>선택만으로 제출하지 않고 적용 버튼 사용</x:v>
      </x:c>
      <x:c r="R256" s="5" t="str">
        <x:v>자동+수동</x:v>
      </x:c>
      <x:c r="S256" s="10" t="str">
        <x:v>자동+수동</x:v>
      </x:c>
      <x:c r="T256" s="5" t="str">
        <x:v>개발·QA</x:v>
      </x:c>
      <x:c r="U256" s="5" t="str">
        <x:v>P1</x:v>
      </x:c>
      <x:c r="V256" s="10" t="str">
        <x:v>구현</x:v>
      </x:c>
      <x:c r="W256" s="5" t="str">
        <x:v>초점만으로 작업을 실행하거나 새 창을 열지 않는다. 검색은 명시 제출, 표준 필터는 같은 화면 결과만 갱신하며 파일 선택은 자동 제출하지 않는다.</x:v>
      </x:c>
      <x:c r="X256" s="5" t="str">
        <x:v>apps/web/src/App.tsx#RequestList
apps/web/src/App.tsx#RequestWizard
apps/web/src/StandardsBrowser.tsx#StandardsBrowser</x:v>
      </x:c>
      <x:c r="Y256" s="5" t="str">
        <x:v>MAN-WCA-044</x:v>
      </x:c>
      <x:c r="Z256" s="10" t="str">
        <x:v>미실행</x:v>
      </x:c>
      <x:c r="AA256" s="10" t="str">
        <x:v>미실행</x:v>
      </x:c>
      <x:c r="AB256" s="5" t="str"/>
      <x:c r="AC256" s="5" t="n">
        <x:v>0</x:v>
      </x:c>
      <x:c r="AD256" s="5" t="n">
        <x:v>1</x:v>
      </x:c>
      <x:c r="AE256" s="10" t="str">
        <x:v>미실행</x:v>
      </x:c>
      <x:c r="AF256" s="5" t="str"/>
      <x:c r="AG256" s="5" t="str"/>
      <x:c r="AH256" s="5" t="str"/>
      <x:c r="AI256" s="10" t="str">
        <x:v>입력 기준 유지</x:v>
      </x:c>
      <x:c r="AJ256" s="5" t="str">
        <x:f>IF(AND(M256="적용",V256="구현",X256&lt;&gt;"",Y256&lt;&gt;"",AB256&lt;&gt;"",AC256&gt;0,AD256&gt;0,AE256="통과",AF256="",AG256&lt;&gt;"",AH256&lt;&gt;"",OR(S256="자동",S256="수동",S256="자동+수동"),IF(OR(S256="자동",S256="자동+수동"),Z256="통과",TRUE),IF(OR(S256="수동",S256="자동+수동"),AA256="통과",TRUE)),"통과",IF(OR(Z256="실패",AA256="실패",AE256="실패"),"실패","보류"))</x:f>
        <x:v>보류</x:v>
      </x:c>
      <x:c r="AK256" s="5" t="str"/>
      <x:c r="AL256" s="5" t="str"/>
      <x:c r="AM256" s="5" t="str">
        <x:v>입력 v0.1 계획 주석은 original_plan_note에 보존. 최신 구현·시험·증빙은 연결 적용기록을 참조하며 전체 준수·인증을 주장하지 않음.</x:v>
      </x:c>
    </x:row>
    <x:row r="257" ht="39.599998474121094" hidden="0" customHeight="1">
      <x:c r="A257" s="5" t="str">
        <x:v>WCA-045</x:v>
      </x:c>
      <x:c r="B257" s="5" t="str">
        <x:v>WCAG 2.2 A·AA</x:v>
      </x:c>
      <x:c r="C257" s="5" t="str">
        <x:v>WCAG 2.2</x:v>
      </x:c>
      <x:c r="D257" s="5" t="str">
        <x:v>메뉴 일관성</x:v>
      </x:c>
      <x:c r="E257" s="5" t="str">
        <x:v>내비 순서 유지</x:v>
      </x:c>
      <x:c r="F257" s="5" t="str">
        <x:v>SRC-005</x:v>
      </x:c>
      <x:c r="G257" s="5" t="str">
        <x:v>2024-12-12</x:v>
      </x:c>
      <x:c r="H257" s="5" t="str">
        <x:v>3.2.3</x:v>
      </x:c>
      <x:c r="I257" s="5" t="str"/>
      <x:c r="J257" s="5" t="str">
        <x:v>국제 표준 목표</x:v>
      </x:c>
      <x:c r="K257" s="5" t="str">
        <x:v>AA</x:v>
      </x:c>
      <x:c r="L257" s="5" t="str">
        <x:v>MUST(안)</x:v>
      </x:c>
      <x:c r="M257" s="10" t="str">
        <x:v>적용</x:v>
      </x:c>
      <x:c r="N257" s="5" t="str">
        <x:v>현재 샘플의 회사 필수 기준으로 채택 제안</x:v>
      </x:c>
      <x:c r="O257" s="5" t="str">
        <x:v>관련 기능·적용 기관·계약 변경 시 재평가</x:v>
      </x:c>
      <x:c r="P257" s="5" t="str">
        <x:v>S01~S08 / 해당 기능의 모든 화면·상태</x:v>
      </x:c>
      <x:c r="Q257" s="5" t="str">
        <x:v>페이지 공통 메뉴 순서 유지</x:v>
      </x:c>
      <x:c r="R257" s="5" t="str">
        <x:v>수동</x:v>
      </x:c>
      <x:c r="S257" s="10" t="str">
        <x:v>수동</x:v>
      </x:c>
      <x:c r="T257" s="5" t="str">
        <x:v>개발·QA</x:v>
      </x:c>
      <x:c r="U257" s="5" t="str">
        <x:v>P1</x:v>
      </x:c>
      <x:c r="V257" s="10" t="str">
        <x:v>구현</x:v>
      </x:c>
      <x:c r="W257" s="5" t="str">
        <x:v>App shell에서 탐색 순서와 현재 화면을 일관되게 유지하고 같은 동작의 버튼·링크 이름을 재사용한다.</x:v>
      </x:c>
      <x:c r="X257" s="5" t="str">
        <x:v>apps/web/src/App.tsx#App
apps/web/src/App.tsx#AppLink
apps/web/src/styles.css</x:v>
      </x:c>
      <x:c r="Y257" s="5" t="str">
        <x:v>MAN-WCA-045</x:v>
      </x:c>
      <x:c r="Z257" s="10" t="str">
        <x:v>미실행</x:v>
      </x:c>
      <x:c r="AA257" s="10" t="str">
        <x:v>미실행</x:v>
      </x:c>
      <x:c r="AB257" s="5" t="str"/>
      <x:c r="AC257" s="5" t="n">
        <x:v>0</x:v>
      </x:c>
      <x:c r="AD257" s="5" t="n">
        <x:v>1</x:v>
      </x:c>
      <x:c r="AE257" s="10" t="str">
        <x:v>미실행</x:v>
      </x:c>
      <x:c r="AF257" s="5" t="str"/>
      <x:c r="AG257" s="5" t="str"/>
      <x:c r="AH257" s="5" t="str"/>
      <x:c r="AI257" s="10" t="str">
        <x:v>입력 기준 유지</x:v>
      </x:c>
      <x:c r="AJ257" s="5" t="str">
        <x:f>IF(AND(M257="적용",V257="구현",X257&lt;&gt;"",Y257&lt;&gt;"",AB257&lt;&gt;"",AC257&gt;0,AD257&gt;0,AE257="통과",AF257="",AG257&lt;&gt;"",AH257&lt;&gt;"",OR(S257="자동",S257="수동",S257="자동+수동"),IF(OR(S257="자동",S257="자동+수동"),Z257="통과",TRUE),IF(OR(S257="수동",S257="자동+수동"),AA257="통과",TRUE)),"통과",IF(OR(Z257="실패",AA257="실패",AE257="실패"),"실패","보류"))</x:f>
        <x:v>보류</x:v>
      </x:c>
      <x:c r="AK257" s="5" t="str"/>
      <x:c r="AL257" s="5" t="str"/>
      <x:c r="AM257" s="5" t="str">
        <x:v>입력 v0.1 계획 주석은 original_plan_note에 보존. 최신 구현·시험·증빙은 연결 적용기록을 참조하며 전체 준수·인증을 주장하지 않음.</x:v>
      </x:c>
    </x:row>
    <x:row r="258" ht="39.599998474121094" hidden="0" customHeight="1">
      <x:c r="A258" s="5" t="str">
        <x:v>WCA-046</x:v>
      </x:c>
      <x:c r="B258" s="5" t="str">
        <x:v>WCAG 2.2 A·AA</x:v>
      </x:c>
      <x:c r="C258" s="5" t="str">
        <x:v>WCAG 2.2</x:v>
      </x:c>
      <x:c r="D258" s="5" t="str">
        <x:v>기능 이름 일관성</x:v>
      </x:c>
      <x:c r="E258" s="5" t="str">
        <x:v>동일기능 동일이름</x:v>
      </x:c>
      <x:c r="F258" s="5" t="str">
        <x:v>SRC-005</x:v>
      </x:c>
      <x:c r="G258" s="5" t="str">
        <x:v>2024-12-12</x:v>
      </x:c>
      <x:c r="H258" s="5" t="str">
        <x:v>3.2.4</x:v>
      </x:c>
      <x:c r="I258" s="5" t="str"/>
      <x:c r="J258" s="5" t="str">
        <x:v>국제 표준 목표</x:v>
      </x:c>
      <x:c r="K258" s="5" t="str">
        <x:v>AA</x:v>
      </x:c>
      <x:c r="L258" s="5" t="str">
        <x:v>MUST(안)</x:v>
      </x:c>
      <x:c r="M258" s="10" t="str">
        <x:v>적용</x:v>
      </x:c>
      <x:c r="N258" s="5" t="str">
        <x:v>현재 샘플의 회사 필수 기준으로 채택 제안</x:v>
      </x:c>
      <x:c r="O258" s="5" t="str">
        <x:v>관련 기능·적용 기관·계약 변경 시 재평가</x:v>
      </x:c>
      <x:c r="P258" s="5" t="str">
        <x:v>S01~S08 / 해당 기능의 모든 화면·상태</x:v>
      </x:c>
      <x:c r="Q258" s="5" t="str">
        <x:v>저장·취소·삭제 용어·아이콘 의미 통일</x:v>
      </x:c>
      <x:c r="R258" s="5" t="str">
        <x:v>수동</x:v>
      </x:c>
      <x:c r="S258" s="10" t="str">
        <x:v>수동</x:v>
      </x:c>
      <x:c r="T258" s="5" t="str">
        <x:v>개발·QA</x:v>
      </x:c>
      <x:c r="U258" s="5" t="str">
        <x:v>P1</x:v>
      </x:c>
      <x:c r="V258" s="10" t="str">
        <x:v>구현</x:v>
      </x:c>
      <x:c r="W258" s="5" t="str">
        <x:v>App shell에서 탐색 순서와 현재 화면을 일관되게 유지하고 같은 동작의 버튼·링크 이름을 재사용한다.</x:v>
      </x:c>
      <x:c r="X258" s="5" t="str">
        <x:v>apps/web/src/App.tsx#App
apps/web/src/App.tsx#AppLink
apps/web/src/styles.css</x:v>
      </x:c>
      <x:c r="Y258" s="5" t="str">
        <x:v>MAN-WCA-046</x:v>
      </x:c>
      <x:c r="Z258" s="10" t="str">
        <x:v>미실행</x:v>
      </x:c>
      <x:c r="AA258" s="10" t="str">
        <x:v>미실행</x:v>
      </x:c>
      <x:c r="AB258" s="5" t="str"/>
      <x:c r="AC258" s="5" t="n">
        <x:v>0</x:v>
      </x:c>
      <x:c r="AD258" s="5" t="n">
        <x:v>1</x:v>
      </x:c>
      <x:c r="AE258" s="10" t="str">
        <x:v>미실행</x:v>
      </x:c>
      <x:c r="AF258" s="5" t="str"/>
      <x:c r="AG258" s="5" t="str"/>
      <x:c r="AH258" s="5" t="str"/>
      <x:c r="AI258" s="10" t="str">
        <x:v>입력 기준 유지</x:v>
      </x:c>
      <x:c r="AJ258" s="5" t="str">
        <x:f>IF(AND(M258="적용",V258="구현",X258&lt;&gt;"",Y258&lt;&gt;"",AB258&lt;&gt;"",AC258&gt;0,AD258&gt;0,AE258="통과",AF258="",AG258&lt;&gt;"",AH258&lt;&gt;"",OR(S258="자동",S258="수동",S258="자동+수동"),IF(OR(S258="자동",S258="자동+수동"),Z258="통과",TRUE),IF(OR(S258="수동",S258="자동+수동"),AA258="통과",TRUE)),"통과",IF(OR(Z258="실패",AA258="실패",AE258="실패"),"실패","보류"))</x:f>
        <x:v>보류</x:v>
      </x:c>
      <x:c r="AK258" s="5" t="str"/>
      <x:c r="AL258" s="5" t="str"/>
      <x:c r="AM258" s="5" t="str">
        <x:v>입력 v0.1 계획 주석은 original_plan_note에 보존. 최신 구현·시험·증빙은 연결 적용기록을 참조하며 전체 준수·인증을 주장하지 않음.</x:v>
      </x:c>
    </x:row>
    <x:row r="259" ht="26.399999618530273" hidden="0" customHeight="1">
      <x:c r="A259" s="5" t="str">
        <x:v>WCA-047</x:v>
      </x:c>
      <x:c r="B259" s="5" t="str">
        <x:v>WCAG 2.2 A·AA</x:v>
      </x:c>
      <x:c r="C259" s="5" t="str">
        <x:v>WCAG 2.2</x:v>
      </x:c>
      <x:c r="D259" s="5" t="str">
        <x:v>도움 접근 일관성</x:v>
      </x:c>
      <x:c r="E259" s="5" t="str">
        <x:v>도움정보 동일순서</x:v>
      </x:c>
      <x:c r="F259" s="5" t="str">
        <x:v>SRC-005</x:v>
      </x:c>
      <x:c r="G259" s="5" t="str">
        <x:v>2024-12-12</x:v>
      </x:c>
      <x:c r="H259" s="5" t="str">
        <x:v>3.2.6</x:v>
      </x:c>
      <x:c r="I259" s="5" t="str"/>
      <x:c r="J259" s="5" t="str">
        <x:v>국제 표준 목표</x:v>
      </x:c>
      <x:c r="K259" s="5" t="str">
        <x:v>A</x:v>
      </x:c>
      <x:c r="L259" s="5" t="str">
        <x:v>MUST(안)</x:v>
      </x:c>
      <x:c r="M259" s="10" t="str">
        <x:v>적용</x:v>
      </x:c>
      <x:c r="N259" s="5" t="str">
        <x:v>현재 샘플의 회사 필수 기준으로 채택 제안</x:v>
      </x:c>
      <x:c r="O259" s="5" t="str">
        <x:v>관련 기능·적용 기관·계약 변경 시 재평가</x:v>
      </x:c>
      <x:c r="P259" s="5" t="str">
        <x:v>S01~S08 / 해당 기능의 모든 화면·상태</x:v>
      </x:c>
      <x:c r="Q259" s="5" t="str">
        <x:v>도움말 링크를 공통 위치·순서에 배치</x:v>
      </x:c>
      <x:c r="R259" s="5" t="str">
        <x:v>수동</x:v>
      </x:c>
      <x:c r="S259" s="10" t="str">
        <x:v>수동</x:v>
      </x:c>
      <x:c r="T259" s="5" t="str">
        <x:v>개발·QA</x:v>
      </x:c>
      <x:c r="U259" s="5" t="str">
        <x:v>P1</x:v>
      </x:c>
      <x:c r="V259" s="10" t="str">
        <x:v>구현</x:v>
      </x:c>
      <x:c r="W259" s="5" t="str">
        <x:v>공통 사이드 메뉴·푸터에 도움말을 같은 순서로 제공하고 입력 옆에 일관된 도움 설명을 제공한다.</x:v>
      </x:c>
      <x:c r="X259" s="5" t="str">
        <x:v>apps/web/src/App.tsx#App
apps/web/src/App.tsx#Help</x:v>
      </x:c>
      <x:c r="Y259" s="5" t="str">
        <x:v>MAN-WCA-047</x:v>
      </x:c>
      <x:c r="Z259" s="10" t="str">
        <x:v>미실행</x:v>
      </x:c>
      <x:c r="AA259" s="10" t="str">
        <x:v>미실행</x:v>
      </x:c>
      <x:c r="AB259" s="5" t="str"/>
      <x:c r="AC259" s="5" t="n">
        <x:v>0</x:v>
      </x:c>
      <x:c r="AD259" s="5" t="n">
        <x:v>1</x:v>
      </x:c>
      <x:c r="AE259" s="10" t="str">
        <x:v>미실행</x:v>
      </x:c>
      <x:c r="AF259" s="5" t="str"/>
      <x:c r="AG259" s="5" t="str"/>
      <x:c r="AH259" s="5" t="str"/>
      <x:c r="AI259" s="10" t="str">
        <x:v>입력 기준 유지</x:v>
      </x:c>
      <x:c r="AJ259" s="5" t="str">
        <x:f>IF(AND(M259="적용",V259="구현",X259&lt;&gt;"",Y259&lt;&gt;"",AB259&lt;&gt;"",AC259&gt;0,AD259&gt;0,AE259="통과",AF259="",AG259&lt;&gt;"",AH259&lt;&gt;"",OR(S259="자동",S259="수동",S259="자동+수동"),IF(OR(S259="자동",S259="자동+수동"),Z259="통과",TRUE),IF(OR(S259="수동",S259="자동+수동"),AA259="통과",TRUE)),"통과",IF(OR(Z259="실패",AA259="실패",AE259="실패"),"실패","보류"))</x:f>
        <x:v>보류</x:v>
      </x:c>
      <x:c r="AK259" s="5" t="str"/>
      <x:c r="AL259" s="5" t="str"/>
      <x:c r="AM259" s="5" t="str">
        <x:v>입력 v0.1 계획 주석은 original_plan_note에 보존. 최신 구현·시험·증빙은 연결 적용기록을 참조하며 전체 준수·인증을 주장하지 않음.</x:v>
      </x:c>
    </x:row>
    <x:row r="260" ht="66" hidden="0" customHeight="1">
      <x:c r="A260" s="5" t="str">
        <x:v>WCA-048</x:v>
      </x:c>
      <x:c r="B260" s="5" t="str">
        <x:v>WCAG 2.2 A·AA</x:v>
      </x:c>
      <x:c r="C260" s="5" t="str">
        <x:v>WCAG 2.2</x:v>
      </x:c>
      <x:c r="D260" s="5" t="str">
        <x:v>오류 식별</x:v>
      </x:c>
      <x:c r="E260" s="5" t="str">
        <x:v>오류항목·내용 설명</x:v>
      </x:c>
      <x:c r="F260" s="5" t="str">
        <x:v>SRC-005</x:v>
      </x:c>
      <x:c r="G260" s="5" t="str">
        <x:v>2024-12-12</x:v>
      </x:c>
      <x:c r="H260" s="5" t="str">
        <x:v>3.3.1</x:v>
      </x:c>
      <x:c r="I260" s="5" t="str"/>
      <x:c r="J260" s="5" t="str">
        <x:v>국제 표준 목표</x:v>
      </x:c>
      <x:c r="K260" s="5" t="str">
        <x:v>A</x:v>
      </x:c>
      <x:c r="L260" s="5" t="str">
        <x:v>MUST(안)</x:v>
      </x:c>
      <x:c r="M260" s="10" t="str">
        <x:v>적용</x:v>
      </x:c>
      <x:c r="N260" s="5" t="str">
        <x:v>현재 샘플의 회사 필수 기준으로 채택 제안</x:v>
      </x:c>
      <x:c r="O260" s="5" t="str">
        <x:v>관련 기능·적용 기관·계약 변경 시 재평가</x:v>
      </x:c>
      <x:c r="P260" s="5" t="str">
        <x:v>S01~S08 / 해당 기능의 모든 화면·상태</x:v>
      </x:c>
      <x:c r="Q260" s="5" t="str">
        <x:v>오류요약과 필드별 텍스트 제공</x:v>
      </x:c>
      <x:c r="R260" s="5" t="str">
        <x:v>자동+수동</x:v>
      </x:c>
      <x:c r="S260" s="10" t="str">
        <x:v>자동+수동</x:v>
      </x:c>
      <x:c r="T260" s="5" t="str">
        <x:v>개발·QA</x:v>
      </x:c>
      <x:c r="U260" s="5" t="str">
        <x:v>P1</x:v>
      </x:c>
      <x:c r="V260" s="10" t="str">
        <x:v>구현</x:v>
      </x:c>
      <x:c r="W260" s="5" t="str">
        <x:v>클라이언트와 서버 ProblemDetails errors의 제목·유형·내용·파일 오류를 필드별로 연결한다. 오류 단계로 돌아가 입력값을 유지하고 오류요약에 초점을 옮기며 필드 링크·aria-invalid·설명과 수정방법을 제공한다. 실제 보조기술 음성 검증은 별도 미실행이다.</x:v>
      </x:c>
      <x:c r="X260" s="5" t="str">
        <x:v>apps/web/src/App.tsx#RequestWizard
apps/web/src/api.ts#ApiError
apps/web/src/api.ts#parseFieldErrors
apps/web/src/ui.tsx#ErrorBox</x:v>
      </x:c>
      <x:c r="Y260" s="5" t="str">
        <x:v>E2E-WORKFLOW
E2E-ERROR
SCREEN-FORM-ERROR
SCREEN-SERVER-VALIDATION
MAN-WCA-048</x:v>
      </x:c>
      <x:c r="Z260" s="10" t="str">
        <x:v>부분확인</x:v>
      </x:c>
      <x:c r="AA260" s="10" t="str">
        <x:v>미실행</x:v>
      </x:c>
      <x:c r="AB260" s="5" t="str">
        <x:v>E2E-WORKFLOW-2026-10-20T06-15-00-647Z
E2E-ERROR-2026-10-20T06-15-00-647Z
SCREEN-FORM-ERROR-2026-10-20T06-15-00-647Z
SCREEN-SERVER-VALIDATION-2026-10-20T06-15-00-647Z</x:v>
      </x:c>
      <x:c r="AC260" s="5" t="n">
        <x:v>4</x:v>
      </x:c>
      <x:c r="AD260" s="5" t="n">
        <x:v>5</x:v>
      </x:c>
      <x:c r="AE260" s="10" t="str">
        <x:v>부분확인</x:v>
      </x:c>
      <x:c r="AF260" s="5" t="str"/>
      <x:c r="AG260" s="5" t="str"/>
      <x:c r="AH260" s="5" t="str"/>
      <x:c r="AI260" s="10" t="str">
        <x:v>입력 기준 유지</x:v>
      </x:c>
      <x:c r="AJ260" s="5" t="str">
        <x:f>IF(AND(M260="적용",V260="구현",X260&lt;&gt;"",Y260&lt;&gt;"",AB260&lt;&gt;"",AC260&gt;0,AD260&gt;0,AE260="통과",AF260="",AG260&lt;&gt;"",AH260&lt;&gt;"",OR(S260="자동",S260="수동",S260="자동+수동"),IF(OR(S260="자동",S260="자동+수동"),Z260="통과",TRUE),IF(OR(S260="수동",S260="자동+수동"),AA260="통과",TRUE)),"통과",IF(OR(Z260="실패",AA260="실패",AE260="실패"),"실패","보류"))</x:f>
        <x:v>보류</x:v>
      </x:c>
      <x:c r="AK260" s="5" t="str"/>
      <x:c r="AL260" s="5" t="str"/>
      <x:c r="AM260" s="5" t="str">
        <x:v>입력 v0.1 계획 주석은 original_plan_note에 보존. 최신 구현·시험·증빙은 연결 적용기록을 참조하며 전체 준수·인증을 주장하지 않음.</x:v>
      </x:c>
    </x:row>
    <x:row r="261" ht="52.79999923706055" hidden="0" customHeight="1">
      <x:c r="A261" s="5" t="str">
        <x:v>WCA-049</x:v>
      </x:c>
      <x:c r="B261" s="5" t="str">
        <x:v>WCAG 2.2 A·AA</x:v>
      </x:c>
      <x:c r="C261" s="5" t="str">
        <x:v>WCAG 2.2</x:v>
      </x:c>
      <x:c r="D261" s="5" t="str">
        <x:v>입력 안내</x:v>
      </x:c>
      <x:c r="E261" s="5" t="str">
        <x:v>레이블·입력조건</x:v>
      </x:c>
      <x:c r="F261" s="5" t="str">
        <x:v>SRC-005</x:v>
      </x:c>
      <x:c r="G261" s="5" t="str">
        <x:v>2024-12-12</x:v>
      </x:c>
      <x:c r="H261" s="5" t="str">
        <x:v>3.3.2</x:v>
      </x:c>
      <x:c r="I261" s="5" t="str"/>
      <x:c r="J261" s="5" t="str">
        <x:v>국제 표준 목표</x:v>
      </x:c>
      <x:c r="K261" s="5" t="str">
        <x:v>A</x:v>
      </x:c>
      <x:c r="L261" s="5" t="str">
        <x:v>MUST(안)</x:v>
      </x:c>
      <x:c r="M261" s="10" t="str">
        <x:v>적용</x:v>
      </x:c>
      <x:c r="N261" s="5" t="str">
        <x:v>현재 샘플의 회사 필수 기준으로 채택 제안</x:v>
      </x:c>
      <x:c r="O261" s="5" t="str">
        <x:v>관련 기능·적용 기관·계약 변경 시 재평가</x:v>
      </x:c>
      <x:c r="P261" s="5" t="str">
        <x:v>S01~S08 / 해당 기능의 모든 화면·상태</x:v>
      </x:c>
      <x:c r="Q261" s="5" t="str">
        <x:v>label, 입력예, 필수, 파일 형식·용량 사전안내</x:v>
      </x:c>
      <x:c r="R261" s="5" t="str">
        <x:v>자동+수동</x:v>
      </x:c>
      <x:c r="S261" s="10" t="str">
        <x:v>자동+수동</x:v>
      </x:c>
      <x:c r="T261" s="5" t="str">
        <x:v>개발·QA</x:v>
      </x:c>
      <x:c r="U261" s="5" t="str">
        <x:v>P1</x:v>
      </x:c>
      <x:c r="V261" s="10" t="str">
        <x:v>구현</x:v>
      </x:c>
      <x:c r="W261" s="5" t="str">
        <x:v>label/htmlFor·fieldset/legend와 필수/선택·입력 예·길이/형식 제한을 지속적으로 제공한다.</x:v>
      </x:c>
      <x:c r="X261" s="5" t="str">
        <x:v>apps/web/src/App.tsx#RequestWizard
apps/web/src/App.tsx#Login
apps/web/src/App.tsx#RequestDetail</x:v>
      </x:c>
      <x:c r="Y261" s="5" t="str">
        <x:v>E2E-WORKFLOW
E2E-AXE
SCREEN-FORM
MAN-WCA-049</x:v>
      </x:c>
      <x:c r="Z261" s="10" t="str">
        <x:v>부분확인</x:v>
      </x:c>
      <x:c r="AA261" s="10" t="str">
        <x:v>미실행</x:v>
      </x:c>
      <x:c r="AB261" s="5" t="str">
        <x:v>E2E-WORKFLOW-2026-10-20T06-15-00-647Z
E2E-AXE-2026-10-20T06-15-00-647Z
SCREEN-FORM-2026-10-20T06-15-00-647Z</x:v>
      </x:c>
      <x:c r="AC261" s="5" t="n">
        <x:v>3</x:v>
      </x:c>
      <x:c r="AD261" s="5" t="n">
        <x:v>4</x:v>
      </x:c>
      <x:c r="AE261" s="10" t="str">
        <x:v>부분확인</x:v>
      </x:c>
      <x:c r="AF261" s="5" t="str"/>
      <x:c r="AG261" s="5" t="str"/>
      <x:c r="AH261" s="5" t="str"/>
      <x:c r="AI261" s="10" t="str">
        <x:v>입력 기준 유지</x:v>
      </x:c>
      <x:c r="AJ261" s="5" t="str">
        <x:f>IF(AND(M261="적용",V261="구현",X261&lt;&gt;"",Y261&lt;&gt;"",AB261&lt;&gt;"",AC261&gt;0,AD261&gt;0,AE261="통과",AF261="",AG261&lt;&gt;"",AH261&lt;&gt;"",OR(S261="자동",S261="수동",S261="자동+수동"),IF(OR(S261="자동",S261="자동+수동"),Z261="통과",TRUE),IF(OR(S261="수동",S261="자동+수동"),AA261="통과",TRUE)),"통과",IF(OR(Z261="실패",AA261="실패",AE261="실패"),"실패","보류"))</x:f>
        <x:v>보류</x:v>
      </x:c>
      <x:c r="AK261" s="5" t="str"/>
      <x:c r="AL261" s="5" t="str"/>
      <x:c r="AM261" s="5" t="str">
        <x:v>입력 v0.1 계획 주석은 original_plan_note에 보존. 최신 구현·시험·증빙은 연결 적용기록을 참조하며 전체 준수·인증을 주장하지 않음.</x:v>
      </x:c>
    </x:row>
    <x:row r="262" ht="52.79999923706055" hidden="0" customHeight="1">
      <x:c r="A262" s="5" t="str">
        <x:v>WCA-050</x:v>
      </x:c>
      <x:c r="B262" s="5" t="str">
        <x:v>WCAG 2.2 A·AA</x:v>
      </x:c>
      <x:c r="C262" s="5" t="str">
        <x:v>WCAG 2.2</x:v>
      </x:c>
      <x:c r="D262" s="5" t="str">
        <x:v>수정 제안</x:v>
      </x:c>
      <x:c r="E262" s="5" t="str">
        <x:v>알려진 수정방법 안내</x:v>
      </x:c>
      <x:c r="F262" s="5" t="str">
        <x:v>SRC-005</x:v>
      </x:c>
      <x:c r="G262" s="5" t="str">
        <x:v>2024-12-12</x:v>
      </x:c>
      <x:c r="H262" s="5" t="str">
        <x:v>3.3.3</x:v>
      </x:c>
      <x:c r="I262" s="5" t="str"/>
      <x:c r="J262" s="5" t="str">
        <x:v>국제 표준 목표</x:v>
      </x:c>
      <x:c r="K262" s="5" t="str">
        <x:v>AA</x:v>
      </x:c>
      <x:c r="L262" s="5" t="str">
        <x:v>MUST(안)</x:v>
      </x:c>
      <x:c r="M262" s="10" t="str">
        <x:v>적용</x:v>
      </x:c>
      <x:c r="N262" s="5" t="str">
        <x:v>현재 샘플의 회사 필수 기준으로 채택 제안</x:v>
      </x:c>
      <x:c r="O262" s="5" t="str">
        <x:v>관련 기능·적용 기관·계약 변경 시 재평가</x:v>
      </x:c>
      <x:c r="P262" s="5" t="str">
        <x:v>S01~S08 / 해당 기능의 모든 화면·상태</x:v>
      </x:c>
      <x:c r="Q262" s="5" t="str">
        <x:v>날짜 형식과 허용 확장자 등 구체적 조치 안내</x:v>
      </x:c>
      <x:c r="R262" s="5" t="str">
        <x:v>수동</x:v>
      </x:c>
      <x:c r="S262" s="10" t="str">
        <x:v>수동</x:v>
      </x:c>
      <x:c r="T262" s="5" t="str">
        <x:v>개발·QA</x:v>
      </x:c>
      <x:c r="U262" s="5" t="str">
        <x:v>P1</x:v>
      </x:c>
      <x:c r="V262" s="10" t="str">
        <x:v>구현</x:v>
      </x:c>
      <x:c r="W262" s="5" t="str">
        <x:v>클라이언트와 서버 ProblemDetails errors의 제목·유형·내용·파일 오류를 필드별로 연결한다. 오류 단계로 돌아가 입력값을 유지하고 오류요약에 초점을 옮기며 필드 링크·aria-invalid·설명과 수정방법을 제공한다. 실제 보조기술 음성 검증은 별도 미실행이다.</x:v>
      </x:c>
      <x:c r="X262" s="5" t="str">
        <x:v>apps/web/src/App.tsx#RequestWizard
apps/web/src/api.ts#ApiError
apps/web/src/api.ts#parseFieldErrors
apps/web/src/ui.tsx#ErrorBox</x:v>
      </x:c>
      <x:c r="Y262" s="5" t="str">
        <x:v>E2E-ERROR
SCREEN-FORM-ERROR
SCREEN-SERVER-VALIDATION
MAN-WCA-050</x:v>
      </x:c>
      <x:c r="Z262" s="10" t="str">
        <x:v>부분확인</x:v>
      </x:c>
      <x:c r="AA262" s="10" t="str">
        <x:v>미실행</x:v>
      </x:c>
      <x:c r="AB262" s="5" t="str">
        <x:v>E2E-ERROR-2026-10-20T06-15-00-647Z
SCREEN-FORM-ERROR-2026-10-20T06-15-00-647Z
SCREEN-SERVER-VALIDATION-2026-10-20T06-15-00-647Z</x:v>
      </x:c>
      <x:c r="AC262" s="5" t="n">
        <x:v>3</x:v>
      </x:c>
      <x:c r="AD262" s="5" t="n">
        <x:v>4</x:v>
      </x:c>
      <x:c r="AE262" s="10" t="str">
        <x:v>부분확인</x:v>
      </x:c>
      <x:c r="AF262" s="5" t="str"/>
      <x:c r="AG262" s="5" t="str"/>
      <x:c r="AH262" s="5" t="str"/>
      <x:c r="AI262" s="10" t="str">
        <x:v>입력 기준 유지</x:v>
      </x:c>
      <x:c r="AJ262" s="5" t="str">
        <x:f>IF(AND(M262="적용",V262="구현",X262&lt;&gt;"",Y262&lt;&gt;"",AB262&lt;&gt;"",AC262&gt;0,AD262&gt;0,AE262="통과",AF262="",AG262&lt;&gt;"",AH262&lt;&gt;"",OR(S262="자동",S262="수동",S262="자동+수동"),IF(OR(S262="자동",S262="자동+수동"),Z262="통과",TRUE),IF(OR(S262="수동",S262="자동+수동"),AA262="통과",TRUE)),"통과",IF(OR(Z262="실패",AA262="실패",AE262="실패"),"실패","보류"))</x:f>
        <x:v>보류</x:v>
      </x:c>
      <x:c r="AK262" s="5" t="str"/>
      <x:c r="AL262" s="5" t="str"/>
      <x:c r="AM262" s="5" t="str">
        <x:v>입력 v0.1 계획 주석은 original_plan_note에 보존. 최신 구현·시험·증빙은 연결 적용기록을 참조하며 전체 준수·인증을 주장하지 않음.</x:v>
      </x:c>
    </x:row>
    <x:row r="263" ht="39.599998474121094" hidden="0" customHeight="1">
      <x:c r="A263" s="5" t="str">
        <x:v>WCA-051</x:v>
      </x:c>
      <x:c r="B263" s="5" t="str">
        <x:v>WCAG 2.2 A·AA</x:v>
      </x:c>
      <x:c r="C263" s="5" t="str">
        <x:v>WCAG 2.2</x:v>
      </x:c>
      <x:c r="D263" s="5" t="str">
        <x:v>중요 변경 실수방지</x:v>
      </x:c>
      <x:c r="E263" s="5" t="str">
        <x:v>검토·정정·복구 수단</x:v>
      </x:c>
      <x:c r="F263" s="5" t="str">
        <x:v>SRC-005</x:v>
      </x:c>
      <x:c r="G263" s="5" t="str">
        <x:v>2024-12-12</x:v>
      </x:c>
      <x:c r="H263" s="5" t="str">
        <x:v>3.3.4</x:v>
      </x:c>
      <x:c r="I263" s="5" t="str"/>
      <x:c r="J263" s="5" t="str">
        <x:v>국제 표준 목표</x:v>
      </x:c>
      <x:c r="K263" s="5" t="str">
        <x:v>AA</x:v>
      </x:c>
      <x:c r="L263" s="5" t="str">
        <x:v>MUST(안)</x:v>
      </x:c>
      <x:c r="M263" s="10" t="str">
        <x:v>적용</x:v>
      </x:c>
      <x:c r="N263" s="5" t="str">
        <x:v>현재 샘플의 회사 필수 기준으로 채택 제안</x:v>
      </x:c>
      <x:c r="O263" s="5" t="str">
        <x:v>관련 기능·적용 기관·계약 변경 시 재평가</x:v>
      </x:c>
      <x:c r="P263" s="5" t="str">
        <x:v>S01~S08 / 해당 기능의 모든 화면·상태</x:v>
      </x:c>
      <x:c r="Q263" s="5" t="str">
        <x:v>사용자 저장정보 삭제·수정 전에 검토/확인/복구</x:v>
      </x:c>
      <x:c r="R263" s="5" t="str">
        <x:v>자동+수동</x:v>
      </x:c>
      <x:c r="S263" s="10" t="str">
        <x:v>자동+수동</x:v>
      </x:c>
      <x:c r="T263" s="5" t="str">
        <x:v>개발·QA</x:v>
      </x:c>
      <x:c r="U263" s="5" t="str">
        <x:v>P1</x:v>
      </x:c>
      <x:c r="V263" s="10" t="str">
        <x:v>구현</x:v>
      </x:c>
      <x:c r="W263" s="5" t="str">
        <x:v>요청 제출 전 검토/정정, 취소 시 계속작성 선택, 관리자 상태변경 사유와 취소·확정을 제공한다.</x:v>
      </x:c>
      <x:c r="X263" s="5" t="str">
        <x:v>apps/web/src/App.tsx#RequestWizard
apps/web/src/App.tsx#RequestDetail
apps/web/src/ui.tsx#Modal</x:v>
      </x:c>
      <x:c r="Y263" s="5" t="str">
        <x:v>MAN-WCA-051</x:v>
      </x:c>
      <x:c r="Z263" s="10" t="str">
        <x:v>미실행</x:v>
      </x:c>
      <x:c r="AA263" s="10" t="str">
        <x:v>미실행</x:v>
      </x:c>
      <x:c r="AB263" s="5" t="str"/>
      <x:c r="AC263" s="5" t="n">
        <x:v>0</x:v>
      </x:c>
      <x:c r="AD263" s="5" t="n">
        <x:v>1</x:v>
      </x:c>
      <x:c r="AE263" s="10" t="str">
        <x:v>미실행</x:v>
      </x:c>
      <x:c r="AF263" s="5" t="str"/>
      <x:c r="AG263" s="5" t="str"/>
      <x:c r="AH263" s="5" t="str"/>
      <x:c r="AI263" s="10" t="str">
        <x:v>입력 기준 유지</x:v>
      </x:c>
      <x:c r="AJ263" s="5" t="str">
        <x:f>IF(AND(M263="적용",V263="구현",X263&lt;&gt;"",Y263&lt;&gt;"",AB263&lt;&gt;"",AC263&gt;0,AD263&gt;0,AE263="통과",AF263="",AG263&lt;&gt;"",AH263&lt;&gt;"",OR(S263="자동",S263="수동",S263="자동+수동"),IF(OR(S263="자동",S263="자동+수동"),Z263="통과",TRUE),IF(OR(S263="수동",S263="자동+수동"),AA263="통과",TRUE)),"통과",IF(OR(Z263="실패",AA263="실패",AE263="실패"),"실패","보류"))</x:f>
        <x:v>보류</x:v>
      </x:c>
      <x:c r="AK263" s="5" t="str"/>
      <x:c r="AL263" s="5" t="str"/>
      <x:c r="AM263" s="5" t="str">
        <x:v>입력 v0.1 계획 주석은 original_plan_note에 보존. 최신 구현·시험·증빙은 연결 적용기록을 참조하며 전체 준수·인증을 주장하지 않음.</x:v>
      </x:c>
    </x:row>
    <x:row r="264" ht="39.599998474121094" hidden="0" customHeight="1">
      <x:c r="A264" s="5" t="str">
        <x:v>WCA-052</x:v>
      </x:c>
      <x:c r="B264" s="5" t="str">
        <x:v>WCAG 2.2 A·AA</x:v>
      </x:c>
      <x:c r="C264" s="5" t="str">
        <x:v>WCAG 2.2</x:v>
      </x:c>
      <x:c r="D264" s="5" t="str">
        <x:v>중복 입력 완화</x:v>
      </x:c>
      <x:c r="E264" s="5" t="str">
        <x:v>같은절차 재입력 완화</x:v>
      </x:c>
      <x:c r="F264" s="5" t="str">
        <x:v>SRC-005</x:v>
      </x:c>
      <x:c r="G264" s="5" t="str">
        <x:v>2024-12-12</x:v>
      </x:c>
      <x:c r="H264" s="5" t="str">
        <x:v>3.3.7</x:v>
      </x:c>
      <x:c r="I264" s="5" t="str"/>
      <x:c r="J264" s="5" t="str">
        <x:v>국제 표준 목표</x:v>
      </x:c>
      <x:c r="K264" s="5" t="str">
        <x:v>A</x:v>
      </x:c>
      <x:c r="L264" s="5" t="str">
        <x:v>MUST(안)</x:v>
      </x:c>
      <x:c r="M264" s="10" t="str">
        <x:v>적용</x:v>
      </x:c>
      <x:c r="N264" s="5" t="str">
        <x:v>현재 샘플의 회사 필수 기준으로 채택 제안</x:v>
      </x:c>
      <x:c r="O264" s="5" t="str">
        <x:v>관련 기능·적용 기관·계약 변경 시 재평가</x:v>
      </x:c>
      <x:c r="P264" s="5" t="str">
        <x:v>S01~S08 / 해당 기능의 모든 화면·상태</x:v>
      </x:c>
      <x:c r="Q264" s="5" t="str">
        <x:v>단계 이동 후 정보 유지·이미 제공한 항목 재사용</x:v>
      </x:c>
      <x:c r="R264" s="5" t="str">
        <x:v>자동+수동</x:v>
      </x:c>
      <x:c r="S264" s="10" t="str">
        <x:v>자동+수동</x:v>
      </x:c>
      <x:c r="T264" s="5" t="str">
        <x:v>개발·QA</x:v>
      </x:c>
      <x:c r="U264" s="5" t="str">
        <x:v>P1</x:v>
      </x:c>
      <x:c r="V264" s="10" t="str">
        <x:v>구현</x:v>
      </x:c>
      <x:c r="W264" s="5" t="str">
        <x:v>단계 간 이동 및 오류 후 React 메모리 draft로 입력과 선택파일을 보존한다. 로그인 이메일 등 이미 있는 계정 정보 재입력을 업무 폼에서 요구하지 않는다.</x:v>
      </x:c>
      <x:c r="X264" s="5" t="str">
        <x:v>apps/web/src/App.tsx#RequestWizard</x:v>
      </x:c>
      <x:c r="Y264" s="5" t="str">
        <x:v>E2E-WORKFLOW
SCREEN-FORM
MAN-WCA-052</x:v>
      </x:c>
      <x:c r="Z264" s="10" t="str">
        <x:v>부분확인</x:v>
      </x:c>
      <x:c r="AA264" s="10" t="str">
        <x:v>미실행</x:v>
      </x:c>
      <x:c r="AB264" s="5" t="str">
        <x:v>E2E-WORKFLOW-2026-10-20T06-15-00-647Z
SCREEN-FORM-2026-10-20T06-15-00-647Z</x:v>
      </x:c>
      <x:c r="AC264" s="5" t="n">
        <x:v>2</x:v>
      </x:c>
      <x:c r="AD264" s="5" t="n">
        <x:v>3</x:v>
      </x:c>
      <x:c r="AE264" s="10" t="str">
        <x:v>부분확인</x:v>
      </x:c>
      <x:c r="AF264" s="5" t="str"/>
      <x:c r="AG264" s="5" t="str"/>
      <x:c r="AH264" s="5" t="str"/>
      <x:c r="AI264" s="10" t="str">
        <x:v>입력 기준 유지</x:v>
      </x:c>
      <x:c r="AJ264" s="5" t="str">
        <x:f>IF(AND(M264="적용",V264="구현",X264&lt;&gt;"",Y264&lt;&gt;"",AB264&lt;&gt;"",AC264&gt;0,AD264&gt;0,AE264="통과",AF264="",AG264&lt;&gt;"",AH264&lt;&gt;"",OR(S264="자동",S264="수동",S264="자동+수동"),IF(OR(S264="자동",S264="자동+수동"),Z264="통과",TRUE),IF(OR(S264="수동",S264="자동+수동"),AA264="통과",TRUE)),"통과",IF(OR(Z264="실패",AA264="실패",AE264="실패"),"실패","보류"))</x:f>
        <x:v>보류</x:v>
      </x:c>
      <x:c r="AK264" s="5" t="str"/>
      <x:c r="AL264" s="5" t="str"/>
      <x:c r="AM264" s="5" t="str">
        <x:v>입력 v0.1 계획 주석은 original_plan_note에 보존. 최신 구현·시험·증빙은 연결 적용기록을 참조하며 전체 준수·인증을 주장하지 않음.</x:v>
      </x:c>
    </x:row>
    <x:row r="265" ht="26.399999618530273" hidden="0" customHeight="1">
      <x:c r="A265" s="5" t="str">
        <x:v>WCA-053</x:v>
      </x:c>
      <x:c r="B265" s="5" t="str">
        <x:v>WCAG 2.2 A·AA</x:v>
      </x:c>
      <x:c r="C265" s="5" t="str">
        <x:v>WCAG 2.2</x:v>
      </x:c>
      <x:c r="D265" s="5" t="str">
        <x:v>접근 가능한 로그인</x:v>
      </x:c>
      <x:c r="E265" s="5" t="str">
        <x:v>인지검사 부담 완화</x:v>
      </x:c>
      <x:c r="F265" s="5" t="str">
        <x:v>SRC-005</x:v>
      </x:c>
      <x:c r="G265" s="5" t="str">
        <x:v>2024-12-12</x:v>
      </x:c>
      <x:c r="H265" s="5" t="str">
        <x:v>3.3.8</x:v>
      </x:c>
      <x:c r="I265" s="5" t="str"/>
      <x:c r="J265" s="5" t="str">
        <x:v>국제 표준 목표</x:v>
      </x:c>
      <x:c r="K265" s="5" t="str">
        <x:v>AA</x:v>
      </x:c>
      <x:c r="L265" s="5" t="str">
        <x:v>MUST(안)</x:v>
      </x:c>
      <x:c r="M265" s="10" t="str">
        <x:v>적용</x:v>
      </x:c>
      <x:c r="N265" s="5" t="str">
        <x:v>현재 샘플의 회사 필수 기준으로 채택 제안</x:v>
      </x:c>
      <x:c r="O265" s="5" t="str">
        <x:v>관련 기능·적용 기관·계약 변경 시 재평가</x:v>
      </x:c>
      <x:c r="P265" s="5" t="str">
        <x:v>S01~S08 / 해당 기능의 모든 화면·상태</x:v>
      </x:c>
      <x:c r="Q265" s="5" t="str">
        <x:v>암호관리자·붙여넣기·자동완성 허용, 강제퍼즐 배제</x:v>
      </x:c>
      <x:c r="R265" s="5" t="str">
        <x:v>자동+수동</x:v>
      </x:c>
      <x:c r="S265" s="10" t="str">
        <x:v>자동+수동</x:v>
      </x:c>
      <x:c r="T265" s="5" t="str">
        <x:v>개발·QA</x:v>
      </x:c>
      <x:c r="U265" s="5" t="str">
        <x:v>P1</x:v>
      </x:c>
      <x:c r="V265" s="10" t="str">
        <x:v>구현</x:v>
      </x:c>
      <x:c r="W265" s="5" t="str">
        <x:v>비밀번호 붙여넣기/관리자·자동완성을 허용하고 인지기억·수학풀이 등의 인증시험을 추가하지 않는다.</x:v>
      </x:c>
      <x:c r="X265" s="5" t="str">
        <x:v>apps/web/src/App.tsx#Login</x:v>
      </x:c>
      <x:c r="Y265" s="5" t="str">
        <x:v>SCREEN-LOGIN
MAN-WCA-053</x:v>
      </x:c>
      <x:c r="Z265" s="10" t="str">
        <x:v>미실행</x:v>
      </x:c>
      <x:c r="AA265" s="10" t="str">
        <x:v>미실행</x:v>
      </x:c>
      <x:c r="AB265" s="5" t="str">
        <x:v>SCREEN-LOGIN-2026-10-20T06-15-00-647Z</x:v>
      </x:c>
      <x:c r="AC265" s="5" t="n">
        <x:v>1</x:v>
      </x:c>
      <x:c r="AD265" s="5" t="n">
        <x:v>2</x:v>
      </x:c>
      <x:c r="AE265" s="10" t="str">
        <x:v>부분확인</x:v>
      </x:c>
      <x:c r="AF265" s="5" t="str"/>
      <x:c r="AG265" s="5" t="str"/>
      <x:c r="AH265" s="5" t="str"/>
      <x:c r="AI265" s="10" t="str">
        <x:v>입력 기준 유지</x:v>
      </x:c>
      <x:c r="AJ265" s="5" t="str">
        <x:f>IF(AND(M265="적용",V265="구현",X265&lt;&gt;"",Y265&lt;&gt;"",AB265&lt;&gt;"",AC265&gt;0,AD265&gt;0,AE265="통과",AF265="",AG265&lt;&gt;"",AH265&lt;&gt;"",OR(S265="자동",S265="수동",S265="자동+수동"),IF(OR(S265="자동",S265="자동+수동"),Z265="통과",TRUE),IF(OR(S265="수동",S265="자동+수동"),AA265="통과",TRUE)),"통과",IF(OR(Z265="실패",AA265="실패",AE265="실패"),"실패","보류"))</x:f>
        <x:v>보류</x:v>
      </x:c>
      <x:c r="AK265" s="5" t="str"/>
      <x:c r="AL265" s="5" t="str"/>
      <x:c r="AM265" s="5" t="str">
        <x:v>입력 v0.1 계획 주석은 original_plan_note에 보존. 최신 구현·시험·증빙은 연결 적용기록을 참조하며 전체 준수·인증을 주장하지 않음.</x:v>
      </x:c>
    </x:row>
    <x:row r="266" ht="52.79999923706055" hidden="0" customHeight="1">
      <x:c r="A266" s="5" t="str">
        <x:v>WCA-054</x:v>
      </x:c>
      <x:c r="B266" s="5" t="str">
        <x:v>WCAG 2.2 A·AA</x:v>
      </x:c>
      <x:c r="C266" s="5" t="str">
        <x:v>WCAG 2.2</x:v>
      </x:c>
      <x:c r="D266" s="5" t="str">
        <x:v>역할·이름·값</x:v>
      </x:c>
      <x:c r="E266" s="5" t="str">
        <x:v>보조기술 의미 전달</x:v>
      </x:c>
      <x:c r="F266" s="5" t="str">
        <x:v>SRC-005</x:v>
      </x:c>
      <x:c r="G266" s="5" t="str">
        <x:v>2024-12-12</x:v>
      </x:c>
      <x:c r="H266" s="5" t="str">
        <x:v>4.1.2</x:v>
      </x:c>
      <x:c r="I266" s="5" t="str"/>
      <x:c r="J266" s="5" t="str">
        <x:v>국제 표준 목표</x:v>
      </x:c>
      <x:c r="K266" s="5" t="str">
        <x:v>A</x:v>
      </x:c>
      <x:c r="L266" s="5" t="str">
        <x:v>MUST(안)</x:v>
      </x:c>
      <x:c r="M266" s="10" t="str">
        <x:v>적용</x:v>
      </x:c>
      <x:c r="N266" s="5" t="str">
        <x:v>현재 샘플의 회사 필수 기준으로 채택 제안</x:v>
      </x:c>
      <x:c r="O266" s="5" t="str">
        <x:v>관련 기능·적용 기관·계약 변경 시 재평가</x:v>
      </x:c>
      <x:c r="P266" s="5" t="str">
        <x:v>S01~S08 / 해당 기능의 모든 화면·상태</x:v>
      </x:c>
      <x:c r="Q266" s="5" t="str">
        <x:v>네이티브 HTML, ARIA 상태 동기화</x:v>
      </x:c>
      <x:c r="R266" s="5" t="str">
        <x:v>자동+수동</x:v>
      </x:c>
      <x:c r="S266" s="10" t="str">
        <x:v>자동+수동</x:v>
      </x:c>
      <x:c r="T266" s="5" t="str">
        <x:v>개발·QA</x:v>
      </x:c>
      <x:c r="U266" s="5" t="str">
        <x:v>P1</x:v>
      </x:c>
      <x:c r="V266" s="10" t="str">
        <x:v>진행</x:v>
      </x:c>
      <x:c r="W266" s="5" t="str">
        <x:v>네이티브 컨트롤·접근명·aria-current/invalid/describedby·role=status/alert를 구현했다. 실제 NVDA/VoiceOver/TalkBack 사용 맥락과 음성 출력은 검증하지 않았다.</x:v>
      </x:c>
      <x:c r="X266" s="5" t="str">
        <x:v>apps/web/src/App.tsx#App
apps/web/src/ui.tsx#Modal
apps/web/src/ui.tsx#ErrorBox
apps/web/src/StandardsBrowser.tsx#StandardsBrowser</x:v>
      </x:c>
      <x:c r="Y266" s="5" t="str">
        <x:v>E2E-AXE
MAN-WCA-054</x:v>
      </x:c>
      <x:c r="Z266" s="10" t="str">
        <x:v>부분확인</x:v>
      </x:c>
      <x:c r="AA266" s="10" t="str">
        <x:v>미실행</x:v>
      </x:c>
      <x:c r="AB266" s="5" t="str">
        <x:v>E2E-AXE-2026-10-20T06-15-00-647Z</x:v>
      </x:c>
      <x:c r="AC266" s="5" t="n">
        <x:v>1</x:v>
      </x:c>
      <x:c r="AD266" s="5" t="n">
        <x:v>2</x:v>
      </x:c>
      <x:c r="AE266" s="10" t="str">
        <x:v>부분확인</x:v>
      </x:c>
      <x:c r="AF266" s="5" t="str"/>
      <x:c r="AG266" s="5" t="str"/>
      <x:c r="AH266" s="5" t="str"/>
      <x:c r="AI266" s="10" t="str">
        <x:v>입력 기준 유지</x:v>
      </x:c>
      <x:c r="AJ266" s="5" t="str">
        <x:f>IF(AND(M266="적용",V266="구현",X266&lt;&gt;"",Y266&lt;&gt;"",AB266&lt;&gt;"",AC266&gt;0,AD266&gt;0,AE266="통과",AF266="",AG266&lt;&gt;"",AH266&lt;&gt;"",OR(S266="자동",S266="수동",S266="자동+수동"),IF(OR(S266="자동",S266="자동+수동"),Z266="통과",TRUE),IF(OR(S266="수동",S266="자동+수동"),AA266="통과",TRUE)),"통과",IF(OR(Z266="실패",AA266="실패",AE266="실패"),"실패","보류"))</x:f>
        <x:v>보류</x:v>
      </x:c>
      <x:c r="AK266" s="5" t="str"/>
      <x:c r="AL266" s="5" t="str"/>
      <x:c r="AM266" s="5" t="str">
        <x:v>입력 v0.1 계획 주석은 original_plan_note에 보존. 최신 구현·시험·증빙은 연결 적용기록을 참조하며 전체 준수·인증을 주장하지 않음.</x:v>
      </x:c>
    </x:row>
    <x:row r="267" ht="66" hidden="0" customHeight="1">
      <x:c r="A267" s="5" t="str">
        <x:v>WCA-055</x:v>
      </x:c>
      <x:c r="B267" s="5" t="str">
        <x:v>WCAG 2.2 A·AA</x:v>
      </x:c>
      <x:c r="C267" s="5" t="str">
        <x:v>WCAG 2.2</x:v>
      </x:c>
      <x:c r="D267" s="5" t="str">
        <x:v>상태 알림</x:v>
      </x:c>
      <x:c r="E267" s="5" t="str">
        <x:v>초점이동 없는 상태전달</x:v>
      </x:c>
      <x:c r="F267" s="5" t="str">
        <x:v>SRC-005</x:v>
      </x:c>
      <x:c r="G267" s="5" t="str">
        <x:v>2024-12-12</x:v>
      </x:c>
      <x:c r="H267" s="5" t="str">
        <x:v>4.1.3</x:v>
      </x:c>
      <x:c r="I267" s="5" t="str"/>
      <x:c r="J267" s="5" t="str">
        <x:v>국제 표준 목표</x:v>
      </x:c>
      <x:c r="K267" s="5" t="str">
        <x:v>AA</x:v>
      </x:c>
      <x:c r="L267" s="5" t="str">
        <x:v>MUST(안)</x:v>
      </x:c>
      <x:c r="M267" s="10" t="str">
        <x:v>적용</x:v>
      </x:c>
      <x:c r="N267" s="5" t="str">
        <x:v>현재 샘플의 회사 필수 기준으로 채택 제안</x:v>
      </x:c>
      <x:c r="O267" s="5" t="str">
        <x:v>관련 기능·적용 기관·계약 변경 시 재평가</x:v>
      </x:c>
      <x:c r="P267" s="5" t="str">
        <x:v>S01~S08 / 해당 기능의 모든 화면·상태</x:v>
      </x:c>
      <x:c r="Q267" s="5" t="str">
        <x:v>저장완료·검색건수 role=status, 오류 role=alert 절제</x:v>
      </x:c>
      <x:c r="R267" s="5" t="str">
        <x:v>자동+수동</x:v>
      </x:c>
      <x:c r="S267" s="10" t="str">
        <x:v>자동+수동</x:v>
      </x:c>
      <x:c r="T267" s="5" t="str">
        <x:v>개발·QA</x:v>
      </x:c>
      <x:c r="U267" s="5" t="str">
        <x:v>P1</x:v>
      </x:c>
      <x:c r="V267" s="10" t="str">
        <x:v>진행</x:v>
      </x:c>
      <x:c r="W267" s="5" t="str">
        <x:v>검색결과·로딩·저장·복사 상태는 role=status, 오류는 alert로 전달한다. 파일 선택 상태·업로드 진행의 실제 보조기술 낭독 전수검사는 남아 있다.</x:v>
      </x:c>
      <x:c r="X267" s="5" t="str">
        <x:v>apps/web/src/ui.tsx#Success
apps/web/src/ui.tsx#Loading
apps/web/src/ui.tsx#ErrorBox
apps/web/src/StandardsBrowser.tsx#StandardsBrowser
apps/web/src/App.tsx#RequestList</x:v>
      </x:c>
      <x:c r="Y267" s="5" t="str">
        <x:v>E2E-ERROR
SCREEN-COMPLETE
SCREEN-SERVER-ERROR
SCREEN-EMPTY-RESULTS
MAN-WCA-055</x:v>
      </x:c>
      <x:c r="Z267" s="10" t="str">
        <x:v>부분확인</x:v>
      </x:c>
      <x:c r="AA267" s="10" t="str">
        <x:v>미실행</x:v>
      </x:c>
      <x:c r="AB267" s="5" t="str">
        <x:v>E2E-ERROR-2026-10-20T06-15-00-647Z
SCREEN-COMPLETE-2026-10-20T06-15-00-647Z
SCREEN-SERVER-ERROR-2026-10-20T06-15-00-647Z
SCREEN-EMPTY-RESULTS-2026-10-20T06-15-00-647Z</x:v>
      </x:c>
      <x:c r="AC267" s="5" t="n">
        <x:v>4</x:v>
      </x:c>
      <x:c r="AD267" s="5" t="n">
        <x:v>5</x:v>
      </x:c>
      <x:c r="AE267" s="10" t="str">
        <x:v>부분확인</x:v>
      </x:c>
      <x:c r="AF267" s="5" t="str"/>
      <x:c r="AG267" s="5" t="str"/>
      <x:c r="AH267" s="5" t="str"/>
      <x:c r="AI267" s="10" t="str">
        <x:v>입력 기준 유지</x:v>
      </x:c>
      <x:c r="AJ267" s="5" t="str">
        <x:f>IF(AND(M267="적용",V267="구현",X267&lt;&gt;"",Y267&lt;&gt;"",AB267&lt;&gt;"",AC267&gt;0,AD267&gt;0,AE267="통과",AF267="",AG267&lt;&gt;"",AH267&lt;&gt;"",OR(S267="자동",S267="수동",S267="자동+수동"),IF(OR(S267="자동",S267="자동+수동"),Z267="통과",TRUE),IF(OR(S267="수동",S267="자동+수동"),AA267="통과",TRUE)),"통과",IF(OR(Z267="실패",AA267="실패",AE267="실패"),"실패","보류"))</x:f>
        <x:v>보류</x:v>
      </x:c>
      <x:c r="AK267" s="5" t="str"/>
      <x:c r="AL267" s="5" t="str"/>
      <x:c r="AM267" s="5" t="str">
        <x:v>입력 v0.1 계획 주석은 original_plan_note에 보존. 최신 구현·시험·증빙은 연결 적용기록을 참조하며 전체 준수·인증을 주장하지 않음.</x:v>
      </x:c>
    </x:row>
    <x:row r="268" ht="26.399999618530273" hidden="0" customHeight="1">
      <x:c r="A268" s="5" t="str">
        <x:v>INC-001</x:v>
      </x:c>
      <x:c r="B268" s="5" t="str">
        <x:v>포용적 UX</x:v>
      </x:c>
      <x:c r="C268" s="5" t="str">
        <x:v>포용적 UX / 회사 강화</x:v>
      </x:c>
      <x:c r="D268" s="5" t="str">
        <x:v>실제 사용자 참여</x:v>
      </x:c>
      <x:c r="E268" s="5" t="str">
        <x:v>장애유형별 대표 사용자에게 전체 과업 검증</x:v>
      </x:c>
      <x:c r="F268" s="5" t="str">
        <x:v>SRC-019</x:v>
      </x:c>
      <x:c r="G268" s="5" t="str">
        <x:v>회사0.1</x:v>
      </x:c>
      <x:c r="H268" s="5" t="str">
        <x:v>보완 가이드 또는 회사 목표</x:v>
      </x:c>
      <x:c r="I268" s="5" t="str"/>
      <x:c r="J268" s="5" t="str">
        <x:v>사내 강화 목표</x:v>
      </x:c>
      <x:c r="K268" s="5" t="str">
        <x:v>회사 목표</x:v>
      </x:c>
      <x:c r="L268" s="5" t="str">
        <x:v>MUST(안)</x:v>
      </x:c>
      <x:c r="M268" s="10" t="str">
        <x:v>적용</x:v>
      </x:c>
      <x:c r="N268" s="5" t="str">
        <x:v>현재 샘플의 회사 필수 기준으로 채택 제안</x:v>
      </x:c>
      <x:c r="O268" s="5" t="str">
        <x:v>관련 기능·적용 기관·계약 변경 시 재평가</x:v>
      </x:c>
      <x:c r="P268" s="5" t="str">
        <x:v>S01~S08 / 해당 기능의 모든 화면·상태</x:v>
      </x:c>
      <x:c r="Q268" s="5" t="str">
        <x:v>사용자평가 계획·동의·결과·개선 내역을 관리</x:v>
      </x:c>
      <x:c r="R268" s="5" t="str">
        <x:v>사용자평가</x:v>
      </x:c>
      <x:c r="S268" s="10" t="str">
        <x:v>수동</x:v>
      </x:c>
      <x:c r="T268" s="5" t="str">
        <x:v>UX·개발·QA</x:v>
      </x:c>
      <x:c r="U268" s="5" t="str">
        <x:v>P1</x:v>
      </x:c>
      <x:c r="V268" s="10" t="str">
        <x:v>계획</x:v>
      </x:c>
      <x:c r="W268" s="5" t="str">
        <x:v>실제 장애 당사자 참여 평가는 수행하지 않았다. 대표 과업·보조기술·환경을 갖춘 참여평가가 필요하다.</x:v>
      </x:c>
      <x:c r="X268" s="5" t="str"/>
      <x:c r="Y268" s="5" t="str">
        <x:v>MAN-INC-001</x:v>
      </x:c>
      <x:c r="Z268" s="10" t="str">
        <x:v>미실행</x:v>
      </x:c>
      <x:c r="AA268" s="10" t="str">
        <x:v>미실행</x:v>
      </x:c>
      <x:c r="AB268" s="5" t="str"/>
      <x:c r="AC268" s="5" t="n">
        <x:v>0</x:v>
      </x:c>
      <x:c r="AD268" s="5" t="n">
        <x:v>1</x:v>
      </x:c>
      <x:c r="AE268" s="10" t="str">
        <x:v>미실행</x:v>
      </x:c>
      <x:c r="AF268" s="5" t="str"/>
      <x:c r="AG268" s="5" t="str"/>
      <x:c r="AH268" s="5" t="str"/>
      <x:c r="AI268" s="10" t="str">
        <x:v>입력 기준 유지</x:v>
      </x:c>
      <x:c r="AJ268" s="5" t="str">
        <x:f>IF(AND(M268="적용",V268="구현",X268&lt;&gt;"",Y268&lt;&gt;"",AB268&lt;&gt;"",AC268&gt;0,AD268&gt;0,AE268="통과",AF268="",AG268&lt;&gt;"",AH268&lt;&gt;"",OR(S268="자동",S268="수동",S268="자동+수동"),IF(OR(S268="자동",S268="자동+수동"),Z268="통과",TRUE),IF(OR(S268="수동",S268="자동+수동"),AA268="통과",TRUE)),"통과",IF(OR(Z268="실패",AA268="실패",AE268="실패"),"실패","보류"))</x:f>
        <x:v>보류</x:v>
      </x:c>
      <x:c r="AK268" s="5" t="str"/>
      <x:c r="AL268" s="5" t="str"/>
      <x:c r="AM268" s="5" t="str">
        <x:v>입력 v0.1 계획 주석은 original_plan_note에 보존. 최신 구현·시험·증빙은 연결 적용기록을 참조하며 전체 준수·인증을 주장하지 않음.</x:v>
      </x:c>
    </x:row>
    <x:row r="269" ht="26.399999618530273" hidden="0" customHeight="1">
      <x:c r="A269" s="5" t="str">
        <x:v>INC-002</x:v>
      </x:c>
      <x:c r="B269" s="5" t="str">
        <x:v>포용적 UX</x:v>
      </x:c>
      <x:c r="C269" s="5" t="str">
        <x:v>포용적 UX / 회사 강화</x:v>
      </x:c>
      <x:c r="D269" s="5" t="str">
        <x:v>개인 설정 존중</x:v>
      </x:c>
      <x:c r="E269" s="5" t="str">
        <x:v>OS 고대비·모션감소·확대 설정을 방해하지 않음</x:v>
      </x:c>
      <x:c r="F269" s="5" t="str">
        <x:v>SRC-020</x:v>
      </x:c>
      <x:c r="G269" s="5" t="str">
        <x:v>회사0.1</x:v>
      </x:c>
      <x:c r="H269" s="5" t="str">
        <x:v>보완 가이드 또는 회사 목표</x:v>
      </x:c>
      <x:c r="I269" s="5" t="str"/>
      <x:c r="J269" s="5" t="str">
        <x:v>사내 강화 목표</x:v>
      </x:c>
      <x:c r="K269" s="5" t="str">
        <x:v>회사 목표</x:v>
      </x:c>
      <x:c r="L269" s="5" t="str">
        <x:v>MUST(안)</x:v>
      </x:c>
      <x:c r="M269" s="10" t="str">
        <x:v>적용</x:v>
      </x:c>
      <x:c r="N269" s="5" t="str">
        <x:v>현재 샘플의 회사 필수 기준으로 채택 제안</x:v>
      </x:c>
      <x:c r="O269" s="5" t="str">
        <x:v>관련 기능·적용 기관·계약 변경 시 재평가</x:v>
      </x:c>
      <x:c r="P269" s="5" t="str">
        <x:v>S01~S08 / 해당 기능의 모든 화면·상태</x:v>
      </x:c>
      <x:c r="Q269" s="5" t="str">
        <x:v>forced-colors, prefers-reduced-motion, 브라우저 확대를 공통컴포넌트에 반영</x:v>
      </x:c>
      <x:c r="R269" s="5" t="str">
        <x:v>수동+자동</x:v>
      </x:c>
      <x:c r="S269" s="10" t="str">
        <x:v>자동+수동</x:v>
      </x:c>
      <x:c r="T269" s="5" t="str">
        <x:v>UX·개발·QA</x:v>
      </x:c>
      <x:c r="U269" s="5" t="str">
        <x:v>P1</x:v>
      </x:c>
      <x:c r="V269" s="10" t="str">
        <x:v>구현</x:v>
      </x:c>
      <x:c r="W269" s="5" t="str">
        <x:v>forced-colors 및 prefers-reduced-motion 대응과 사용자 글자크기/모션 설정을 제공한다. 브라우저 확대를 금지하지 않는다.</x:v>
      </x:c>
      <x:c r="X269" s="5" t="str">
        <x:v>apps/web/src/styles.css
apps/web/src/App.tsx#Preferences</x:v>
      </x:c>
      <x:c r="Y269" s="5" t="str">
        <x:v>E2E-REFLOW
MAN-INC-002</x:v>
      </x:c>
      <x:c r="Z269" s="10" t="str">
        <x:v>부분확인</x:v>
      </x:c>
      <x:c r="AA269" s="10" t="str">
        <x:v>미실행</x:v>
      </x:c>
      <x:c r="AB269" s="5" t="str">
        <x:v>E2E-REFLOW-2026-10-20T06-15-00-647Z</x:v>
      </x:c>
      <x:c r="AC269" s="5" t="n">
        <x:v>1</x:v>
      </x:c>
      <x:c r="AD269" s="5" t="n">
        <x:v>2</x:v>
      </x:c>
      <x:c r="AE269" s="10" t="str">
        <x:v>부분확인</x:v>
      </x:c>
      <x:c r="AF269" s="5" t="str"/>
      <x:c r="AG269" s="5" t="str"/>
      <x:c r="AH269" s="5" t="str"/>
      <x:c r="AI269" s="10" t="str">
        <x:v>입력 기준 유지</x:v>
      </x:c>
      <x:c r="AJ269" s="5" t="str">
        <x:f>IF(AND(M269="적용",V269="구현",X269&lt;&gt;"",Y269&lt;&gt;"",AB269&lt;&gt;"",AC269&gt;0,AD269&gt;0,AE269="통과",AF269="",AG269&lt;&gt;"",AH269&lt;&gt;"",OR(S269="자동",S269="수동",S269="자동+수동"),IF(OR(S269="자동",S269="자동+수동"),Z269="통과",TRUE),IF(OR(S269="수동",S269="자동+수동"),AA269="통과",TRUE)),"통과",IF(OR(Z269="실패",AA269="실패",AE269="실패"),"실패","보류"))</x:f>
        <x:v>보류</x:v>
      </x:c>
      <x:c r="AK269" s="5" t="str"/>
      <x:c r="AL269" s="5" t="str"/>
      <x:c r="AM269" s="5" t="str">
        <x:v>입력 v0.1 계획 주석은 original_plan_note에 보존. 최신 구현·시험·증빙은 연결 적용기록을 참조하며 전체 준수·인증을 주장하지 않음.</x:v>
      </x:c>
    </x:row>
    <x:row r="270" ht="39.599998474121094" hidden="0" customHeight="1">
      <x:c r="A270" s="5" t="str">
        <x:v>INC-003</x:v>
      </x:c>
      <x:c r="B270" s="5" t="str">
        <x:v>포용적 UX</x:v>
      </x:c>
      <x:c r="C270" s="5" t="str">
        <x:v>포용적 UX / 회사 강화</x:v>
      </x:c>
      <x:c r="D270" s="5" t="str">
        <x:v>쉬운 한국어</x:v>
      </x:c>
      <x:c r="E270" s="5" t="str">
        <x:v>짧은 문장·구체적 동사·용어 설명</x:v>
      </x:c>
      <x:c r="F270" s="5" t="str">
        <x:v>SRC-021</x:v>
      </x:c>
      <x:c r="G270" s="5" t="str">
        <x:v>회사0.1</x:v>
      </x:c>
      <x:c r="H270" s="5" t="str">
        <x:v>보완 가이드 또는 회사 목표</x:v>
      </x:c>
      <x:c r="I270" s="5" t="str"/>
      <x:c r="J270" s="5" t="str">
        <x:v>사내 강화 목표</x:v>
      </x:c>
      <x:c r="K270" s="5" t="str">
        <x:v>회사 목표</x:v>
      </x:c>
      <x:c r="L270" s="5" t="str">
        <x:v>MUST(안)</x:v>
      </x:c>
      <x:c r="M270" s="10" t="str">
        <x:v>적용</x:v>
      </x:c>
      <x:c r="N270" s="5" t="str">
        <x:v>현재 샘플의 회사 필수 기준으로 채택 제안</x:v>
      </x:c>
      <x:c r="O270" s="5" t="str">
        <x:v>관련 기능·적용 기관·계약 변경 시 재평가</x:v>
      </x:c>
      <x:c r="P270" s="5" t="str">
        <x:v>S01~S08 / 해당 기능의 모든 화면·상태</x:v>
      </x:c>
      <x:c r="Q270" s="5" t="str">
        <x:v>업무요청 안내·오류문구를 실제 과업 기준으로 검토</x:v>
      </x:c>
      <x:c r="R270" s="5" t="str">
        <x:v>문구 검토</x:v>
      </x:c>
      <x:c r="S270" s="10" t="str">
        <x:v>수동</x:v>
      </x:c>
      <x:c r="T270" s="5" t="str">
        <x:v>UX·개발·QA</x:v>
      </x:c>
      <x:c r="U270" s="5" t="str">
        <x:v>P1</x:v>
      </x:c>
      <x:c r="V270" s="10" t="str">
        <x:v>진행</x:v>
      </x:c>
      <x:c r="W270" s="5" t="str">
        <x:v>짧은 한국어 안내·구체적인 행동명·수정방법을 제공한다. 고령자/인지·학습 어려움 당사자와의 용어 이해도 검증은 미실행이다.</x:v>
      </x:c>
      <x:c r="X270" s="5" t="str">
        <x:v>apps/web/src/App.tsx#Help
apps/web/src/App.tsx#RequestWizard
apps/web/src/ui.tsx#ErrorBox</x:v>
      </x:c>
      <x:c r="Y270" s="5" t="str">
        <x:v>MAN-INC-003</x:v>
      </x:c>
      <x:c r="Z270" s="10" t="str">
        <x:v>미실행</x:v>
      </x:c>
      <x:c r="AA270" s="10" t="str">
        <x:v>미실행</x:v>
      </x:c>
      <x:c r="AB270" s="5" t="str"/>
      <x:c r="AC270" s="5" t="n">
        <x:v>0</x:v>
      </x:c>
      <x:c r="AD270" s="5" t="n">
        <x:v>1</x:v>
      </x:c>
      <x:c r="AE270" s="10" t="str">
        <x:v>미실행</x:v>
      </x:c>
      <x:c r="AF270" s="5" t="str"/>
      <x:c r="AG270" s="5" t="str"/>
      <x:c r="AH270" s="5" t="str"/>
      <x:c r="AI270" s="10" t="str">
        <x:v>입력 기준 유지</x:v>
      </x:c>
      <x:c r="AJ270" s="5" t="str">
        <x:f>IF(AND(M270="적용",V270="구현",X270&lt;&gt;"",Y270&lt;&gt;"",AB270&lt;&gt;"",AC270&gt;0,AD270&gt;0,AE270="통과",AF270="",AG270&lt;&gt;"",AH270&lt;&gt;"",OR(S270="자동",S270="수동",S270="자동+수동"),IF(OR(S270="자동",S270="자동+수동"),Z270="통과",TRUE),IF(OR(S270="수동",S270="자동+수동"),AA270="통과",TRUE)),"통과",IF(OR(Z270="실패",AA270="실패",AE270="실패"),"실패","보류"))</x:f>
        <x:v>보류</x:v>
      </x:c>
      <x:c r="AK270" s="5" t="str"/>
      <x:c r="AL270" s="5" t="str"/>
      <x:c r="AM270" s="5" t="str">
        <x:v>입력 v0.1 계획 주석은 original_plan_note에 보존. 최신 구현·시험·증빙은 연결 적용기록을 참조하며 전체 준수·인증을 주장하지 않음.</x:v>
      </x:c>
    </x:row>
    <x:row r="271" ht="26.399999618530273" hidden="0" customHeight="1">
      <x:c r="A271" s="5" t="str">
        <x:v>INC-004</x:v>
      </x:c>
      <x:c r="B271" s="5" t="str">
        <x:v>포용적 UX</x:v>
      </x:c>
      <x:c r="C271" s="5" t="str">
        <x:v>포용적 UX / 회사 강화</x:v>
      </x:c>
      <x:c r="D271" s="5" t="str">
        <x:v>회사 터치 목표</x:v>
      </x:c>
      <x:c r="E271" s="5" t="str">
        <x:v>주요 제어44×44 이상, 모바일48×48 권장</x:v>
      </x:c>
      <x:c r="F271" s="5" t="str">
        <x:v>SRC-022</x:v>
      </x:c>
      <x:c r="G271" s="5" t="str">
        <x:v>회사0.1</x:v>
      </x:c>
      <x:c r="H271" s="5" t="str">
        <x:v>보완 가이드 또는 회사 목표</x:v>
      </x:c>
      <x:c r="I271" s="5" t="str"/>
      <x:c r="J271" s="5" t="str">
        <x:v>사내 강화 목표</x:v>
      </x:c>
      <x:c r="K271" s="5" t="str">
        <x:v>회사 목표</x:v>
      </x:c>
      <x:c r="L271" s="5" t="str">
        <x:v>MUST(안)</x:v>
      </x:c>
      <x:c r="M271" s="10" t="str">
        <x:v>적용</x:v>
      </x:c>
      <x:c r="N271" s="5" t="str">
        <x:v>현재 샘플의 회사 필수 기준으로 채택 제안</x:v>
      </x:c>
      <x:c r="O271" s="5" t="str">
        <x:v>관련 기능·적용 기관·계약 변경 시 재평가</x:v>
      </x:c>
      <x:c r="P271" s="5" t="str">
        <x:v>S01~S08 / 해당 기능의 모든 화면·상태</x:v>
      </x:c>
      <x:c r="Q271" s="5" t="str">
        <x:v>정형 버튼·아이콘 버튼의 hit area 토큰화, 좁은 표는 예외 관리</x:v>
      </x:c>
      <x:c r="R271" s="5" t="str">
        <x:v>조작 대상 크기 자동 측정 + 실제 기기 조작성 수동 확인</x:v>
      </x:c>
      <x:c r="S271" s="10" t="str">
        <x:v>자동+수동</x:v>
      </x:c>
      <x:c r="T271" s="5" t="str">
        <x:v>UX·개발·QA</x:v>
      </x:c>
      <x:c r="U271" s="5" t="str">
        <x:v>P1</x:v>
      </x:c>
      <x:c r="V271" s="10" t="str">
        <x:v>구현</x:v>
      </x:c>
      <x:c r="W271" s="5" t="str">
        <x:v>주요 조작은44px 이상, 입력48px, 메뉴49px의 목표를 적용한다. 모바일48px 권장 목표의 모든 조작부 전수 실측은 별도 남아 있다.</x:v>
      </x:c>
      <x:c r="X271" s="5" t="str">
        <x:v>apps/web/src/styles.css</x:v>
      </x:c>
      <x:c r="Y271" s="5" t="str">
        <x:v>MAN-INC-004</x:v>
      </x:c>
      <x:c r="Z271" s="10" t="str">
        <x:v>미실행</x:v>
      </x:c>
      <x:c r="AA271" s="10" t="str">
        <x:v>미실행</x:v>
      </x:c>
      <x:c r="AB271" s="5" t="str"/>
      <x:c r="AC271" s="5" t="n">
        <x:v>0</x:v>
      </x:c>
      <x:c r="AD271" s="5" t="n">
        <x:v>1</x:v>
      </x:c>
      <x:c r="AE271" s="10" t="str">
        <x:v>미실행</x:v>
      </x:c>
      <x:c r="AF271" s="5" t="str"/>
      <x:c r="AG271" s="5" t="str"/>
      <x:c r="AH271" s="5" t="str"/>
      <x:c r="AI271" s="10" t="str">
        <x:v>입력 기준 유지</x:v>
      </x:c>
      <x:c r="AJ271" s="5" t="str">
        <x:f>IF(AND(M271="적용",V271="구현",X271&lt;&gt;"",Y271&lt;&gt;"",AB271&lt;&gt;"",AC271&gt;0,AD271&gt;0,AE271="통과",AF271="",AG271&lt;&gt;"",AH271&lt;&gt;"",OR(S271="자동",S271="수동",S271="자동+수동"),IF(OR(S271="자동",S271="자동+수동"),Z271="통과",TRUE),IF(OR(S271="수동",S271="자동+수동"),AA271="통과",TRUE)),"통과",IF(OR(Z271="실패",AA271="실패",AE271="실패"),"실패","보류"))</x:f>
        <x:v>보류</x:v>
      </x:c>
      <x:c r="AK271" s="5" t="str"/>
      <x:c r="AL271" s="5" t="str"/>
      <x:c r="AM271" s="5" t="str">
        <x:v>입력 v0.1 계획 주석은 original_plan_note에 보존. 최신 구현·시험·증빙은 연결 적용기록을 참조하며 전체 준수·인증을 주장하지 않음.</x:v>
      </x:c>
    </x:row>
    <x:row r="272" ht="39.599998474121094" hidden="0" customHeight="1">
      <x:c r="A272" s="5" t="str">
        <x:v>INC-005</x:v>
      </x:c>
      <x:c r="B272" s="5" t="str">
        <x:v>포용적 UX</x:v>
      </x:c>
      <x:c r="C272" s="5" t="str">
        <x:v>포용적 UX / 회사 강화</x:v>
      </x:c>
      <x:c r="D272" s="5" t="str">
        <x:v>상태 다중 표현</x:v>
      </x:c>
      <x:c r="E272" s="5" t="str">
        <x:v>상태를 색·텍스트·프로그램 알림으로 전달</x:v>
      </x:c>
      <x:c r="F272" s="5" t="str">
        <x:v>SRC-023</x:v>
      </x:c>
      <x:c r="G272" s="5" t="str">
        <x:v>회사0.1</x:v>
      </x:c>
      <x:c r="H272" s="5" t="str">
        <x:v>보완 가이드 또는 회사 목표</x:v>
      </x:c>
      <x:c r="I272" s="5" t="str"/>
      <x:c r="J272" s="5" t="str">
        <x:v>사내 강화 목표</x:v>
      </x:c>
      <x:c r="K272" s="5" t="str">
        <x:v>회사 목표</x:v>
      </x:c>
      <x:c r="L272" s="5" t="str">
        <x:v>MUST(안)</x:v>
      </x:c>
      <x:c r="M272" s="10" t="str">
        <x:v>적용</x:v>
      </x:c>
      <x:c r="N272" s="5" t="str">
        <x:v>현재 샘플의 회사 필수 기준으로 채택 제안</x:v>
      </x:c>
      <x:c r="O272" s="5" t="str">
        <x:v>관련 기능·적용 기관·계약 변경 시 재평가</x:v>
      </x:c>
      <x:c r="P272" s="5" t="str">
        <x:v>S01~S08 / 해당 기능의 모든 화면·상태</x:v>
      </x:c>
      <x:c r="Q272" s="5" t="str">
        <x:v>“처리 중/완료/보완요청”과 상태 알림 제공</x:v>
      </x:c>
      <x:c r="R272" s="5" t="str">
        <x:v>낭독+무음+흑백</x:v>
      </x:c>
      <x:c r="S272" s="10" t="str">
        <x:v>수동</x:v>
      </x:c>
      <x:c r="T272" s="5" t="str">
        <x:v>UX·개발·QA</x:v>
      </x:c>
      <x:c r="U272" s="5" t="str">
        <x:v>P1</x:v>
      </x:c>
      <x:c r="V272" s="10" t="str">
        <x:v>구현</x:v>
      </x:c>
      <x:c r="W272" s="5" t="str">
        <x:v>상태를 색상과 함께 한국어 텍스트·아이콘·role 상태 알림으로 표현한다.</x:v>
      </x:c>
      <x:c r="X272" s="5" t="str">
        <x:v>apps/web/src/ui.tsx#Badge
apps/web/src/ui.tsx#ErrorBox
apps/web/src/ui.tsx#Success</x:v>
      </x:c>
      <x:c r="Y272" s="5" t="str">
        <x:v>MAN-INC-005</x:v>
      </x:c>
      <x:c r="Z272" s="10" t="str">
        <x:v>미실행</x:v>
      </x:c>
      <x:c r="AA272" s="10" t="str">
        <x:v>미실행</x:v>
      </x:c>
      <x:c r="AB272" s="5" t="str"/>
      <x:c r="AC272" s="5" t="n">
        <x:v>0</x:v>
      </x:c>
      <x:c r="AD272" s="5" t="n">
        <x:v>1</x:v>
      </x:c>
      <x:c r="AE272" s="10" t="str">
        <x:v>미실행</x:v>
      </x:c>
      <x:c r="AF272" s="5" t="str"/>
      <x:c r="AG272" s="5" t="str"/>
      <x:c r="AH272" s="5" t="str"/>
      <x:c r="AI272" s="10" t="str">
        <x:v>입력 기준 유지</x:v>
      </x:c>
      <x:c r="AJ272" s="5" t="str">
        <x:f>IF(AND(M272="적용",V272="구현",X272&lt;&gt;"",Y272&lt;&gt;"",AB272&lt;&gt;"",AC272&gt;0,AD272&gt;0,AE272="통과",AF272="",AG272&lt;&gt;"",AH272&lt;&gt;"",OR(S272="자동",S272="수동",S272="자동+수동"),IF(OR(S272="자동",S272="자동+수동"),Z272="통과",TRUE),IF(OR(S272="수동",S272="자동+수동"),AA272="통과",TRUE)),"통과",IF(OR(Z272="실패",AA272="실패",AE272="실패"),"실패","보류"))</x:f>
        <x:v>보류</x:v>
      </x:c>
      <x:c r="AK272" s="5" t="str"/>
      <x:c r="AL272" s="5" t="str"/>
      <x:c r="AM272" s="5" t="str">
        <x:v>입력 v0.1 계획 주석은 original_plan_note에 보존. 최신 구현·시험·증빙은 연결 적용기록을 참조하며 전체 준수·인증을 주장하지 않음.</x:v>
      </x:c>
    </x:row>
    <x:row r="273" ht="52.79999923706055" hidden="0" customHeight="1">
      <x:c r="A273" s="5" t="str">
        <x:v>INC-006</x:v>
      </x:c>
      <x:c r="B273" s="5" t="str">
        <x:v>포용적 UX</x:v>
      </x:c>
      <x:c r="C273" s="5" t="str">
        <x:v>포용적 UX / 회사 강화</x:v>
      </x:c>
      <x:c r="D273" s="5" t="str">
        <x:v>입력 복구</x:v>
      </x:c>
      <x:c r="E273" s="5" t="str">
        <x:v>네트워크 오류·세션 종료에서 작업 손실 최소화</x:v>
      </x:c>
      <x:c r="F273" s="5" t="str">
        <x:v>SRC-021</x:v>
      </x:c>
      <x:c r="G273" s="5" t="str">
        <x:v>회사0.1</x:v>
      </x:c>
      <x:c r="H273" s="5" t="str">
        <x:v>보완 가이드 또는 회사 목표</x:v>
      </x:c>
      <x:c r="I273" s="5" t="str"/>
      <x:c r="J273" s="5" t="str">
        <x:v>사내 강화 목표</x:v>
      </x:c>
      <x:c r="K273" s="5" t="str">
        <x:v>회사 목표</x:v>
      </x:c>
      <x:c r="L273" s="5" t="str">
        <x:v>MUST(안)</x:v>
      </x:c>
      <x:c r="M273" s="10" t="str">
        <x:v>적용</x:v>
      </x:c>
      <x:c r="N273" s="5" t="str">
        <x:v>현재 샘플의 회사 필수 기준으로 채택 제안</x:v>
      </x:c>
      <x:c r="O273" s="5" t="str">
        <x:v>관련 기능·적용 기관·계약 변경 시 재평가</x:v>
      </x:c>
      <x:c r="P273" s="5" t="str">
        <x:v>S01~S08 / 해당 기능의 모든 화면·상태</x:v>
      </x:c>
      <x:c r="Q273" s="5" t="str">
        <x:v>비민감 초안 저장 범위·보존기간·공용기기 삭제 규칙 설계</x:v>
      </x:c>
      <x:c r="R273" s="5" t="str">
        <x:v>실패 주입</x:v>
      </x:c>
      <x:c r="S273" s="10" t="str">
        <x:v>자동+수동</x:v>
      </x:c>
      <x:c r="T273" s="5" t="str">
        <x:v>UX·개발·QA</x:v>
      </x:c>
      <x:c r="U273" s="5" t="str">
        <x:v>P1</x:v>
      </x:c>
      <x:c r="V273" s="10" t="str">
        <x:v>진행</x:v>
      </x:c>
      <x:c r="W273" s="5" t="str">
        <x:v>오류 후 메모리 draft, 요청 취소·타임아웃, 저장 본문과 업로드 실패 분리, 재시도 시 같은 Idempotency-Key를 제공한다. 브라우저 종료 후 민감 작성내용 자동복원은 제공하지 않는다.</x:v>
      </x:c>
      <x:c r="X273" s="5" t="str">
        <x:v>apps/web/src/App.tsx#App
apps/web/src/App.tsx#RequestWizard
apps/web/src/api.ts#api
apps/web/src/api.ts#uploadFiles</x:v>
      </x:c>
      <x:c r="Y273" s="5" t="str">
        <x:v>MAN-INC-006</x:v>
      </x:c>
      <x:c r="Z273" s="10" t="str">
        <x:v>미실행</x:v>
      </x:c>
      <x:c r="AA273" s="10" t="str">
        <x:v>미실행</x:v>
      </x:c>
      <x:c r="AB273" s="5" t="str"/>
      <x:c r="AC273" s="5" t="n">
        <x:v>0</x:v>
      </x:c>
      <x:c r="AD273" s="5" t="n">
        <x:v>1</x:v>
      </x:c>
      <x:c r="AE273" s="10" t="str">
        <x:v>미실행</x:v>
      </x:c>
      <x:c r="AF273" s="5" t="str"/>
      <x:c r="AG273" s="5" t="str"/>
      <x:c r="AH273" s="5" t="str"/>
      <x:c r="AI273" s="10" t="str">
        <x:v>입력 기준 유지</x:v>
      </x:c>
      <x:c r="AJ273" s="5" t="str">
        <x:f>IF(AND(M273="적용",V273="구현",X273&lt;&gt;"",Y273&lt;&gt;"",AB273&lt;&gt;"",AC273&gt;0,AD273&gt;0,AE273="통과",AF273="",AG273&lt;&gt;"",AH273&lt;&gt;"",OR(S273="자동",S273="수동",S273="자동+수동"),IF(OR(S273="자동",S273="자동+수동"),Z273="통과",TRUE),IF(OR(S273="수동",S273="자동+수동"),AA273="통과",TRUE)),"통과",IF(OR(Z273="실패",AA273="실패",AE273="실패"),"실패","보류"))</x:f>
        <x:v>보류</x:v>
      </x:c>
      <x:c r="AK273" s="5" t="str"/>
      <x:c r="AL273" s="5" t="str"/>
      <x:c r="AM273" s="5" t="str">
        <x:v>입력 v0.1 계획 주석은 original_plan_note에 보존. 최신 구현·시험·증빙은 연결 적용기록을 참조하며 전체 준수·인증을 주장하지 않음.</x:v>
      </x:c>
    </x:row>
    <x:row r="274" ht="39.599998474121094" hidden="0" customHeight="1">
      <x:c r="A274" s="5" t="str">
        <x:v>INC-007</x:v>
      </x:c>
      <x:c r="B274" s="5" t="str">
        <x:v>포용적 UX</x:v>
      </x:c>
      <x:c r="C274" s="5" t="str">
        <x:v>포용적 UX / 회사 강화</x:v>
      </x:c>
      <x:c r="D274" s="5" t="str">
        <x:v>서비스 내 접근성</x:v>
      </x:c>
      <x:c r="E274" s="5" t="str">
        <x:v>동일 주 서비스에서 접근 가능</x:v>
      </x:c>
      <x:c r="F274" s="5" t="str">
        <x:v>SRC-024</x:v>
      </x:c>
      <x:c r="G274" s="5" t="str">
        <x:v>회사0.1</x:v>
      </x:c>
      <x:c r="H274" s="5" t="str">
        <x:v>보완 가이드 또는 회사 목표</x:v>
      </x:c>
      <x:c r="I274" s="5" t="str"/>
      <x:c r="J274" s="5" t="str">
        <x:v>사내 강화 목표</x:v>
      </x:c>
      <x:c r="K274" s="5" t="str">
        <x:v>회사 목표</x:v>
      </x:c>
      <x:c r="L274" s="5" t="str">
        <x:v>MUST(안)</x:v>
      </x:c>
      <x:c r="M274" s="10" t="str">
        <x:v>적용</x:v>
      </x:c>
      <x:c r="N274" s="5" t="str">
        <x:v>현재 샘플의 회사 필수 기준으로 채택 제안</x:v>
      </x:c>
      <x:c r="O274" s="5" t="str">
        <x:v>관련 기능·적용 기관·계약 변경 시 재평가</x:v>
      </x:c>
      <x:c r="P274" s="5" t="str">
        <x:v>S01~S08 / 해당 기능의 모든 화면·상태</x:v>
      </x:c>
      <x:c r="Q274" s="5" t="str">
        <x:v>접근성 메뉴를 켜야만 기본 기능이 작동하는 구조 금지</x:v>
      </x:c>
      <x:c r="R274" s="5" t="str">
        <x:v>기본설정 전체플로 시험</x:v>
      </x:c>
      <x:c r="S274" s="10" t="str">
        <x:v>자동+수동</x:v>
      </x:c>
      <x:c r="T274" s="5" t="str">
        <x:v>UX·개발·QA</x:v>
      </x:c>
      <x:c r="U274" s="5" t="str">
        <x:v>P1</x:v>
      </x:c>
      <x:c r="V274" s="10" t="str">
        <x:v>진행</x:v>
      </x:c>
      <x:c r="W274" s="5" t="str">
        <x:v>별도 접근성 대체 사이트 없이 같은 업무 UI에 의미구조·키보드·설정·오류복구를 적용했다. 전체 보조기술 과업 평가는 남아 있다.</x:v>
      </x:c>
      <x:c r="X274" s="5" t="str">
        <x:v>apps/web/src/App.tsx#App
apps/web/src/App.tsx#Help
apps/web/src/styles.css</x:v>
      </x:c>
      <x:c r="Y274" s="5" t="str">
        <x:v>MAN-INC-007</x:v>
      </x:c>
      <x:c r="Z274" s="10" t="str">
        <x:v>미실행</x:v>
      </x:c>
      <x:c r="AA274" s="10" t="str">
        <x:v>미실행</x:v>
      </x:c>
      <x:c r="AB274" s="5" t="str"/>
      <x:c r="AC274" s="5" t="n">
        <x:v>0</x:v>
      </x:c>
      <x:c r="AD274" s="5" t="n">
        <x:v>1</x:v>
      </x:c>
      <x:c r="AE274" s="10" t="str">
        <x:v>미실행</x:v>
      </x:c>
      <x:c r="AF274" s="5" t="str"/>
      <x:c r="AG274" s="5" t="str"/>
      <x:c r="AH274" s="5" t="str"/>
      <x:c r="AI274" s="10" t="str">
        <x:v>입력 기준 유지</x:v>
      </x:c>
      <x:c r="AJ274" s="5" t="str">
        <x:f>IF(AND(M274="적용",V274="구현",X274&lt;&gt;"",Y274&lt;&gt;"",AB274&lt;&gt;"",AC274&gt;0,AD274&gt;0,AE274="통과",AF274="",AG274&lt;&gt;"",AH274&lt;&gt;"",OR(S274="자동",S274="수동",S274="자동+수동"),IF(OR(S274="자동",S274="자동+수동"),Z274="통과",TRUE),IF(OR(S274="수동",S274="자동+수동"),AA274="통과",TRUE)),"통과",IF(OR(Z274="실패",AA274="실패",AE274="실패"),"실패","보류"))</x:f>
        <x:v>보류</x:v>
      </x:c>
      <x:c r="AK274" s="5" t="str"/>
      <x:c r="AL274" s="5" t="str"/>
      <x:c r="AM274" s="5" t="str">
        <x:v>입력 v0.1 계획 주석은 original_plan_note에 보존. 최신 구현·시험·증빙은 연결 적용기록을 참조하며 전체 준수·인증을 주장하지 않음.</x:v>
      </x:c>
    </x:row>
    <x:row r="275" ht="26.399999618530273" hidden="0" customHeight="1">
      <x:c r="A275" s="5" t="str">
        <x:v>INC-008</x:v>
      </x:c>
      <x:c r="B275" s="5" t="str">
        <x:v>포용적 UX</x:v>
      </x:c>
      <x:c r="C275" s="5" t="str">
        <x:v>포용적 UX / 회사 강화</x:v>
      </x:c>
      <x:c r="D275" s="5" t="str">
        <x:v>접근 가능한 첨부</x:v>
      </x:c>
      <x:c r="E275" s="5" t="str">
        <x:v>파일 업로드와 업무정보 열람의 대안</x:v>
      </x:c>
      <x:c r="F275" s="5" t="str">
        <x:v>SRC-025</x:v>
      </x:c>
      <x:c r="G275" s="5" t="str">
        <x:v>회사0.1</x:v>
      </x:c>
      <x:c r="H275" s="5" t="str">
        <x:v>보완 가이드 또는 회사 목표</x:v>
      </x:c>
      <x:c r="I275" s="5" t="str"/>
      <x:c r="J275" s="5" t="str">
        <x:v>사내 강화 목표</x:v>
      </x:c>
      <x:c r="K275" s="5" t="str">
        <x:v>회사 목표</x:v>
      </x:c>
      <x:c r="L275" s="5" t="str">
        <x:v>MUST(안)</x:v>
      </x:c>
      <x:c r="M275" s="10" t="str">
        <x:v>적용</x:v>
      </x:c>
      <x:c r="N275" s="5" t="str">
        <x:v>현재 샘플의 회사 필수 기준으로 채택 제안</x:v>
      </x:c>
      <x:c r="O275" s="5" t="str">
        <x:v>관련 기능·적용 기관·계약 변경 시 재평가</x:v>
      </x:c>
      <x:c r="P275" s="5" t="str">
        <x:v>S01~S08 / 해당 기능의 모든 화면·상태</x:v>
      </x:c>
      <x:c r="Q275" s="5" t="str">
        <x:v>드래그 외 버튼, 파일별 설명·이름·용량·상태·삭제, 핵심 정보 HTML 제공</x:v>
      </x:c>
      <x:c r="R275" s="5" t="str">
        <x:v>첨부 전체플로</x:v>
      </x:c>
      <x:c r="S275" s="10" t="str">
        <x:v>자동+수동</x:v>
      </x:c>
      <x:c r="T275" s="5" t="str">
        <x:v>UX·개발·QA</x:v>
      </x:c>
      <x:c r="U275" s="5" t="str">
        <x:v>P1</x:v>
      </x:c>
      <x:c r="V275" s="10" t="str">
        <x:v>진행</x:v>
      </x:c>
      <x:c r="W275" s="5" t="str">
        <x:v>첨부 형식·크기·개수 안내와 native 파일 선택, 인가 다운로드, 본문 텍스트 대안을 제공한다. 사용자가 업로드한 PDF 등 첨부 내용 자체 접근성 검증은 제공하지 않는다.</x:v>
      </x:c>
      <x:c r="X275" s="5" t="str">
        <x:v>apps/web/src/App.tsx#RequestDetail
apps/web/src/App.tsx#RequestWizard</x:v>
      </x:c>
      <x:c r="Y275" s="5" t="str">
        <x:v>MAN-INC-008</x:v>
      </x:c>
      <x:c r="Z275" s="10" t="str">
        <x:v>미실행</x:v>
      </x:c>
      <x:c r="AA275" s="10" t="str">
        <x:v>미실행</x:v>
      </x:c>
      <x:c r="AB275" s="5" t="str"/>
      <x:c r="AC275" s="5" t="n">
        <x:v>0</x:v>
      </x:c>
      <x:c r="AD275" s="5" t="n">
        <x:v>1</x:v>
      </x:c>
      <x:c r="AE275" s="10" t="str">
        <x:v>미실행</x:v>
      </x:c>
      <x:c r="AF275" s="5" t="str"/>
      <x:c r="AG275" s="5" t="str"/>
      <x:c r="AH275" s="5" t="str"/>
      <x:c r="AI275" s="10" t="str">
        <x:v>입력 기준 유지</x:v>
      </x:c>
      <x:c r="AJ275" s="5" t="str">
        <x:f>IF(AND(M275="적용",V275="구현",X275&lt;&gt;"",Y275&lt;&gt;"",AB275&lt;&gt;"",AC275&gt;0,AD275&gt;0,AE275="통과",AF275="",AG275&lt;&gt;"",AH275&lt;&gt;"",OR(S275="자동",S275="수동",S275="자동+수동"),IF(OR(S275="자동",S275="자동+수동"),Z275="통과",TRUE),IF(OR(S275="수동",S275="자동+수동"),AA275="통과",TRUE)),"통과",IF(OR(Z275="실패",AA275="실패",AE275="실패"),"실패","보류"))</x:f>
        <x:v>보류</x:v>
      </x:c>
      <x:c r="AK275" s="5" t="str"/>
      <x:c r="AL275" s="5" t="str"/>
      <x:c r="AM275" s="5" t="str">
        <x:v>입력 v0.1 계획 주석은 original_plan_note에 보존. 최신 구현·시험·증빙은 연결 적용기록을 참조하며 전체 준수·인증을 주장하지 않음.</x:v>
      </x:c>
    </x:row>
    <x:row r="276" ht="26.399999618530273" hidden="0" customHeight="1">
      <x:c r="A276" s="5" t="str">
        <x:v>INC-009</x:v>
      </x:c>
      <x:c r="B276" s="5" t="str">
        <x:v>포용적 UX</x:v>
      </x:c>
      <x:c r="C276" s="5" t="str">
        <x:v>포용적 UX / 회사 강화</x:v>
      </x:c>
      <x:c r="D276" s="5" t="str">
        <x:v>표와 차트 대안</x:v>
      </x:c>
      <x:c r="E276" s="5" t="str">
        <x:v>시각 통계와 동일한 수치를 텍스트/표로 제공</x:v>
      </x:c>
      <x:c r="F276" s="5" t="str">
        <x:v>SRC-026</x:v>
      </x:c>
      <x:c r="G276" s="5" t="str">
        <x:v>회사0.1</x:v>
      </x:c>
      <x:c r="H276" s="5" t="str">
        <x:v>보완 가이드 또는 회사 목표</x:v>
      </x:c>
      <x:c r="I276" s="5" t="str"/>
      <x:c r="J276" s="5" t="str">
        <x:v>사내 강화 목표</x:v>
      </x:c>
      <x:c r="K276" s="5" t="str">
        <x:v>회사 목표</x:v>
      </x:c>
      <x:c r="L276" s="5" t="str">
        <x:v>MUST(안)</x:v>
      </x:c>
      <x:c r="M276" s="10" t="str">
        <x:v>적용</x:v>
      </x:c>
      <x:c r="N276" s="5" t="str">
        <x:v>현재 샘플의 회사 필수 기준으로 채택 제안</x:v>
      </x:c>
      <x:c r="O276" s="5" t="str">
        <x:v>관련 기능·적용 기관·계약 변경 시 재평가</x:v>
      </x:c>
      <x:c r="P276" s="5" t="str">
        <x:v>S01~S08 / 해당 기능의 모든 화면·상태</x:v>
      </x:c>
      <x:c r="Q276" s="5" t="str">
        <x:v>현황카운트·그래프의 항목·기간·값을 표기, 다운로드만을 유일대안으로 두지 않음</x:v>
      </x:c>
      <x:c r="R276" s="5" t="str">
        <x:v>낭독+정합성 확인</x:v>
      </x:c>
      <x:c r="S276" s="10" t="str">
        <x:v>자동+수동</x:v>
      </x:c>
      <x:c r="T276" s="5" t="str">
        <x:v>UX·개발·QA</x:v>
      </x:c>
      <x:c r="U276" s="5" t="str">
        <x:v>P1</x:v>
      </x:c>
      <x:c r="V276" s="10" t="str">
        <x:v>구현</x:v>
      </x:c>
      <x:c r="W276" s="5" t="str">
        <x:v>상태별 통계를 실제 텍스트 수치·이름으로 제공하고 동등한 sr-only 설명을 제공한다. 이미지 전용 그래프는 사용하지 않는다.</x:v>
      </x:c>
      <x:c r="X276" s="5" t="str">
        <x:v>apps/web/src/App.tsx#Dashboard
apps/web/src/App.tsx#RequestTable</x:v>
      </x:c>
      <x:c r="Y276" s="5" t="str">
        <x:v>SCREEN-DASHBOARD
MAN-INC-009</x:v>
      </x:c>
      <x:c r="Z276" s="10" t="str">
        <x:v>미실행</x:v>
      </x:c>
      <x:c r="AA276" s="10" t="str">
        <x:v>미실행</x:v>
      </x:c>
      <x:c r="AB276" s="5" t="str">
        <x:v>SCREEN-DASHBOARD-2026-10-20T06-15-00-647Z</x:v>
      </x:c>
      <x:c r="AC276" s="5" t="n">
        <x:v>1</x:v>
      </x:c>
      <x:c r="AD276" s="5" t="n">
        <x:v>2</x:v>
      </x:c>
      <x:c r="AE276" s="10" t="str">
        <x:v>부분확인</x:v>
      </x:c>
      <x:c r="AF276" s="5" t="str"/>
      <x:c r="AG276" s="5" t="str"/>
      <x:c r="AH276" s="5" t="str"/>
      <x:c r="AI276" s="10" t="str">
        <x:v>입력 기준 유지</x:v>
      </x:c>
      <x:c r="AJ276" s="5" t="str">
        <x:f>IF(AND(M276="적용",V276="구현",X276&lt;&gt;"",Y276&lt;&gt;"",AB276&lt;&gt;"",AC276&gt;0,AD276&gt;0,AE276="통과",AF276="",AG276&lt;&gt;"",AH276&lt;&gt;"",OR(S276="자동",S276="수동",S276="자동+수동"),IF(OR(S276="자동",S276="자동+수동"),Z276="통과",TRUE),IF(OR(S276="수동",S276="자동+수동"),AA276="통과",TRUE)),"통과",IF(OR(Z276="실패",AA276="실패",AE276="실패"),"실패","보류"))</x:f>
        <x:v>보류</x:v>
      </x:c>
      <x:c r="AK276" s="5" t="str"/>
      <x:c r="AL276" s="5" t="str"/>
      <x:c r="AM276" s="5" t="str">
        <x:v>입력 v0.1 계획 주석은 original_plan_note에 보존. 최신 구현·시험·증빙은 연결 적용기록을 참조하며 전체 준수·인증을 주장하지 않음.</x:v>
      </x:c>
    </x:row>
    <x:row r="277" ht="26.399999618530273" hidden="0" customHeight="1">
      <x:c r="A277" s="5" t="str">
        <x:v>INC-010</x:v>
      </x:c>
      <x:c r="B277" s="5" t="str">
        <x:v>포용적 UX</x:v>
      </x:c>
      <x:c r="C277" s="5" t="str">
        <x:v>포용적 UX / 회사 강화</x:v>
      </x:c>
      <x:c r="D277" s="5" t="str">
        <x:v>연락수단 선택</x:v>
      </x:c>
      <x:c r="E277" s="5" t="str">
        <x:v>음성통화 외 문의·지원 수단</x:v>
      </x:c>
      <x:c r="F277" s="5" t="str">
        <x:v>SRC-021</x:v>
      </x:c>
      <x:c r="G277" s="5" t="str">
        <x:v>회사0.1</x:v>
      </x:c>
      <x:c r="H277" s="5" t="str">
        <x:v>보완 가이드 또는 회사 목표</x:v>
      </x:c>
      <x:c r="I277" s="5" t="str"/>
      <x:c r="J277" s="5" t="str">
        <x:v>사내 강화 목표</x:v>
      </x:c>
      <x:c r="K277" s="5" t="str">
        <x:v>회사 목표</x:v>
      </x:c>
      <x:c r="L277" s="5" t="str">
        <x:v>MUST(안)</x:v>
      </x:c>
      <x:c r="M277" s="10" t="str">
        <x:v>적용</x:v>
      </x:c>
      <x:c r="N277" s="5" t="str">
        <x:v>현재 샘플의 회사 필수 기준으로 채택 제안</x:v>
      </x:c>
      <x:c r="O277" s="5" t="str">
        <x:v>관련 기능·적용 기관·계약 변경 시 재평가</x:v>
      </x:c>
      <x:c r="P277" s="5" t="str">
        <x:v>S01~S08 / 해당 기능의 모든 화면·상태</x:v>
      </x:c>
      <x:c r="Q277" s="5" t="str">
        <x:v>도움말과 텍스트 문의를 공통위치에 제공</x:v>
      </x:c>
      <x:c r="R277" s="5" t="str">
        <x:v>지원경로 실제시험</x:v>
      </x:c>
      <x:c r="S277" s="10" t="str">
        <x:v>자동+수동</x:v>
      </x:c>
      <x:c r="T277" s="5" t="str">
        <x:v>UX·개발·QA</x:v>
      </x:c>
      <x:c r="U277" s="5" t="str">
        <x:v>P1</x:v>
      </x:c>
      <x:c r="V277" s="10" t="str">
        <x:v>진행</x:v>
      </x:c>
      <x:c r="W277" s="5" t="str">
        <x:v>음성통화 의존 없이 업무요청에 문제를 기록하도록 안내한다. 외부 문의메일 전송·지원 채널 연동은 구현하지 않았음을 밝힌다.</x:v>
      </x:c>
      <x:c r="X277" s="5" t="str">
        <x:v>apps/web/src/App.tsx#Help</x:v>
      </x:c>
      <x:c r="Y277" s="5" t="str">
        <x:v>MAN-INC-010</x:v>
      </x:c>
      <x:c r="Z277" s="10" t="str">
        <x:v>미실행</x:v>
      </x:c>
      <x:c r="AA277" s="10" t="str">
        <x:v>미실행</x:v>
      </x:c>
      <x:c r="AB277" s="5" t="str"/>
      <x:c r="AC277" s="5" t="n">
        <x:v>0</x:v>
      </x:c>
      <x:c r="AD277" s="5" t="n">
        <x:v>1</x:v>
      </x:c>
      <x:c r="AE277" s="10" t="str">
        <x:v>미실행</x:v>
      </x:c>
      <x:c r="AF277" s="5" t="str"/>
      <x:c r="AG277" s="5" t="str"/>
      <x:c r="AH277" s="5" t="str"/>
      <x:c r="AI277" s="10" t="str">
        <x:v>입력 기준 유지</x:v>
      </x:c>
      <x:c r="AJ277" s="5" t="str">
        <x:f>IF(AND(M277="적용",V277="구현",X277&lt;&gt;"",Y277&lt;&gt;"",AB277&lt;&gt;"",AC277&gt;0,AD277&gt;0,AE277="통과",AF277="",AG277&lt;&gt;"",AH277&lt;&gt;"",OR(S277="자동",S277="수동",S277="자동+수동"),IF(OR(S277="자동",S277="자동+수동"),Z277="통과",TRUE),IF(OR(S277="수동",S277="자동+수동"),AA277="통과",TRUE)),"통과",IF(OR(Z277="실패",AA277="실패",AE277="실패"),"실패","보류"))</x:f>
        <x:v>보류</x:v>
      </x:c>
      <x:c r="AK277" s="5" t="str"/>
      <x:c r="AL277" s="5" t="str"/>
      <x:c r="AM277" s="5" t="str">
        <x:v>입력 v0.1 계획 주석은 original_plan_note에 보존. 최신 구현·시험·증빙은 연결 적용기록을 참조하며 전체 준수·인증을 주장하지 않음.</x:v>
      </x:c>
    </x:row>
    <x:row r="278" ht="26.399999618530273" hidden="0" customHeight="1">
      <x:c r="A278" s="5" t="str">
        <x:v>INC-011</x:v>
      </x:c>
      <x:c r="B278" s="5" t="str">
        <x:v>포용적 UX</x:v>
      </x:c>
      <x:c r="C278" s="5" t="str">
        <x:v>포용적 UX / 회사 강화</x:v>
      </x:c>
      <x:c r="D278" s="5" t="str">
        <x:v>설정 개인정보 최소화</x:v>
      </x:c>
      <x:c r="E278" s="5" t="str">
        <x:v>장애정보 수집 없이 사용자가 선호 설정 선택</x:v>
      </x:c>
      <x:c r="F278" s="5" t="str">
        <x:v>SRC-027</x:v>
      </x:c>
      <x:c r="G278" s="5" t="str">
        <x:v>회사0.1</x:v>
      </x:c>
      <x:c r="H278" s="5" t="str">
        <x:v>보완 가이드 또는 회사 목표</x:v>
      </x:c>
      <x:c r="I278" s="5" t="str"/>
      <x:c r="J278" s="5" t="str">
        <x:v>사내 강화 목표</x:v>
      </x:c>
      <x:c r="K278" s="5" t="str">
        <x:v>회사 목표</x:v>
      </x:c>
      <x:c r="L278" s="5" t="str">
        <x:v>MUST(안)</x:v>
      </x:c>
      <x:c r="M278" s="10" t="str">
        <x:v>적용</x:v>
      </x:c>
      <x:c r="N278" s="5" t="str">
        <x:v>현재 샘플의 회사 필수 기준으로 채택 제안</x:v>
      </x:c>
      <x:c r="O278" s="5" t="str">
        <x:v>관련 기능·적용 기관·계약 변경 시 재평가</x:v>
      </x:c>
      <x:c r="P278" s="5" t="str">
        <x:v>S01~S08 / 해당 기능의 모든 화면·상태</x:v>
      </x:c>
      <x:c r="Q278" s="5" t="str">
        <x:v>모션·표시밀도 설정만 로컬저장, 민감한 장애유형 추정·수집 금지</x:v>
      </x:c>
      <x:c r="R278" s="5" t="str">
        <x:v>저장 키·필드 자동 검사 + 개인정보 최소화 수동 검토</x:v>
      </x:c>
      <x:c r="S278" s="10" t="str">
        <x:v>자동+수동</x:v>
      </x:c>
      <x:c r="T278" s="5" t="str">
        <x:v>UX·개발·QA</x:v>
      </x:c>
      <x:c r="U278" s="5" t="str">
        <x:v>P1</x:v>
      </x:c>
      <x:c r="V278" s="10" t="str">
        <x:v>구현</x:v>
      </x:c>
      <x:c r="W278" s="5" t="str">
        <x:v>장애 유형을 수집하지 않고 글자·모션 선호값만 localStorage에 저장한다. 기본값 복원을 제공한다.</x:v>
      </x:c>
      <x:c r="X278" s="5" t="str">
        <x:v>apps/web/src/App.tsx#Preferences
apps/web/src/App.tsx#Privacy</x:v>
      </x:c>
      <x:c r="Y278" s="5" t="str">
        <x:v>MAN-INC-011</x:v>
      </x:c>
      <x:c r="Z278" s="10" t="str">
        <x:v>미실행</x:v>
      </x:c>
      <x:c r="AA278" s="10" t="str">
        <x:v>미실행</x:v>
      </x:c>
      <x:c r="AB278" s="5" t="str"/>
      <x:c r="AC278" s="5" t="n">
        <x:v>0</x:v>
      </x:c>
      <x:c r="AD278" s="5" t="n">
        <x:v>1</x:v>
      </x:c>
      <x:c r="AE278" s="10" t="str">
        <x:v>미실행</x:v>
      </x:c>
      <x:c r="AF278" s="5" t="str"/>
      <x:c r="AG278" s="5" t="str"/>
      <x:c r="AH278" s="5" t="str"/>
      <x:c r="AI278" s="10" t="str">
        <x:v>입력 기준 유지</x:v>
      </x:c>
      <x:c r="AJ278" s="5" t="str">
        <x:f>IF(AND(M278="적용",V278="구현",X278&lt;&gt;"",Y278&lt;&gt;"",AB278&lt;&gt;"",AC278&gt;0,AD278&gt;0,AE278="통과",AF278="",AG278&lt;&gt;"",AH278&lt;&gt;"",OR(S278="자동",S278="수동",S278="자동+수동"),IF(OR(S278="자동",S278="자동+수동"),Z278="통과",TRUE),IF(OR(S278="수동",S278="자동+수동"),AA278="통과",TRUE)),"통과",IF(OR(Z278="실패",AA278="실패",AE278="실패"),"실패","보류"))</x:f>
        <x:v>보류</x:v>
      </x:c>
      <x:c r="AK278" s="5" t="str"/>
      <x:c r="AL278" s="5" t="str"/>
      <x:c r="AM278" s="5" t="str">
        <x:v>입력 v0.1 계획 주석은 original_plan_note에 보존. 최신 구현·시험·증빙은 연결 적용기록을 참조하며 전체 준수·인증을 주장하지 않음.</x:v>
      </x:c>
    </x:row>
    <x:row r="279" ht="39.599998474121094" hidden="0" customHeight="1">
      <x:c r="A279" s="5" t="str">
        <x:v>INC-012</x:v>
      </x:c>
      <x:c r="B279" s="5" t="str">
        <x:v>포용적 UX</x:v>
      </x:c>
      <x:c r="C279" s="5" t="str">
        <x:v>포용적 UX / 회사 강화</x:v>
      </x:c>
      <x:c r="D279" s="5" t="str">
        <x:v>범위와 결과 공개</x:v>
      </x:c>
      <x:c r="E279" s="5" t="str">
        <x:v>검증 범위·잔여문제·문의처 명시</x:v>
      </x:c>
      <x:c r="F279" s="5" t="str">
        <x:v>SRC-028</x:v>
      </x:c>
      <x:c r="G279" s="5" t="str">
        <x:v>회사0.1</x:v>
      </x:c>
      <x:c r="H279" s="5" t="str">
        <x:v>보완 가이드 또는 회사 목표</x:v>
      </x:c>
      <x:c r="I279" s="5" t="str"/>
      <x:c r="J279" s="5" t="str">
        <x:v>사내 강화 목표</x:v>
      </x:c>
      <x:c r="K279" s="5" t="str">
        <x:v>회사 목표</x:v>
      </x:c>
      <x:c r="L279" s="5" t="str">
        <x:v>MUST(안)</x:v>
      </x:c>
      <x:c r="M279" s="10" t="str">
        <x:v>적용</x:v>
      </x:c>
      <x:c r="N279" s="5" t="str">
        <x:v>현재 샘플의 회사 필수 기준으로 채택 제안</x:v>
      </x:c>
      <x:c r="O279" s="5" t="str">
        <x:v>관련 기능·적용 기관·계약 변경 시 재평가</x:v>
      </x:c>
      <x:c r="P279" s="5" t="str">
        <x:v>S01~S08 / 해당 기능의 모든 화면·상태</x:v>
      </x:c>
      <x:c r="Q279" s="5" t="str">
        <x:v>접근성 안내 페이지에 날짜·브라우저/AT 조합·미해결 사항 기재</x:v>
      </x:c>
      <x:c r="R279" s="5" t="str">
        <x:v>보고서 대조</x:v>
      </x:c>
      <x:c r="S279" s="10" t="str">
        <x:v>수동</x:v>
      </x:c>
      <x:c r="T279" s="5" t="str">
        <x:v>UX·개발·QA</x:v>
      </x:c>
      <x:c r="U279" s="5" t="str">
        <x:v>P1</x:v>
      </x:c>
      <x:c r="V279" s="10" t="str">
        <x:v>구현</x:v>
      </x:c>
      <x:c r="W279" s="5" t="str">
        <x:v>적용성/구현/자동/수동/증빙을 구분 공개한다. 미실행·증빙없는 항목은 통과로 표시하지 않으며 출처·코드·시험·자료 다운로드 및 문의방법을 제공한다.</x:v>
      </x:c>
      <x:c r="X279" s="5" t="str">
        <x:v>apps/web/src/StandardsBrowser.tsx#StandardsBrowser
apps/web/src/App.tsx#Help</x:v>
      </x:c>
      <x:c r="Y279" s="5" t="str">
        <x:v>E2E-HELP
SCREEN-HELP
MAN-INC-012</x:v>
      </x:c>
      <x:c r="Z279" s="10" t="str">
        <x:v>부분확인</x:v>
      </x:c>
      <x:c r="AA279" s="10" t="str">
        <x:v>미실행</x:v>
      </x:c>
      <x:c r="AB279" s="5" t="str">
        <x:v>E2E-HELP-2026-10-20T06-15-00-647Z
SCREEN-HELP-2026-10-20T06-15-00-647Z</x:v>
      </x:c>
      <x:c r="AC279" s="5" t="n">
        <x:v>2</x:v>
      </x:c>
      <x:c r="AD279" s="5" t="n">
        <x:v>3</x:v>
      </x:c>
      <x:c r="AE279" s="10" t="str">
        <x:v>부분확인</x:v>
      </x:c>
      <x:c r="AF279" s="5" t="str"/>
      <x:c r="AG279" s="5" t="str"/>
      <x:c r="AH279" s="5" t="str"/>
      <x:c r="AI279" s="10" t="str">
        <x:v>입력 기준 유지</x:v>
      </x:c>
      <x:c r="AJ279" s="5" t="str">
        <x:f>IF(AND(M279="적용",V279="구현",X279&lt;&gt;"",Y279&lt;&gt;"",AB279&lt;&gt;"",AC279&gt;0,AD279&gt;0,AE279="통과",AF279="",AG279&lt;&gt;"",AH279&lt;&gt;"",OR(S279="자동",S279="수동",S279="자동+수동"),IF(OR(S279="자동",S279="자동+수동"),Z279="통과",TRUE),IF(OR(S279="수동",S279="자동+수동"),AA279="통과",TRUE)),"통과",IF(OR(Z279="실패",AA279="실패",AE279="실패"),"실패","보류"))</x:f>
        <x:v>보류</x:v>
      </x:c>
      <x:c r="AK279" s="5" t="str"/>
      <x:c r="AL279" s="5" t="str"/>
      <x:c r="AM279" s="5" t="str">
        <x:v>입력 v0.1 계획 주석은 original_plan_note에 보존. 최신 구현·시험·증빙은 연결 적용기록을 참조하며 전체 준수·인증을 주장하지 않음.</x:v>
      </x:c>
    </x:row>
    <x:row r="280" ht="52.79999923706055" hidden="0" customHeight="1">
      <x:c r="A280" s="5" t="str">
        <x:v>QA-001</x:v>
      </x:c>
      <x:c r="B280" s="5" t="str">
        <x:v>검증·운영·보고</x:v>
      </x:c>
      <x:c r="C280" s="5" t="str">
        <x:v>검증</x:v>
      </x:c>
      <x:c r="D280" s="5" t="str">
        <x:v>재현 빌드와 정적검사</x:v>
      </x:c>
      <x:c r="E280" s="5" t="str">
        <x:v>잠금파일 기준으로 복원·빌드·형식·타입·분석기를 실행한다.</x:v>
      </x:c>
      <x:c r="F280" s="5" t="str">
        <x:v>SRC-003</x:v>
      </x:c>
      <x:c r="G280" s="5" t="str">
        <x:v>0.1</x:v>
      </x:c>
      <x:c r="H280" s="5" t="str"/>
      <x:c r="I280" s="5" t="str"/>
      <x:c r="J280" s="5" t="str">
        <x:v>사내 기준(안)</x:v>
      </x:c>
      <x:c r="K280" s="5" t="str">
        <x:v>해당없음(사내 기준)</x:v>
      </x:c>
      <x:c r="L280" s="5" t="str">
        <x:v>MUST(안)</x:v>
      </x:c>
      <x:c r="M280" s="10" t="str">
        <x:v>적용</x:v>
      </x:c>
      <x:c r="N280" s="5" t="str">
        <x:v>현재 샘플의 회사 필수 기준으로 채택 제안</x:v>
      </x:c>
      <x:c r="O280" s="5" t="str">
        <x:v>관련 기능·적용 기관·계약 변경 시 재평가</x:v>
      </x:c>
      <x:c r="P280" s="5" t="str">
        <x:v>S01~S08 / 공통</x:v>
      </x:c>
      <x:c r="Q280" s="5" t="str">
        <x:v>verify 명령에 프런트와 백엔드 검사 묶기</x:v>
      </x:c>
      <x:c r="R280" s="5" t="str">
        <x:v>깨끗한 작업폴더의 종료코드·로그 보존</x:v>
      </x:c>
      <x:c r="S280" s="10" t="str">
        <x:v>자동</x:v>
      </x:c>
      <x:c r="T280" s="5" t="str">
        <x:v>개발·QA</x:v>
      </x:c>
      <x:c r="U280" s="5" t="str">
        <x:v>P1</x:v>
      </x:c>
      <x:c r="V280" s="10" t="str">
        <x:v>구현</x:v>
      </x:c>
      <x:c r="W280" s="5" t="str">
        <x:v>잠금 복원, C# build/analyzers/format/xUnit 및 프런트 format/lint/type/build/unit를 실제 실행하는 통합 verify 명령을 제공한다. 완전히 새 OS와 외부 CI의 재현 실행 여부는 따로 구분한다.</x:v>
      </x:c>
      <x:c r="X280" s="5" t="str">
        <x:v>scripts/run-checks.mjs#checks
scripts/backend-verify.mjs#tasks
apps/web/package.json#verify
.github/workflows/verify.yml#verify</x:v>
      </x:c>
      <x:c r="Y280" s="5" t="str">
        <x:v>AUTO-FRONTEND
AUTO-SECRET
MAN-QA-001</x:v>
      </x:c>
      <x:c r="Z280" s="10" t="str">
        <x:v>부분확인</x:v>
      </x:c>
      <x:c r="AA280" s="10" t="str">
        <x:v>미실행</x:v>
      </x:c>
      <x:c r="AB280" s="5" t="str">
        <x:v>AUTO-FRONTEND-2026-10-20T06-16-58-989Z
AUTO-SECRET-2026-10-20T06-18-32-896Z</x:v>
      </x:c>
      <x:c r="AC280" s="5" t="n">
        <x:v>2</x:v>
      </x:c>
      <x:c r="AD280" s="5" t="n">
        <x:v>3</x:v>
      </x:c>
      <x:c r="AE280" s="10" t="str">
        <x:v>부분확인</x:v>
      </x:c>
      <x:c r="AF280" s="5" t="str"/>
      <x:c r="AG280" s="5" t="str"/>
      <x:c r="AH280" s="5" t="str"/>
      <x:c r="AI280" s="10" t="str">
        <x:v>입력 기준 유지</x:v>
      </x:c>
      <x:c r="AJ280" s="5" t="str">
        <x:f>IF(AND(M280="적용",V280="구현",X280&lt;&gt;"",Y280&lt;&gt;"",AB280&lt;&gt;"",AC280&gt;0,AD280&gt;0,AE280="통과",AF280="",AG280&lt;&gt;"",AH280&lt;&gt;"",OR(S280="자동",S280="수동",S280="자동+수동"),IF(OR(S280="자동",S280="자동+수동"),Z280="통과",TRUE),IF(OR(S280="수동",S280="자동+수동"),AA280="통과",TRUE)),"통과",IF(OR(Z280="실패",AA280="실패",AE280="실패"),"실패","보류"))</x:f>
        <x:v>보류</x:v>
      </x:c>
      <x:c r="AK280" s="5" t="str"/>
      <x:c r="AL280" s="5" t="str"/>
      <x:c r="AM280" s="5" t="str">
        <x:v>입력 v0.1 계획 주석은 original_plan_note에 보존. 최신 구현·시험·증빙은 연결 적용기록을 참조하며 전체 준수·인증을 주장하지 않음.</x:v>
      </x:c>
    </x:row>
    <x:row r="281" ht="52.79999923706055" hidden="0" customHeight="1">
      <x:c r="A281" s="5" t="str">
        <x:v>QA-002</x:v>
      </x:c>
      <x:c r="B281" s="5" t="str">
        <x:v>검증·운영·보고</x:v>
      </x:c>
      <x:c r="C281" s="5" t="str">
        <x:v>검증</x:v>
      </x:c>
      <x:c r="D281" s="5" t="str">
        <x:v>업무규칙 경계시험</x:v>
      </x:c>
      <x:c r="E281" s="5" t="str">
        <x:v>허용 상태전이·필수값·최대길이·날짜·동시수정을 검사한다.</x:v>
      </x:c>
      <x:c r="F281" s="5" t="str">
        <x:v>SRC-003</x:v>
      </x:c>
      <x:c r="G281" s="5" t="str">
        <x:v>0.1</x:v>
      </x:c>
      <x:c r="H281" s="5" t="str"/>
      <x:c r="I281" s="5" t="str"/>
      <x:c r="J281" s="5" t="str">
        <x:v>사내 기준(안)</x:v>
      </x:c>
      <x:c r="K281" s="5" t="str">
        <x:v>해당없음(사내 기준)</x:v>
      </x:c>
      <x:c r="L281" s="5" t="str">
        <x:v>MUST(안)</x:v>
      </x:c>
      <x:c r="M281" s="10" t="str">
        <x:v>적용</x:v>
      </x:c>
      <x:c r="N281" s="5" t="str">
        <x:v>현재 샘플의 회사 필수 기준으로 채택 제안</x:v>
      </x:c>
      <x:c r="O281" s="5" t="str">
        <x:v>관련 기능·적용 기관·계약 변경 시 재평가</x:v>
      </x:c>
      <x:c r="P281" s="5" t="str">
        <x:v>S01~S08 / 공통</x:v>
      </x:c>
      <x:c r="Q281" s="5" t="str">
        <x:v>핵심 도메인과 DB 제약에 경계/실패 사례 작성</x:v>
      </x:c>
      <x:c r="R281" s="5" t="str">
        <x:v>허용·거부·경계 사례와 실제 결과 대조</x:v>
      </x:c>
      <x:c r="S281" s="10" t="str">
        <x:v>자동</x:v>
      </x:c>
      <x:c r="T281" s="5" t="str">
        <x:v>개발·QA</x:v>
      </x:c>
      <x:c r="U281" s="5" t="str">
        <x:v>P1</x:v>
      </x:c>
      <x:c r="V281" s="10" t="str">
        <x:v>구현</x:v>
      </x:c>
      <x:c r="W281" s="5" t="str">
        <x:v>허용/거부 상태전이, 필수값·최대길이·파일 signature 경계, UTC 출력, 오래된 version409와 DB 고유제약을 실제 단위/HTTP 시험으로 검사한다.</x:v>
      </x:c>
      <x:c r="X281" s="5" t="str">
        <x:v>tests/backend/Kstd.Api.Tests/BusinessRulesTests.cs#BE_UNIT_001_StateTransitions
tests/backend/Kstd.Api.Tests/BusinessRulesTests.cs#BE_UNIT_003_LengthBoundaries
tests/backend/integration.py#creation
tests/backend/integration.py#concurrent_submission</x:v>
      </x:c>
      <x:c r="Y281" s="5" t="str">
        <x:v>AUTO-BACKEND
MAN-QA-002</x:v>
      </x:c>
      <x:c r="Z281" s="10" t="str">
        <x:v>부분확인</x:v>
      </x:c>
      <x:c r="AA281" s="10" t="str">
        <x:v>미실행</x:v>
      </x:c>
      <x:c r="AB281" s="5" t="str">
        <x:v>AUTO-BACKEND-2026-10-20T06-17-05-753Z</x:v>
      </x:c>
      <x:c r="AC281" s="5" t="n">
        <x:v>1</x:v>
      </x:c>
      <x:c r="AD281" s="5" t="n">
        <x:v>2</x:v>
      </x:c>
      <x:c r="AE281" s="10" t="str">
        <x:v>부분확인</x:v>
      </x:c>
      <x:c r="AF281" s="5" t="str"/>
      <x:c r="AG281" s="5" t="str"/>
      <x:c r="AH281" s="5" t="str"/>
      <x:c r="AI281" s="10" t="str">
        <x:v>입력 기준 유지</x:v>
      </x:c>
      <x:c r="AJ281" s="5" t="str">
        <x:f>IF(AND(M281="적용",V281="구현",X281&lt;&gt;"",Y281&lt;&gt;"",AB281&lt;&gt;"",AC281&gt;0,AD281&gt;0,AE281="통과",AF281="",AG281&lt;&gt;"",AH281&lt;&gt;"",OR(S281="자동",S281="수동",S281="자동+수동"),IF(OR(S281="자동",S281="자동+수동"),Z281="통과",TRUE),IF(OR(S281="수동",S281="자동+수동"),AA281="통과",TRUE)),"통과",IF(OR(Z281="실패",AA281="실패",AE281="실패"),"실패","보류"))</x:f>
        <x:v>보류</x:v>
      </x:c>
      <x:c r="AK281" s="5" t="str"/>
      <x:c r="AL281" s="5" t="str"/>
      <x:c r="AM281" s="5" t="str">
        <x:v>입력 v0.1 계획 주석은 original_plan_note에 보존. 최신 구현·시험·증빙은 연결 적용기록을 참조하며 전체 준수·인증을 주장하지 않음.</x:v>
      </x:c>
    </x:row>
    <x:row r="282" ht="66" hidden="0" customHeight="1">
      <x:c r="A282" s="5" t="str">
        <x:v>QA-003</x:v>
      </x:c>
      <x:c r="B282" s="5" t="str">
        <x:v>검증·운영·보고</x:v>
      </x:c>
      <x:c r="C282" s="5" t="str">
        <x:v>검증</x:v>
      </x:c>
      <x:c r="D282" s="5" t="str">
        <x:v>객체 단위 권한 부정시험</x:v>
      </x:c>
      <x:c r="E282" s="5" t="str">
        <x:v>다른 사용자 요청과 첨부의 접근을 서버가 거부한다.</x:v>
      </x:c>
      <x:c r="F282" s="5" t="str">
        <x:v>SRC-003</x:v>
      </x:c>
      <x:c r="G282" s="5" t="str">
        <x:v>0.1</x:v>
      </x:c>
      <x:c r="H282" s="5" t="str"/>
      <x:c r="I282" s="5" t="str"/>
      <x:c r="J282" s="5" t="str">
        <x:v>사내 기준(안)</x:v>
      </x:c>
      <x:c r="K282" s="5" t="str">
        <x:v>해당없음(사내 기준)</x:v>
      </x:c>
      <x:c r="L282" s="5" t="str">
        <x:v>MUST(안)</x:v>
      </x:c>
      <x:c r="M282" s="10" t="str">
        <x:v>적용</x:v>
      </x:c>
      <x:c r="N282" s="5" t="str">
        <x:v>현재 샘플의 회사 필수 기준으로 채택 제안</x:v>
      </x:c>
      <x:c r="O282" s="5" t="str">
        <x:v>관련 기능·적용 기관·계약 변경 시 재평가</x:v>
      </x:c>
      <x:c r="P282" s="5" t="str">
        <x:v>S01, S05</x:v>
      </x:c>
      <x:c r="Q282" s="5" t="str">
        <x:v>로그인 사용자 A/B와 관리자 API 시험</x:v>
      </x:c>
      <x:c r="R282" s="5" t="str">
        <x:v>다른 객체ID·역할변조·직접 URL 호출 거부</x:v>
      </x:c>
      <x:c r="S282" s="10" t="str">
        <x:v>자동</x:v>
      </x:c>
      <x:c r="T282" s="5" t="str">
        <x:v>개발·QA</x:v>
      </x:c>
      <x:c r="U282" s="5" t="str">
        <x:v>P1</x:v>
      </x:c>
      <x:c r="V282" s="10" t="str">
        <x:v>구현</x:v>
      </x:c>
      <x:c r="W282" s="5" t="str">
        <x:v>일반 사용자 A/B와 관리자 인증을 분리해 타 요청404, 타 첨부404, 일반 사용자의 관리자 API403과 mass assignment 방지를 실제 서버에 검사한다.</x:v>
      </x:c>
      <x:c r="X282" s="5" t="str">
        <x:v>tests/backend/integration.py#Client
tests/backend/integration.py#BE-INT-008
tests/backend/integration.py#BE-INT-009
tests/backend/integration.py#BE-INT-018
apps/api/RequestsController.cs#RequestsController.VisibleRequests</x:v>
      </x:c>
      <x:c r="Y282" s="5" t="str">
        <x:v>AUTO-BACKEND
MAN-QA-003</x:v>
      </x:c>
      <x:c r="Z282" s="10" t="str">
        <x:v>부분확인</x:v>
      </x:c>
      <x:c r="AA282" s="10" t="str">
        <x:v>미실행</x:v>
      </x:c>
      <x:c r="AB282" s="5" t="str">
        <x:v>AUTO-BACKEND-2026-10-20T06-17-05-753Z</x:v>
      </x:c>
      <x:c r="AC282" s="5" t="n">
        <x:v>1</x:v>
      </x:c>
      <x:c r="AD282" s="5" t="n">
        <x:v>2</x:v>
      </x:c>
      <x:c r="AE282" s="10" t="str">
        <x:v>부분확인</x:v>
      </x:c>
      <x:c r="AF282" s="5" t="str"/>
      <x:c r="AG282" s="5" t="str"/>
      <x:c r="AH282" s="5" t="str"/>
      <x:c r="AI282" s="10" t="str">
        <x:v>입력 기준 유지</x:v>
      </x:c>
      <x:c r="AJ282" s="5" t="str">
        <x:f>IF(AND(M282="적용",V282="구현",X282&lt;&gt;"",Y282&lt;&gt;"",AB282&lt;&gt;"",AC282&gt;0,AD282&gt;0,AE282="통과",AF282="",AG282&lt;&gt;"",AH282&lt;&gt;"",OR(S282="자동",S282="수동",S282="자동+수동"),IF(OR(S282="자동",S282="자동+수동"),Z282="통과",TRUE),IF(OR(S282="수동",S282="자동+수동"),AA282="통과",TRUE)),"통과",IF(OR(Z282="실패",AA282="실패",AE282="실패"),"실패","보류"))</x:f>
        <x:v>보류</x:v>
      </x:c>
      <x:c r="AK282" s="5" t="str"/>
      <x:c r="AL282" s="5" t="str"/>
      <x:c r="AM282" s="5" t="str">
        <x:v>입력 v0.1 계획 주석은 original_plan_note에 보존. 최신 구현·시험·증빙은 연결 적용기록을 참조하며 전체 준수·인증을 주장하지 않음.</x:v>
      </x:c>
    </x:row>
    <x:row r="283" ht="66" hidden="0" customHeight="1">
      <x:c r="A283" s="5" t="str">
        <x:v>QA-004</x:v>
      </x:c>
      <x:c r="B283" s="5" t="str">
        <x:v>검증·운영·보고</x:v>
      </x:c>
      <x:c r="C283" s="5" t="str">
        <x:v>검증</x:v>
      </x:c>
      <x:c r="D283" s="5" t="str">
        <x:v>첨부파일 실패시험</x:v>
      </x:c>
      <x:c r="E283" s="5" t="str">
        <x:v>파일크기·형식·경로·파일명·권한과 실패 복구를 시험한다.</x:v>
      </x:c>
      <x:c r="F283" s="5" t="str">
        <x:v>SRC-003</x:v>
      </x:c>
      <x:c r="G283" s="5" t="str">
        <x:v>0.1</x:v>
      </x:c>
      <x:c r="H283" s="5" t="str"/>
      <x:c r="I283" s="5" t="str"/>
      <x:c r="J283" s="5" t="str">
        <x:v>사내 기준(안)</x:v>
      </x:c>
      <x:c r="K283" s="5" t="str">
        <x:v>해당없음(사내 기준)</x:v>
      </x:c>
      <x:c r="L283" s="5" t="str">
        <x:v>MUST(안)</x:v>
      </x:c>
      <x:c r="M283" s="10" t="str">
        <x:v>적용</x:v>
      </x:c>
      <x:c r="N283" s="5" t="str">
        <x:v>현재 샘플의 회사 필수 기준으로 채택 제안</x:v>
      </x:c>
      <x:c r="O283" s="5" t="str">
        <x:v>관련 기능·적용 기관·계약 변경 시 재평가</x:v>
      </x:c>
      <x:c r="P283" s="5" t="str">
        <x:v>S04, S05</x:v>
      </x:c>
      <x:c r="Q283" s="5" t="str">
        <x:v>안전한 시험 파일과 업로드/다운로드 통합시험</x:v>
      </x:c>
      <x:c r="R283" s="5" t="str">
        <x:v>제한 위반·중단·중복·파일 삭제 시 실제 결과</x:v>
      </x:c>
      <x:c r="S283" s="10" t="str">
        <x:v>자동</x:v>
      </x:c>
      <x:c r="T283" s="5" t="str">
        <x:v>개발·QA</x:v>
      </x:c>
      <x:c r="U283" s="5" t="str">
        <x:v>P1</x:v>
      </x:c>
      <x:c r="V283" s="10" t="str">
        <x:v>진행</x:v>
      </x:c>
      <x:c r="W283" s="5" t="str">
        <x:v>위장 확장자/실행파일/5MiB 초과/3개 초과/경로명 제거/다운로드 인가/삭제 후404와 실제 바이트를 검사한다. 업로드 도중 네트워크 중단·디스크 쓰기 실패·DB 실패 주입 후 잔여파일 복구 시험은 미실행이다.</x:v>
      </x:c>
      <x:c r="X283" s="5" t="str">
        <x:v>tests/backend/integration.py#Client.upload
tests/backend/integration.py#BE-INT-013
tests/backend/integration.py#BE-INT-019
tests/backend/integration.py#delete_file
apps/api/AttachmentsController.cs#AttachmentsController.SaveFiles</x:v>
      </x:c>
      <x:c r="Y283" s="5" t="str">
        <x:v>AUTO-BACKEND
MAN-QA-004</x:v>
      </x:c>
      <x:c r="Z283" s="10" t="str">
        <x:v>부분확인</x:v>
      </x:c>
      <x:c r="AA283" s="10" t="str">
        <x:v>미실행</x:v>
      </x:c>
      <x:c r="AB283" s="5" t="str">
        <x:v>AUTO-BACKEND-2026-10-20T06-17-05-753Z</x:v>
      </x:c>
      <x:c r="AC283" s="5" t="n">
        <x:v>1</x:v>
      </x:c>
      <x:c r="AD283" s="5" t="n">
        <x:v>2</x:v>
      </x:c>
      <x:c r="AE283" s="10" t="str">
        <x:v>부분확인</x:v>
      </x:c>
      <x:c r="AF283" s="5" t="str"/>
      <x:c r="AG283" s="5" t="str"/>
      <x:c r="AH283" s="5" t="str"/>
      <x:c r="AI283" s="10" t="str">
        <x:v>입력 기준 유지</x:v>
      </x:c>
      <x:c r="AJ283" s="5" t="str">
        <x:f>IF(AND(M283="적용",V283="구현",X283&lt;&gt;"",Y283&lt;&gt;"",AB283&lt;&gt;"",AC283&gt;0,AD283&gt;0,AE283="통과",AF283="",AG283&lt;&gt;"",AH283&lt;&gt;"",OR(S283="자동",S283="수동",S283="자동+수동"),IF(OR(S283="자동",S283="자동+수동"),Z283="통과",TRUE),IF(OR(S283="수동",S283="자동+수동"),AA283="통과",TRUE)),"통과",IF(OR(Z283="실패",AA283="실패",AE283="실패"),"실패","보류"))</x:f>
        <x:v>보류</x:v>
      </x:c>
      <x:c r="AK283" s="5" t="str"/>
      <x:c r="AL283" s="5" t="str"/>
      <x:c r="AM283" s="5" t="str">
        <x:v>입력 v0.1 계획 주석은 original_plan_note에 보존. 최신 구현·시험·증빙은 연결 적용기록을 참조하며 전체 준수·인증을 주장하지 않음.</x:v>
      </x:c>
    </x:row>
    <x:row r="284" ht="52.79999923706055" hidden="0" customHeight="1">
      <x:c r="A284" s="5" t="str">
        <x:v>QA-005</x:v>
      </x:c>
      <x:c r="B284" s="5" t="str">
        <x:v>검증·운영·보고</x:v>
      </x:c>
      <x:c r="C284" s="5" t="str">
        <x:v>검증</x:v>
      </x:c>
      <x:c r="D284" s="5" t="str">
        <x:v>완결된 업무 E2E</x:v>
      </x:c>
      <x:c r="E284" s="5" t="str">
        <x:v>로그인부터 등록·조회·관리처리까지 실제 API/DB로 완료한다.</x:v>
      </x:c>
      <x:c r="F284" s="5" t="str">
        <x:v>SRC-003</x:v>
      </x:c>
      <x:c r="G284" s="5" t="str">
        <x:v>0.1</x:v>
      </x:c>
      <x:c r="H284" s="5" t="str"/>
      <x:c r="I284" s="5" t="str"/>
      <x:c r="J284" s="5" t="str">
        <x:v>사내 기준(안)</x:v>
      </x:c>
      <x:c r="K284" s="5" t="str">
        <x:v>해당없음(사내 기준)</x:v>
      </x:c>
      <x:c r="L284" s="5" t="str">
        <x:v>MUST(안)</x:v>
      </x:c>
      <x:c r="M284" s="10" t="str">
        <x:v>적용</x:v>
      </x:c>
      <x:c r="N284" s="5" t="str">
        <x:v>현재 샘플의 회사 필수 기준으로 채택 제안</x:v>
      </x:c>
      <x:c r="O284" s="5" t="str">
        <x:v>관련 기능·적용 기관·계약 변경 시 재평가</x:v>
      </x:c>
      <x:c r="P284" s="5" t="str">
        <x:v>S01~S08 / 공통</x:v>
      </x:c>
      <x:c r="Q284" s="5" t="str">
        <x:v>Playwright 과업 시나리오와 별도 사용자 데이터</x:v>
      </x:c>
      <x:c r="R284" s="5" t="str">
        <x:v>재시작 후 영속성·역할별 전체 절차 확인</x:v>
      </x:c>
      <x:c r="S284" s="10" t="str">
        <x:v>자동+수동</x:v>
      </x:c>
      <x:c r="T284" s="5" t="str">
        <x:v>개발·QA</x:v>
      </x:c>
      <x:c r="U284" s="5" t="str">
        <x:v>P1</x:v>
      </x:c>
      <x:c r="V284" s="10" t="str">
        <x:v>구현</x:v>
      </x:c>
      <x:c r="W284" s="5" t="str">
        <x:v>실제 브라우저 로그인→단계형 등록/입력 보존→첨부 바이트 다운로드→관리자 처리중/완료→이력을 자동화하고 별도 HTTP 시험에서 서버 재시작 후 DB/첨부/인증키 영속성을 확인한다. 사람이 수행한 전체 키보드·AT 업무 평가는 미실행이다.</x:v>
      </x:c>
      <x:c r="X284" s="5" t="str">
        <x:v>tests/e2e/browser.mjs#E2E-WORKFLOW
tests/e2e/browser.mjs#login
tests/backend/integration.py#BE-INT-031
apps/api/RequestsController.cs#RequestsController.ChangeStatus</x:v>
      </x:c>
      <x:c r="Y284" s="5" t="str">
        <x:v>E2E-WORKFLOW
MAN-QA-005</x:v>
      </x:c>
      <x:c r="Z284" s="10" t="str">
        <x:v>부분확인</x:v>
      </x:c>
      <x:c r="AA284" s="10" t="str">
        <x:v>미실행</x:v>
      </x:c>
      <x:c r="AB284" s="5" t="str">
        <x:v>E2E-WORKFLOW-2026-10-20T06-15-00-647Z</x:v>
      </x:c>
      <x:c r="AC284" s="5" t="n">
        <x:v>1</x:v>
      </x:c>
      <x:c r="AD284" s="5" t="n">
        <x:v>2</x:v>
      </x:c>
      <x:c r="AE284" s="10" t="str">
        <x:v>부분확인</x:v>
      </x:c>
      <x:c r="AF284" s="5" t="str"/>
      <x:c r="AG284" s="5" t="str"/>
      <x:c r="AH284" s="5" t="str"/>
      <x:c r="AI284" s="10" t="str">
        <x:v>입력 기준 유지</x:v>
      </x:c>
      <x:c r="AJ284" s="5" t="str">
        <x:f>IF(AND(M284="적용",V284="구현",X284&lt;&gt;"",Y284&lt;&gt;"",AB284&lt;&gt;"",AC284&gt;0,AD284&gt;0,AE284="통과",AF284="",AG284&lt;&gt;"",AH284&lt;&gt;"",OR(S284="자동",S284="수동",S284="자동+수동"),IF(OR(S284="자동",S284="자동+수동"),Z284="통과",TRUE),IF(OR(S284="수동",S284="자동+수동"),AA284="통과",TRUE)),"통과",IF(OR(Z284="실패",AA284="실패",AE284="실패"),"실패","보류"))</x:f>
        <x:v>보류</x:v>
      </x:c>
      <x:c r="AK284" s="5" t="str"/>
      <x:c r="AL284" s="5" t="str"/>
      <x:c r="AM284" s="5" t="str">
        <x:v>입력 v0.1 계획 주석은 original_plan_note에 보존. 최신 구현·시험·증빙은 연결 적용기록을 참조하며 전체 준수·인증을 주장하지 않음.</x:v>
      </x:c>
    </x:row>
    <x:row r="285" ht="39.599998474121094" hidden="0" customHeight="1">
      <x:c r="A285" s="5" t="str">
        <x:v>QA-006</x:v>
      </x:c>
      <x:c r="B285" s="5" t="str">
        <x:v>검증·운영·보고</x:v>
      </x:c>
      <x:c r="C285" s="5" t="str">
        <x:v>검증</x:v>
      </x:c>
      <x:c r="D285" s="5" t="str">
        <x:v>상태별 자동 접근성</x:v>
      </x:c>
      <x:c r="E285" s="5" t="str">
        <x:v>일반·오류·모달·확장·완료 상태에서 접근성을 검사한다.</x:v>
      </x:c>
      <x:c r="F285" s="5" t="str">
        <x:v>SRC-003</x:v>
      </x:c>
      <x:c r="G285" s="5" t="str">
        <x:v>0.1</x:v>
      </x:c>
      <x:c r="H285" s="5" t="str"/>
      <x:c r="I285" s="5" t="str"/>
      <x:c r="J285" s="5" t="str">
        <x:v>사내 기준(안)</x:v>
      </x:c>
      <x:c r="K285" s="5" t="str">
        <x:v>해당없음(사내 기준)</x:v>
      </x:c>
      <x:c r="L285" s="5" t="str">
        <x:v>MUST(안)</x:v>
      </x:c>
      <x:c r="M285" s="10" t="str">
        <x:v>적용</x:v>
      </x:c>
      <x:c r="N285" s="5" t="str">
        <x:v>현재 샘플의 회사 필수 기준으로 채택 제안</x:v>
      </x:c>
      <x:c r="O285" s="5" t="str">
        <x:v>관련 기능·적용 기관·계약 변경 시 재평가</x:v>
      </x:c>
      <x:c r="P285" s="5" t="str">
        <x:v>S01~S08 / 공통</x:v>
      </x:c>
      <x:c r="Q285" s="5" t="str">
        <x:v>axe-core와 실제 E2E의 상태별 검사 연결</x:v>
      </x:c>
      <x:c r="R285" s="5" t="str">
        <x:v>규칙ID·화면·상태·도구버전별 원시결과</x:v>
      </x:c>
      <x:c r="S285" s="10" t="str">
        <x:v>자동</x:v>
      </x:c>
      <x:c r="T285" s="5" t="str">
        <x:v>개발·QA</x:v>
      </x:c>
      <x:c r="U285" s="5" t="str">
        <x:v>P1</x:v>
      </x:c>
      <x:c r="V285" s="10" t="str">
        <x:v>진행</x:v>
      </x:c>
      <x:c r="W285" s="5" t="str">
        <x:v>axe를 로그인/현황/오류/검토/완료/상세/관리모달/도움말/갤러리 등 E2E의 실제 상태에서 실행하고 원시 violations/incomplete를 남긴다. 모든 확장영역·역할·테마·오류 조합을 전수 자동 검사하는 행렬은 미완성이다.</x:v>
      </x:c>
      <x:c r="X285" s="5" t="str">
        <x:v>tests/e2e/browser.mjs#axe
tests/e2e/browser.mjs#E2E-AXE
tests/e2e/browser.mjs#axeStates</x:v>
      </x:c>
      <x:c r="Y285" s="5" t="str">
        <x:v>E2E-AXE
MAN-QA-006</x:v>
      </x:c>
      <x:c r="Z285" s="10" t="str">
        <x:v>부분확인</x:v>
      </x:c>
      <x:c r="AA285" s="10" t="str">
        <x:v>미실행</x:v>
      </x:c>
      <x:c r="AB285" s="5" t="str">
        <x:v>E2E-AXE-2026-10-20T06-15-00-647Z</x:v>
      </x:c>
      <x:c r="AC285" s="5" t="n">
        <x:v>1</x:v>
      </x:c>
      <x:c r="AD285" s="5" t="n">
        <x:v>2</x:v>
      </x:c>
      <x:c r="AE285" s="10" t="str">
        <x:v>부분확인</x:v>
      </x:c>
      <x:c r="AF285" s="5" t="str"/>
      <x:c r="AG285" s="5" t="str"/>
      <x:c r="AH285" s="5" t="str"/>
      <x:c r="AI285" s="10" t="str">
        <x:v>입력 기준 유지</x:v>
      </x:c>
      <x:c r="AJ285" s="5" t="str">
        <x:f>IF(AND(M285="적용",V285="구현",X285&lt;&gt;"",Y285&lt;&gt;"",AB285&lt;&gt;"",AC285&gt;0,AD285&gt;0,AE285="통과",AF285="",AG285&lt;&gt;"",AH285&lt;&gt;"",OR(S285="자동",S285="수동",S285="자동+수동"),IF(OR(S285="자동",S285="자동+수동"),Z285="통과",TRUE),IF(OR(S285="수동",S285="자동+수동"),AA285="통과",TRUE)),"통과",IF(OR(Z285="실패",AA285="실패",AE285="실패"),"실패","보류"))</x:f>
        <x:v>보류</x:v>
      </x:c>
      <x:c r="AK285" s="5" t="str"/>
      <x:c r="AL285" s="5" t="str"/>
      <x:c r="AM285" s="5" t="str">
        <x:v>입력 v0.1 계획 주석은 original_plan_note에 보존. 최신 구현·시험·증빙은 연결 적용기록을 참조하며 전체 준수·인증을 주장하지 않음.</x:v>
      </x:c>
    </x:row>
    <x:row r="286" ht="52.79999923706055" hidden="0" customHeight="1">
      <x:c r="A286" s="5" t="str">
        <x:v>QA-007</x:v>
      </x:c>
      <x:c r="B286" s="5" t="str">
        <x:v>검증·운영·보고</x:v>
      </x:c>
      <x:c r="C286" s="5" t="str">
        <x:v>검증</x:v>
      </x:c>
      <x:c r="D286" s="5" t="str">
        <x:v>보조기술 수동시험</x:v>
      </x:c>
      <x:c r="E286" s="5" t="str">
        <x:v>키보드·화면낭독기·확대·모바일 검증을 분리한다.</x:v>
      </x:c>
      <x:c r="F286" s="5" t="str">
        <x:v>SRC-003</x:v>
      </x:c>
      <x:c r="G286" s="5" t="str">
        <x:v>0.1</x:v>
      </x:c>
      <x:c r="H286" s="5" t="str"/>
      <x:c r="I286" s="5" t="str"/>
      <x:c r="J286" s="5" t="str">
        <x:v>사내 기준(안)</x:v>
      </x:c>
      <x:c r="K286" s="5" t="str">
        <x:v>해당없음(사내 기준)</x:v>
      </x:c>
      <x:c r="L286" s="5" t="str">
        <x:v>MUST(안)</x:v>
      </x:c>
      <x:c r="M286" s="10" t="str">
        <x:v>적용</x:v>
      </x:c>
      <x:c r="N286" s="5" t="str">
        <x:v>현재 샘플의 회사 필수 기준으로 채택 제안</x:v>
      </x:c>
      <x:c r="O286" s="5" t="str">
        <x:v>관련 기능·적용 기관·계약 변경 시 재평가</x:v>
      </x:c>
      <x:c r="P286" s="5" t="str">
        <x:v>S01~S08 / 공통</x:v>
      </x:c>
      <x:c r="Q286" s="5" t="str">
        <x:v>접근성시험 15개 절차에 실제 환경·검사자 기록</x:v>
      </x:c>
      <x:c r="R286" s="5" t="str">
        <x:v>환경 없는 시험은 미실행 유지</x:v>
      </x:c>
      <x:c r="S286" s="10" t="str">
        <x:v>수동</x:v>
      </x:c>
      <x:c r="T286" s="5" t="str">
        <x:v>개발·QA</x:v>
      </x:c>
      <x:c r="U286" s="5" t="str">
        <x:v>P1</x:v>
      </x:c>
      <x:c r="V286" s="10" t="str">
        <x:v>진행</x:v>
      </x:c>
      <x:c r="W286" s="5" t="str">
        <x:v>보조기술/장애유형 대표 과업과 각 규칙 MAN 시험을 독립 관리하고 환경·검사자·관찰·판정을 빈값/미실행으로 유지한다. NVDA/모바일 AT/당사자 참여 실제 수행은 아직 없다.</x:v>
      </x:c>
      <x:c r="X286" s="5" t="str">
        <x:v>scripts/build-standards.py#main
standards/accessibility-scenarios.json
standards/tests.json#MAN-QA-007
docs/ACCESSIBILITY_STANDARD.md</x:v>
      </x:c>
      <x:c r="Y286" s="5" t="str">
        <x:v>MAN-QA-007</x:v>
      </x:c>
      <x:c r="Z286" s="10" t="str">
        <x:v>미실행</x:v>
      </x:c>
      <x:c r="AA286" s="10" t="str">
        <x:v>미실행</x:v>
      </x:c>
      <x:c r="AB286" s="5" t="str"/>
      <x:c r="AC286" s="5" t="n">
        <x:v>0</x:v>
      </x:c>
      <x:c r="AD286" s="5" t="n">
        <x:v>1</x:v>
      </x:c>
      <x:c r="AE286" s="10" t="str">
        <x:v>미실행</x:v>
      </x:c>
      <x:c r="AF286" s="5" t="str"/>
      <x:c r="AG286" s="5" t="str"/>
      <x:c r="AH286" s="5" t="str"/>
      <x:c r="AI286" s="10" t="str">
        <x:v>입력 기준 유지</x:v>
      </x:c>
      <x:c r="AJ286" s="5" t="str">
        <x:f>IF(AND(M286="적용",V286="구현",X286&lt;&gt;"",Y286&lt;&gt;"",AB286&lt;&gt;"",AC286&gt;0,AD286&gt;0,AE286="통과",AF286="",AG286&lt;&gt;"",AH286&lt;&gt;"",OR(S286="자동",S286="수동",S286="자동+수동"),IF(OR(S286="자동",S286="자동+수동"),Z286="통과",TRUE),IF(OR(S286="수동",S286="자동+수동"),AA286="통과",TRUE)),"통과",IF(OR(Z286="실패",AA286="실패",AE286="실패"),"실패","보류"))</x:f>
        <x:v>보류</x:v>
      </x:c>
      <x:c r="AK286" s="5" t="str"/>
      <x:c r="AL286" s="5" t="str"/>
      <x:c r="AM286" s="5" t="str">
        <x:v>입력 v0.1 계획 주석은 original_plan_note에 보존. 최신 구현·시험·증빙은 연결 적용기록을 참조하며 전체 준수·인증을 주장하지 않음.</x:v>
      </x:c>
    </x:row>
    <x:row r="287" ht="52.79999923706055" hidden="0" customHeight="1">
      <x:c r="A287" s="5" t="str">
        <x:v>QA-008</x:v>
      </x:c>
      <x:c r="B287" s="5" t="str">
        <x:v>검증·운영·보고</x:v>
      </x:c>
      <x:c r="C287" s="5" t="str">
        <x:v>검증</x:v>
      </x:c>
      <x:c r="D287" s="5" t="str">
        <x:v>전체 범위와 샘플링 공개</x:v>
      </x:c>
      <x:c r="E287" s="5" t="str">
        <x:v>준수 주장 범위의 페이지·역할·상태·완결 절차를 명시한다.</x:v>
      </x:c>
      <x:c r="F287" s="5" t="str">
        <x:v>SRC-003</x:v>
      </x:c>
      <x:c r="G287" s="5" t="str">
        <x:v>0.1</x:v>
      </x:c>
      <x:c r="H287" s="5" t="str"/>
      <x:c r="I287" s="5" t="str"/>
      <x:c r="J287" s="5" t="str">
        <x:v>사내 기준(안)</x:v>
      </x:c>
      <x:c r="K287" s="5" t="str">
        <x:v>해당없음(사내 기준)</x:v>
      </x:c>
      <x:c r="L287" s="5" t="str">
        <x:v>MUST(안)</x:v>
      </x:c>
      <x:c r="M287" s="10" t="str">
        <x:v>적용</x:v>
      </x:c>
      <x:c r="N287" s="5" t="str">
        <x:v>현재 샘플의 회사 필수 기준으로 채택 제안</x:v>
      </x:c>
      <x:c r="O287" s="5" t="str">
        <x:v>관련 기능·적용 기관·계약 변경 시 재평가</x:v>
      </x:c>
      <x:c r="P287" s="5" t="str">
        <x:v>S03</x:v>
      </x:c>
      <x:c r="Q287" s="5" t="str">
        <x:v>scope manifest와 검사대상 목록 유지</x:v>
      </x:c>
      <x:c r="R287" s="5" t="str">
        <x:v>샘플 검사만으로 전체 준수 선언하지 않음</x:v>
      </x:c>
      <x:c r="S287" s="10" t="str">
        <x:v>수동</x:v>
      </x:c>
      <x:c r="T287" s="5" t="str">
        <x:v>개발·QA</x:v>
      </x:c>
      <x:c r="U287" s="5" t="str">
        <x:v>P1</x:v>
      </x:c>
      <x:c r="V287" s="10" t="str">
        <x:v>진행</x:v>
      </x:c>
      <x:c r="W287" s="5" t="str">
        <x:v>S01~S08/역할·주요 상태와 Chromium 자동검사의 한계를 아키텍처·접근성 문서 및 증빙에 공개한다. 모든 URL·역할·상태·반응형 변형을 개별 조항까지 열거한 공식 준수 주장 범위 manifest와 전수 수동 검토는 미완료다.</x:v>
      </x:c>
      <x:c r="X287" s="5" t="str">
        <x:v>docs/ARCHITECTURE.md
docs/ACCESSIBILITY_STANDARD.md
tests/e2e/browser.mjs#axeStates
scripts/evidence-lib.mjs#recordArtifact</x:v>
      </x:c>
      <x:c r="Y287" s="5" t="str">
        <x:v>MAN-QA-008</x:v>
      </x:c>
      <x:c r="Z287" s="10" t="str">
        <x:v>미실행</x:v>
      </x:c>
      <x:c r="AA287" s="10" t="str">
        <x:v>미실행</x:v>
      </x:c>
      <x:c r="AB287" s="5" t="str"/>
      <x:c r="AC287" s="5" t="n">
        <x:v>0</x:v>
      </x:c>
      <x:c r="AD287" s="5" t="n">
        <x:v>1</x:v>
      </x:c>
      <x:c r="AE287" s="10" t="str">
        <x:v>미실행</x:v>
      </x:c>
      <x:c r="AF287" s="5" t="str"/>
      <x:c r="AG287" s="5" t="str"/>
      <x:c r="AH287" s="5" t="str"/>
      <x:c r="AI287" s="10" t="str">
        <x:v>입력 기준 유지</x:v>
      </x:c>
      <x:c r="AJ287" s="5" t="str">
        <x:f>IF(AND(M287="적용",V287="구현",X287&lt;&gt;"",Y287&lt;&gt;"",AB287&lt;&gt;"",AC287&gt;0,AD287&gt;0,AE287="통과",AF287="",AG287&lt;&gt;"",AH287&lt;&gt;"",OR(S287="자동",S287="수동",S287="자동+수동"),IF(OR(S287="자동",S287="자동+수동"),Z287="통과",TRUE),IF(OR(S287="수동",S287="자동+수동"),AA287="통과",TRUE)),"통과",IF(OR(Z287="실패",AA287="실패",AE287="실패"),"실패","보류"))</x:f>
        <x:v>보류</x:v>
      </x:c>
      <x:c r="AK287" s="5" t="str"/>
      <x:c r="AL287" s="5" t="str"/>
      <x:c r="AM287" s="5" t="str">
        <x:v>입력 v0.1 계획 주석은 original_plan_note에 보존. 최신 구현·시험·증빙은 연결 적용기록을 참조하며 전체 준수·인증을 주장하지 않음.</x:v>
      </x:c>
    </x:row>
    <x:row r="288" ht="39.599998474121094" hidden="0" customHeight="1">
      <x:c r="A288" s="5" t="str">
        <x:v>QA-009</x:v>
      </x:c>
      <x:c r="B288" s="5" t="str">
        <x:v>검증·운영·보고</x:v>
      </x:c>
      <x:c r="C288" s="5" t="str">
        <x:v>검증</x:v>
      </x:c>
      <x:c r="D288" s="5" t="str">
        <x:v>브라우저와 반응형</x:v>
      </x:c>
      <x:c r="E288" s="5" t="str">
        <x:v>지원 브라우저·화면폭·확대 조합을 정하고 검증한다.</x:v>
      </x:c>
      <x:c r="F288" s="5" t="str">
        <x:v>SRC-003</x:v>
      </x:c>
      <x:c r="G288" s="5" t="str">
        <x:v>0.1</x:v>
      </x:c>
      <x:c r="H288" s="5" t="str"/>
      <x:c r="I288" s="5" t="str"/>
      <x:c r="J288" s="5" t="str">
        <x:v>사내 기준(안)</x:v>
      </x:c>
      <x:c r="K288" s="5" t="str">
        <x:v>해당없음(사내 기준)</x:v>
      </x:c>
      <x:c r="L288" s="5" t="str">
        <x:v>MUST(안)</x:v>
      </x:c>
      <x:c r="M288" s="10" t="str">
        <x:v>적용</x:v>
      </x:c>
      <x:c r="N288" s="5" t="str">
        <x:v>현재 샘플의 회사 필수 기준으로 채택 제안</x:v>
      </x:c>
      <x:c r="O288" s="5" t="str">
        <x:v>관련 기능·적용 기관·계약 변경 시 재평가</x:v>
      </x:c>
      <x:c r="P288" s="5" t="str">
        <x:v>S01~S08 / 공통</x:v>
      </x:c>
      <x:c r="Q288" s="5" t="str">
        <x:v>PC와 모바일의 실제 지원행렬 작성</x:v>
      </x:c>
      <x:c r="R288" s="5" t="str">
        <x:v>지원환경별 실패·미실행·관찰결과 기록</x:v>
      </x:c>
      <x:c r="S288" s="10" t="str">
        <x:v>자동+수동</x:v>
      </x:c>
      <x:c r="T288" s="5" t="str">
        <x:v>개발·QA</x:v>
      </x:c>
      <x:c r="U288" s="5" t="str">
        <x:v>P1</x:v>
      </x:c>
      <x:c r="V288" s="10" t="str">
        <x:v>진행</x:v>
      </x:c>
      <x:c r="W288" s="5" t="str">
        <x:v>Chromium 1440/320 CSS px와 주요 화면의 DOM overflow/문자간격 변형을 자동 검사한다. Firefox/Safari/실기기·실제200% 문자/400% 브라우저 확대·모든 지원 조합 검사는 미실행이다.</x:v>
      </x:c>
      <x:c r="X288" s="5" t="str">
        <x:v>tests/e2e/browser.mjs#E2E-REFLOW
tests/e2e/browser.mjs#setViewportSize
docs/ACCESSIBILITY_STANDARD.md</x:v>
      </x:c>
      <x:c r="Y288" s="5" t="str">
        <x:v>E2E-REFLOW
SCREEN-MOBILE
MAN-QA-009</x:v>
      </x:c>
      <x:c r="Z288" s="10" t="str">
        <x:v>부분확인</x:v>
      </x:c>
      <x:c r="AA288" s="10" t="str">
        <x:v>미실행</x:v>
      </x:c>
      <x:c r="AB288" s="5" t="str">
        <x:v>E2E-REFLOW-2026-10-20T06-15-00-647Z
SCREEN-MOBILE-2026-10-20T06-15-00-647Z</x:v>
      </x:c>
      <x:c r="AC288" s="5" t="n">
        <x:v>2</x:v>
      </x:c>
      <x:c r="AD288" s="5" t="n">
        <x:v>3</x:v>
      </x:c>
      <x:c r="AE288" s="10" t="str">
        <x:v>부분확인</x:v>
      </x:c>
      <x:c r="AF288" s="5" t="str"/>
      <x:c r="AG288" s="5" t="str"/>
      <x:c r="AH288" s="5" t="str"/>
      <x:c r="AI288" s="10" t="str">
        <x:v>입력 기준 유지</x:v>
      </x:c>
      <x:c r="AJ288" s="5" t="str">
        <x:f>IF(AND(M288="적용",V288="구현",X288&lt;&gt;"",Y288&lt;&gt;"",AB288&lt;&gt;"",AC288&gt;0,AD288&gt;0,AE288="통과",AF288="",AG288&lt;&gt;"",AH288&lt;&gt;"",OR(S288="자동",S288="수동",S288="자동+수동"),IF(OR(S288="자동",S288="자동+수동"),Z288="통과",TRUE),IF(OR(S288="수동",S288="자동+수동"),AA288="통과",TRUE)),"통과",IF(OR(Z288="실패",AA288="실패",AE288="실패"),"실패","보류"))</x:f>
        <x:v>보류</x:v>
      </x:c>
      <x:c r="AK288" s="5" t="str"/>
      <x:c r="AL288" s="5" t="str"/>
      <x:c r="AM288" s="5" t="str">
        <x:v>입력 v0.1 계획 주석은 original_plan_note에 보존. 최신 구현·시험·증빙은 연결 적용기록을 참조하며 전체 준수·인증을 주장하지 않음.</x:v>
      </x:c>
    </x:row>
    <x:row r="289" ht="52.79999923706055" hidden="0" customHeight="1">
      <x:c r="A289" s="5" t="str">
        <x:v>QA-010</x:v>
      </x:c>
      <x:c r="B289" s="5" t="str">
        <x:v>검증·운영·보고</x:v>
      </x:c>
      <x:c r="C289" s="5" t="str">
        <x:v>검증</x:v>
      </x:c>
      <x:c r="D289" s="5" t="str">
        <x:v>성능과 중단 복구</x:v>
      </x:c>
      <x:c r="E289" s="5" t="str">
        <x:v>기준 환경의 응답·로딩·취소·재시도 동작을 측정한다.</x:v>
      </x:c>
      <x:c r="F289" s="5" t="str">
        <x:v>SRC-003</x:v>
      </x:c>
      <x:c r="G289" s="5" t="str">
        <x:v>0.1</x:v>
      </x:c>
      <x:c r="H289" s="5" t="str"/>
      <x:c r="I289" s="5" t="str"/>
      <x:c r="J289" s="5" t="str">
        <x:v>사내 기준(안)</x:v>
      </x:c>
      <x:c r="K289" s="5" t="str">
        <x:v>해당없음(사내 기준)</x:v>
      </x:c>
      <x:c r="L289" s="5" t="str">
        <x:v>MUST(안)</x:v>
      </x:c>
      <x:c r="M289" s="10" t="str">
        <x:v>적용</x:v>
      </x:c>
      <x:c r="N289" s="5" t="str">
        <x:v>현재 샘플의 회사 필수 기준으로 채택 제안</x:v>
      </x:c>
      <x:c r="O289" s="5" t="str">
        <x:v>관련 기능·적용 기관·계약 변경 시 재평가</x:v>
      </x:c>
      <x:c r="P289" s="5" t="str">
        <x:v>S05</x:v>
      </x:c>
      <x:c r="Q289" s="5" t="str">
        <x:v>네트워크 실패와 지연 주입, 대용량 입력 경계</x:v>
      </x:c>
      <x:c r="R289" s="5" t="str">
        <x:v>환경·데이터량·측정법과 결과를 기록</x:v>
      </x:c>
      <x:c r="S289" s="10" t="str">
        <x:v>자동+수동</x:v>
      </x:c>
      <x:c r="T289" s="5" t="str">
        <x:v>개발·QA</x:v>
      </x:c>
      <x:c r="U289" s="5" t="str">
        <x:v>P1</x:v>
      </x:c>
      <x:c r="V289" s="10" t="str">
        <x:v>진행</x:v>
      </x:c>
      <x:c r="W289" s="5" t="str">
        <x:v>fetch/업로드 시간제한·취소 API,503 오류 주입과 재시도 복구·빈 결과를 구현/검사한다. 기준 장비·동시사용자·데이터량에 따른 성능 측정과 실제 지연/중단/업로드 복구의 전체 시험은 미실행이다.</x:v>
      </x:c>
      <x:c r="X289" s="5" t="str">
        <x:v>apps/web/src/api.ts#api
apps/web/src/api.ts#uploadFiles
tests/e2e/browser.mjs#E2E-ERROR
tests/backend/integration.py#test</x:v>
      </x:c>
      <x:c r="Y289" s="5" t="str">
        <x:v>MAN-QA-010</x:v>
      </x:c>
      <x:c r="Z289" s="10" t="str">
        <x:v>미실행</x:v>
      </x:c>
      <x:c r="AA289" s="10" t="str">
        <x:v>미실행</x:v>
      </x:c>
      <x:c r="AB289" s="5" t="str"/>
      <x:c r="AC289" s="5" t="n">
        <x:v>0</x:v>
      </x:c>
      <x:c r="AD289" s="5" t="n">
        <x:v>1</x:v>
      </x:c>
      <x:c r="AE289" s="10" t="str">
        <x:v>미실행</x:v>
      </x:c>
      <x:c r="AF289" s="5" t="str"/>
      <x:c r="AG289" s="5" t="str"/>
      <x:c r="AH289" s="5" t="str"/>
      <x:c r="AI289" s="10" t="str">
        <x:v>입력 기준 유지</x:v>
      </x:c>
      <x:c r="AJ289" s="5" t="str">
        <x:f>IF(AND(M289="적용",V289="구현",X289&lt;&gt;"",Y289&lt;&gt;"",AB289&lt;&gt;"",AC289&gt;0,AD289&gt;0,AE289="통과",AF289="",AG289&lt;&gt;"",AH289&lt;&gt;"",OR(S289="자동",S289="수동",S289="자동+수동"),IF(OR(S289="자동",S289="자동+수동"),Z289="통과",TRUE),IF(OR(S289="수동",S289="자동+수동"),AA289="통과",TRUE)),"통과",IF(OR(Z289="실패",AA289="실패",AE289="실패"),"실패","보류"))</x:f>
        <x:v>보류</x:v>
      </x:c>
      <x:c r="AK289" s="5" t="str"/>
      <x:c r="AL289" s="5" t="str"/>
      <x:c r="AM289" s="5" t="str">
        <x:v>입력 v0.1 계획 주석은 original_plan_note에 보존. 최신 구현·시험·증빙은 연결 적용기록을 참조하며 전체 준수·인증을 주장하지 않음.</x:v>
      </x:c>
    </x:row>
    <x:row r="290" ht="52.79999923706055" hidden="0" customHeight="1">
      <x:c r="A290" s="5" t="str">
        <x:v>QA-011</x:v>
      </x:c>
      <x:c r="B290" s="5" t="str">
        <x:v>검증·운영·보고</x:v>
      </x:c>
      <x:c r="C290" s="5" t="str">
        <x:v>검증</x:v>
      </x:c>
      <x:c r="D290" s="5" t="str">
        <x:v>커버리지 범위 공개</x:v>
      </x:c>
      <x:c r="E290" s="5" t="str">
        <x:v>핵심 모듈의 line80%·branch70%를 초기 회사 목표로 검토한다.</x:v>
      </x:c>
      <x:c r="F290" s="5" t="str">
        <x:v>SRC-003</x:v>
      </x:c>
      <x:c r="G290" s="5" t="str">
        <x:v>0.1</x:v>
      </x:c>
      <x:c r="H290" s="5" t="str"/>
      <x:c r="I290" s="5" t="str"/>
      <x:c r="J290" s="5" t="str">
        <x:v>사내 기준(안)</x:v>
      </x:c>
      <x:c r="K290" s="5" t="str">
        <x:v>해당없음(사내 기준)</x:v>
      </x:c>
      <x:c r="L290" s="5" t="str">
        <x:v>MUST(안)</x:v>
      </x:c>
      <x:c r="M290" s="10" t="str">
        <x:v>적용</x:v>
      </x:c>
      <x:c r="N290" s="5" t="str">
        <x:v>현재 샘플의 회사 필수 기준으로 채택 제안</x:v>
      </x:c>
      <x:c r="O290" s="5" t="str">
        <x:v>관련 기능·적용 기관·계약 변경 시 재평가</x:v>
      </x:c>
      <x:c r="P290" s="5" t="str">
        <x:v>S01~S08 / 공통</x:v>
      </x:c>
      <x:c r="Q290" s="5" t="str">
        <x:v>대상/제외·산식·도구버전을 고정하고 실제 산출</x:v>
      </x:c>
      <x:c r="R290" s="5" t="str">
        <x:v>무의미한 테스트로 수치만 달성하지 않음</x:v>
      </x:c>
      <x:c r="S290" s="10" t="str">
        <x:v>자동+수동</x:v>
      </x:c>
      <x:c r="T290" s="5" t="str">
        <x:v>개발·QA</x:v>
      </x:c>
      <x:c r="U290" s="5" t="str">
        <x:v>P1</x:v>
      </x:c>
      <x:c r="V290" s="10" t="str">
        <x:v>진행</x:v>
      </x:c>
      <x:c r="W290" s="5" t="str">
        <x:v>Coverlet의 실제 xUnit 계측 결과와 migration/obj/generated 제외 설정을 보존한다. BusinessRules 표본 결과를 전체 권한/서버 커버리지로 합산하지 않으며 별도 HTTP 서버의 line/branch 계측과80/70 목표 달성은 미확인이다.</x:v>
      </x:c>
      <x:c r="X290" s="5" t="str">
        <x:v>tests/backend/coverage.runsettings#ExcludeByFile
scripts/backend-verify.mjs#tasks
tests/backend/Kstd.Api.Tests/BusinessRulesTests.cs
docs/BACKEND_OPERATIONS.md</x:v>
      </x:c>
      <x:c r="Y290" s="5" t="str">
        <x:v>MAN-QA-011</x:v>
      </x:c>
      <x:c r="Z290" s="10" t="str">
        <x:v>미실행</x:v>
      </x:c>
      <x:c r="AA290" s="10" t="str">
        <x:v>미실행</x:v>
      </x:c>
      <x:c r="AB290" s="5" t="str"/>
      <x:c r="AC290" s="5" t="n">
        <x:v>0</x:v>
      </x:c>
      <x:c r="AD290" s="5" t="n">
        <x:v>1</x:v>
      </x:c>
      <x:c r="AE290" s="10" t="str">
        <x:v>미실행</x:v>
      </x:c>
      <x:c r="AF290" s="5" t="str"/>
      <x:c r="AG290" s="5" t="str"/>
      <x:c r="AH290" s="5" t="str"/>
      <x:c r="AI290" s="10" t="str">
        <x:v>입력 기준 유지</x:v>
      </x:c>
      <x:c r="AJ290" s="5" t="str">
        <x:f>IF(AND(M290="적용",V290="구현",X290&lt;&gt;"",Y290&lt;&gt;"",AB290&lt;&gt;"",AC290&gt;0,AD290&gt;0,AE290="통과",AF290="",AG290&lt;&gt;"",AH290&lt;&gt;"",OR(S290="자동",S290="수동",S290="자동+수동"),IF(OR(S290="자동",S290="자동+수동"),Z290="통과",TRUE),IF(OR(S290="수동",S290="자동+수동"),AA290="통과",TRUE)),"통과",IF(OR(Z290="실패",AA290="실패",AE290="실패"),"실패","보류"))</x:f>
        <x:v>보류</x:v>
      </x:c>
      <x:c r="AK290" s="5" t="str"/>
      <x:c r="AL290" s="5" t="str"/>
      <x:c r="AM290" s="5" t="str">
        <x:v>입력 v0.1 계획 주석은 original_plan_note에 보존. 최신 구현·시험·증빙은 연결 적용기록을 참조하며 전체 준수·인증을 주장하지 않음.</x:v>
      </x:c>
    </x:row>
    <x:row r="291" ht="66" hidden="0" customHeight="1">
      <x:c r="A291" s="5" t="str">
        <x:v>QA-012</x:v>
      </x:c>
      <x:c r="B291" s="5" t="str">
        <x:v>검증·운영·보고</x:v>
      </x:c>
      <x:c r="C291" s="5" t="str">
        <x:v>검증</x:v>
      </x:c>
      <x:c r="D291" s="5" t="str">
        <x:v>품질 게이트와 재시험</x:v>
      </x:c>
      <x:c r="E291" s="5" t="str">
        <x:v>실패 수정 후 영향을 받는 검증을 재실행한다.</x:v>
      </x:c>
      <x:c r="F291" s="5" t="str">
        <x:v>SRC-003</x:v>
      </x:c>
      <x:c r="G291" s="5" t="str">
        <x:v>0.1</x:v>
      </x:c>
      <x:c r="H291" s="5" t="str"/>
      <x:c r="I291" s="5" t="str"/>
      <x:c r="J291" s="5" t="str">
        <x:v>사내 기준(안)</x:v>
      </x:c>
      <x:c r="K291" s="5" t="str">
        <x:v>해당없음(사내 기준)</x:v>
      </x:c>
      <x:c r="L291" s="5" t="str">
        <x:v>MUST(안)</x:v>
      </x:c>
      <x:c r="M291" s="10" t="str">
        <x:v>적용</x:v>
      </x:c>
      <x:c r="N291" s="5" t="str">
        <x:v>현재 샘플의 회사 필수 기준으로 채택 제안</x:v>
      </x:c>
      <x:c r="O291" s="5" t="str">
        <x:v>관련 기능·적용 기관·계약 변경 시 재평가</x:v>
      </x:c>
      <x:c r="P291" s="5" t="str">
        <x:v>S05</x:v>
      </x:c>
      <x:c r="Q291" s="5" t="str">
        <x:v>고위험 취약점·접근성 오류·필수 기능 gate 설정</x:v>
      </x:c>
      <x:c r="R291" s="5" t="str">
        <x:v>원인·수정commit·재실행·잔여항목 대조</x:v>
      </x:c>
      <x:c r="S291" s="10" t="str">
        <x:v>자동+수동</x:v>
      </x:c>
      <x:c r="T291" s="5" t="str">
        <x:v>개발·QA</x:v>
      </x:c>
      <x:c r="U291" s="5" t="str">
        <x:v>P1</x:v>
      </x:c>
      <x:c r="V291" s="10" t="str">
        <x:v>구현</x:v>
      </x:c>
      <x:c r="W291" s="5" t="str">
        <x:v>검사 실패를 실제 nonzero로 전달하고 로그/소스 hash를 보존하며 수정 후 영향을 받는 검사를 다시 실행하는 로컬 게이트를 제공한다. 접근성 자동결과나 CI 설정을 전체 준수·원격 실행 실적으로 환산하지 않는다.</x:v>
      </x:c>
      <x:c r="X291" s="5" t="str">
        <x:v>scripts/run-checks.mjs#checks
scripts/backend-verify.mjs#tasks
scripts/evidence-lib.mjs#runCommand
scripts/evidence-check.mjs#validateEvidence
tests/e2e/browser.mjs#E2E-AXE</x:v>
      </x:c>
      <x:c r="Y291" s="5" t="str">
        <x:v>MAN-QA-012</x:v>
      </x:c>
      <x:c r="Z291" s="10" t="str">
        <x:v>미실행</x:v>
      </x:c>
      <x:c r="AA291" s="10" t="str">
        <x:v>미실행</x:v>
      </x:c>
      <x:c r="AB291" s="5" t="str"/>
      <x:c r="AC291" s="5" t="n">
        <x:v>0</x:v>
      </x:c>
      <x:c r="AD291" s="5" t="n">
        <x:v>1</x:v>
      </x:c>
      <x:c r="AE291" s="10" t="str">
        <x:v>미실행</x:v>
      </x:c>
      <x:c r="AF291" s="5" t="str"/>
      <x:c r="AG291" s="5" t="str"/>
      <x:c r="AH291" s="5" t="str"/>
      <x:c r="AI291" s="10" t="str">
        <x:v>입력 기준 유지</x:v>
      </x:c>
      <x:c r="AJ291" s="5" t="str">
        <x:f>IF(AND(M291="적용",V291="구현",X291&lt;&gt;"",Y291&lt;&gt;"",AB291&lt;&gt;"",AC291&gt;0,AD291&gt;0,AE291="통과",AF291="",AG291&lt;&gt;"",AH291&lt;&gt;"",OR(S291="자동",S291="수동",S291="자동+수동"),IF(OR(S291="자동",S291="자동+수동"),Z291="통과",TRUE),IF(OR(S291="수동",S291="자동+수동"),AA291="통과",TRUE)),"통과",IF(OR(Z291="실패",AA291="실패",AE291="실패"),"실패","보류"))</x:f>
        <x:v>보류</x:v>
      </x:c>
      <x:c r="AK291" s="5" t="str"/>
      <x:c r="AL291" s="5" t="str"/>
      <x:c r="AM291" s="5" t="str">
        <x:v>입력 v0.1 계획 주석은 original_plan_note에 보존. 최신 구현·시험·증빙은 연결 적용기록을 참조하며 전체 준수·인증을 주장하지 않음.</x:v>
      </x:c>
    </x:row>
    <x:row r="292" ht="66" hidden="0" customHeight="1">
      <x:c r="A292" s="5" t="str">
        <x:v>OPS-001</x:v>
      </x:c>
      <x:c r="B292" s="5" t="str">
        <x:v>검증·운영·보고</x:v>
      </x:c>
      <x:c r="C292" s="5" t="str">
        <x:v>운영</x:v>
      </x:c>
      <x:c r="D292" s="5" t="str">
        <x:v>환경과 비밀 분리</x:v>
      </x:c>
      <x:c r="E292" s="5" t="str">
        <x:v>개발·시험·운영 설정과 비밀 주입 경로를 분리한다.</x:v>
      </x:c>
      <x:c r="F292" s="5" t="str">
        <x:v>SRC-003</x:v>
      </x:c>
      <x:c r="G292" s="5" t="str">
        <x:v>0.1</x:v>
      </x:c>
      <x:c r="H292" s="5" t="str"/>
      <x:c r="I292" s="5" t="str"/>
      <x:c r="J292" s="5" t="str">
        <x:v>사내 기준(안)</x:v>
      </x:c>
      <x:c r="K292" s="5" t="str">
        <x:v>해당없음(사내 기준)</x:v>
      </x:c>
      <x:c r="L292" s="5" t="str">
        <x:v>MUST(안)</x:v>
      </x:c>
      <x:c r="M292" s="10" t="str">
        <x:v>적용</x:v>
      </x:c>
      <x:c r="N292" s="5" t="str">
        <x:v>현재 샘플의 회사 필수 기준으로 채택 제안</x:v>
      </x:c>
      <x:c r="O292" s="5" t="str">
        <x:v>관련 기능·적용 기관·계약 변경 시 재평가</x:v>
      </x:c>
      <x:c r="P292" s="5" t="str">
        <x:v>S01~S08 / 공통</x:v>
      </x:c>
      <x:c r="Q292" s="5" t="str">
        <x:v>env 예제·설정검증·운영 seed 차단</x:v>
      </x:c>
      <x:c r="R292" s="5" t="str">
        <x:v>비밀 미포함·설정누락 실패·모드별 동작 확인</x:v>
      </x:c>
      <x:c r="S292" s="10" t="str">
        <x:v>자동+수동</x:v>
      </x:c>
      <x:c r="T292" s="5" t="str">
        <x:v>개발·QA</x:v>
      </x:c>
      <x:c r="U292" s="5" t="str">
        <x:v>P1</x:v>
      </x:c>
      <x:c r="V292" s="10" t="str">
        <x:v>구현</x:v>
      </x:c>
      <x:c r="W292" s="5" t="str">
        <x:v>개발 .env의 무작위 암호 주입과 시험 전용 env/임시 DB를 분리하며 Production의 샘플 seed를 항상 거부한다. 운영 secret store·키암호화·실제 배포 검증은 별도 인수 항목이다.</x:v>
      </x:c>
      <x:c r="X292" s="5" t="str">
        <x:v>scripts/manage.mjs#setup
apps/api/SeedData.cs#SeedData.Initialize
apps/api/SeedData.cs#SeedData.RequirePassword
tests/backend/integration.py#env
.env.example</x:v>
      </x:c>
      <x:c r="Y292" s="5" t="str">
        <x:v>AUTO-BACKEND
MAN-OPS-001</x:v>
      </x:c>
      <x:c r="Z292" s="10" t="str">
        <x:v>부분확인</x:v>
      </x:c>
      <x:c r="AA292" s="10" t="str">
        <x:v>미실행</x:v>
      </x:c>
      <x:c r="AB292" s="5" t="str">
        <x:v>AUTO-BACKEND-2026-10-20T06-17-05-753Z</x:v>
      </x:c>
      <x:c r="AC292" s="5" t="n">
        <x:v>1</x:v>
      </x:c>
      <x:c r="AD292" s="5" t="n">
        <x:v>2</x:v>
      </x:c>
      <x:c r="AE292" s="10" t="str">
        <x:v>부분확인</x:v>
      </x:c>
      <x:c r="AF292" s="5" t="str"/>
      <x:c r="AG292" s="5" t="str"/>
      <x:c r="AH292" s="5" t="str"/>
      <x:c r="AI292" s="10" t="str">
        <x:v>입력 기준 유지</x:v>
      </x:c>
      <x:c r="AJ292" s="5" t="str">
        <x:f>IF(AND(M292="적용",V292="구현",X292&lt;&gt;"",Y292&lt;&gt;"",AB292&lt;&gt;"",AC292&gt;0,AD292&gt;0,AE292="통과",AF292="",AG292&lt;&gt;"",AH292&lt;&gt;"",OR(S292="자동",S292="수동",S292="자동+수동"),IF(OR(S292="자동",S292="자동+수동"),Z292="통과",TRUE),IF(OR(S292="수동",S292="자동+수동"),AA292="통과",TRUE)),"통과",IF(OR(Z292="실패",AA292="실패",AE292="실패"),"실패","보류"))</x:f>
        <x:v>보류</x:v>
      </x:c>
      <x:c r="AK292" s="5" t="str"/>
      <x:c r="AL292" s="5" t="str"/>
      <x:c r="AM292" s="5" t="str">
        <x:v>입력 v0.1 계획 주석은 original_plan_note에 보존. 최신 구현·시험·증빙은 연결 적용기록을 참조하며 전체 준수·인증을 주장하지 않음.</x:v>
      </x:c>
    </x:row>
    <x:row r="293" ht="52.79999923706055" hidden="0" customHeight="1">
      <x:c r="A293" s="5" t="str">
        <x:v>OPS-002</x:v>
      </x:c>
      <x:c r="B293" s="5" t="str">
        <x:v>검증·운영·보고</x:v>
      </x:c>
      <x:c r="C293" s="5" t="str">
        <x:v>운영</x:v>
      </x:c>
      <x:c r="D293" s="5" t="str">
        <x:v>DB 마이그레이션</x:v>
      </x:c>
      <x:c r="E293" s="5" t="str">
        <x:v>스키마 변경과 실패 복구 절차를 버전관리한다.</x:v>
      </x:c>
      <x:c r="F293" s="5" t="str">
        <x:v>SRC-003</x:v>
      </x:c>
      <x:c r="G293" s="5" t="str">
        <x:v>0.1</x:v>
      </x:c>
      <x:c r="H293" s="5" t="str"/>
      <x:c r="I293" s="5" t="str"/>
      <x:c r="J293" s="5" t="str">
        <x:v>사내 기준(안)</x:v>
      </x:c>
      <x:c r="K293" s="5" t="str">
        <x:v>해당없음(사내 기준)</x:v>
      </x:c>
      <x:c r="L293" s="5" t="str">
        <x:v>MUST(안)</x:v>
      </x:c>
      <x:c r="M293" s="10" t="str">
        <x:v>적용</x:v>
      </x:c>
      <x:c r="N293" s="5" t="str">
        <x:v>현재 샘플의 회사 필수 기준으로 채택 제안</x:v>
      </x:c>
      <x:c r="O293" s="5" t="str">
        <x:v>관련 기능·적용 기관·계약 변경 시 재평가</x:v>
      </x:c>
      <x:c r="P293" s="5" t="str">
        <x:v>S01~S08 / 공통</x:v>
      </x:c>
      <x:c r="Q293" s="5" t="str">
        <x:v>EF Core migration과 샘플 초기화 명령</x:v>
      </x:c>
      <x:c r="R293" s="5" t="str">
        <x:v>빈DB·기존DB 업그레이드·롤백/복원 절차</x:v>
      </x:c>
      <x:c r="S293" s="10" t="str">
        <x:v>자동+수동</x:v>
      </x:c>
      <x:c r="T293" s="5" t="str">
        <x:v>개발·QA</x:v>
      </x:c>
      <x:c r="U293" s="5" t="str">
        <x:v>P1</x:v>
      </x:c>
      <x:c r="V293" s="10" t="str">
        <x:v>구현</x:v>
      </x:c>
      <x:c r="W293" s="5" t="str">
        <x:v>EF InitialSchema/멱등키 migration 및 model snapshot을 버전관리하고 시작 시 MigrateAsync, 별도 migrate/reset과 백업 복원 경로를 제공한다. 기존 운영 DB의 장애 주입·수동 rollback 전수 시험은 별도 미실행이다.</x:v>
      </x:c>
      <x:c r="X293" s="5" t="str">
        <x:v>apps/api/Program.cs#MigrateAsync
apps/api/Migrations/AppDbModelSnapshot.cs#AppDbModelSnapshot.BuildModel
scripts/backend.py#migrate
docs/BACKEND_OPERATIONS.md</x:v>
      </x:c>
      <x:c r="Y293" s="5" t="str">
        <x:v>AUTO-BACKEND
MAN-OPS-002</x:v>
      </x:c>
      <x:c r="Z293" s="10" t="str">
        <x:v>부분확인</x:v>
      </x:c>
      <x:c r="AA293" s="10" t="str">
        <x:v>미실행</x:v>
      </x:c>
      <x:c r="AB293" s="5" t="str">
        <x:v>AUTO-BACKEND-2026-10-20T06-17-05-753Z</x:v>
      </x:c>
      <x:c r="AC293" s="5" t="n">
        <x:v>1</x:v>
      </x:c>
      <x:c r="AD293" s="5" t="n">
        <x:v>2</x:v>
      </x:c>
      <x:c r="AE293" s="10" t="str">
        <x:v>부분확인</x:v>
      </x:c>
      <x:c r="AF293" s="5" t="str"/>
      <x:c r="AG293" s="5" t="str"/>
      <x:c r="AH293" s="5" t="str"/>
      <x:c r="AI293" s="10" t="str">
        <x:v>입력 기준 유지</x:v>
      </x:c>
      <x:c r="AJ293" s="5" t="str">
        <x:f>IF(AND(M293="적용",V293="구현",X293&lt;&gt;"",Y293&lt;&gt;"",AB293&lt;&gt;"",AC293&gt;0,AD293&gt;0,AE293="통과",AF293="",AG293&lt;&gt;"",AH293&lt;&gt;"",OR(S293="자동",S293="수동",S293="자동+수동"),IF(OR(S293="자동",S293="자동+수동"),Z293="통과",TRUE),IF(OR(S293="수동",S293="자동+수동"),AA293="통과",TRUE)),"통과",IF(OR(Z293="실패",AA293="실패",AE293="실패"),"실패","보류"))</x:f>
        <x:v>보류</x:v>
      </x:c>
      <x:c r="AK293" s="5" t="str"/>
      <x:c r="AL293" s="5" t="str"/>
      <x:c r="AM293" s="5" t="str">
        <x:v>입력 v0.1 계획 주석은 original_plan_note에 보존. 최신 구현·시험·증빙은 연결 적용기록을 참조하며 전체 준수·인증을 주장하지 않음.</x:v>
      </x:c>
    </x:row>
    <x:row r="294" ht="52.79999923706055" hidden="0" customHeight="1">
      <x:c r="A294" s="5" t="str">
        <x:v>OPS-003</x:v>
      </x:c>
      <x:c r="B294" s="5" t="str">
        <x:v>검증·운영·보고</x:v>
      </x:c>
      <x:c r="C294" s="5" t="str">
        <x:v>운영</x:v>
      </x:c>
      <x:c r="D294" s="5" t="str">
        <x:v>백업과 복원</x:v>
      </x:c>
      <x:c r="E294" s="5" t="str">
        <x:v>DB와 첨부의 일관성 있는 백업/복원을 설명한다.</x:v>
      </x:c>
      <x:c r="F294" s="5" t="str">
        <x:v>SRC-003</x:v>
      </x:c>
      <x:c r="G294" s="5" t="str">
        <x:v>0.1</x:v>
      </x:c>
      <x:c r="H294" s="5" t="str"/>
      <x:c r="I294" s="5" t="str"/>
      <x:c r="J294" s="5" t="str">
        <x:v>사내 기준(안)</x:v>
      </x:c>
      <x:c r="K294" s="5" t="str">
        <x:v>해당없음(사내 기준)</x:v>
      </x:c>
      <x:c r="L294" s="5" t="str">
        <x:v>MUST(안)</x:v>
      </x:c>
      <x:c r="M294" s="10" t="str">
        <x:v>적용</x:v>
      </x:c>
      <x:c r="N294" s="5" t="str">
        <x:v>현재 샘플의 회사 필수 기준으로 채택 제안</x:v>
      </x:c>
      <x:c r="O294" s="5" t="str">
        <x:v>관련 기능·적용 기관·계약 변경 시 재평가</x:v>
      </x:c>
      <x:c r="P294" s="5" t="str">
        <x:v>S04, S05</x:v>
      </x:c>
      <x:c r="Q294" s="5" t="str">
        <x:v>로컬 파일DB·첨부의 백업 대상과 복원 순서</x:v>
      </x:c>
      <x:c r="R294" s="5" t="str">
        <x:v>실제 복원 데이터·권한·참조 무결성 확인</x:v>
      </x:c>
      <x:c r="S294" s="10" t="str">
        <x:v>자동+수동</x:v>
      </x:c>
      <x:c r="T294" s="5" t="str">
        <x:v>개발·QA</x:v>
      </x:c>
      <x:c r="U294" s="5" t="str">
        <x:v>P1</x:v>
      </x:c>
      <x:c r="V294" s="10" t="str">
        <x:v>구현</x:v>
      </x:c>
      <x:c r="W294" s="5" t="str">
        <x:v>API 중지 조건에서 SQLite backup API와 첨부/인증키 tar 보존,0600 백업, 안전한 archive 검증 및 명시 대상 확인 복구를 제공하고 실제 DB·첨부 바이트·키 복원 시험을 실행한다. 운영 암호화·원격 보존/승인 정책은 샘플 범위 밖 잔여다.</x:v>
      </x:c>
      <x:c r="X294" s="5" t="str">
        <x:v>scripts/backend.py#backup
scripts/backend.py#restore-db
tests/backend/integration.py#backup_restore
docs/BACKEND_OPERATIONS.md</x:v>
      </x:c>
      <x:c r="Y294" s="5" t="str">
        <x:v>MAN-OPS-003</x:v>
      </x:c>
      <x:c r="Z294" s="10" t="str">
        <x:v>미실행</x:v>
      </x:c>
      <x:c r="AA294" s="10" t="str">
        <x:v>미실행</x:v>
      </x:c>
      <x:c r="AB294" s="5" t="str"/>
      <x:c r="AC294" s="5" t="n">
        <x:v>0</x:v>
      </x:c>
      <x:c r="AD294" s="5" t="n">
        <x:v>1</x:v>
      </x:c>
      <x:c r="AE294" s="10" t="str">
        <x:v>미실행</x:v>
      </x:c>
      <x:c r="AF294" s="5" t="str"/>
      <x:c r="AG294" s="5" t="str"/>
      <x:c r="AH294" s="5" t="str"/>
      <x:c r="AI294" s="10" t="str">
        <x:v>입력 기준 유지</x:v>
      </x:c>
      <x:c r="AJ294" s="5" t="str">
        <x:f>IF(AND(M294="적용",V294="구현",X294&lt;&gt;"",Y294&lt;&gt;"",AB294&lt;&gt;"",AC294&gt;0,AD294&gt;0,AE294="통과",AF294="",AG294&lt;&gt;"",AH294&lt;&gt;"",OR(S294="자동",S294="수동",S294="자동+수동"),IF(OR(S294="자동",S294="자동+수동"),Z294="통과",TRUE),IF(OR(S294="수동",S294="자동+수동"),AA294="통과",TRUE)),"통과",IF(OR(Z294="실패",AA294="실패",AE294="실패"),"실패","보류"))</x:f>
        <x:v>보류</x:v>
      </x:c>
      <x:c r="AK294" s="5" t="str"/>
      <x:c r="AL294" s="5" t="str"/>
      <x:c r="AM294" s="5" t="str">
        <x:v>입력 v0.1 계획 주석은 original_plan_note에 보존. 최신 구현·시험·증빙은 연결 적용기록을 참조하며 전체 준수·인증을 주장하지 않음.</x:v>
      </x:c>
    </x:row>
    <x:row r="295" ht="52.79999923706055" hidden="0" customHeight="1">
      <x:c r="A295" s="5" t="str">
        <x:v>OPS-004</x:v>
      </x:c>
      <x:c r="B295" s="5" t="str">
        <x:v>검증·운영·보고</x:v>
      </x:c>
      <x:c r="C295" s="5" t="str">
        <x:v>운영</x:v>
      </x:c>
      <x:c r="D295" s="5" t="str">
        <x:v>로그와 상태진단</x:v>
      </x:c>
      <x:c r="E295" s="5" t="str">
        <x:v>오류 추적과 서비스 상태를 운영자가 확인한다.</x:v>
      </x:c>
      <x:c r="F295" s="5" t="str">
        <x:v>SRC-003</x:v>
      </x:c>
      <x:c r="G295" s="5" t="str">
        <x:v>0.1</x:v>
      </x:c>
      <x:c r="H295" s="5" t="str"/>
      <x:c r="I295" s="5" t="str"/>
      <x:c r="J295" s="5" t="str">
        <x:v>사내 기준(안)</x:v>
      </x:c>
      <x:c r="K295" s="5" t="str">
        <x:v>해당없음(사내 기준)</x:v>
      </x:c>
      <x:c r="L295" s="5" t="str">
        <x:v>MUST(안)</x:v>
      </x:c>
      <x:c r="M295" s="10" t="str">
        <x:v>적용</x:v>
      </x:c>
      <x:c r="N295" s="5" t="str">
        <x:v>현재 샘플의 회사 필수 기준으로 채택 제안</x:v>
      </x:c>
      <x:c r="O295" s="5" t="str">
        <x:v>관련 기능·적용 기관·계약 변경 시 재평가</x:v>
      </x:c>
      <x:c r="P295" s="5" t="str">
        <x:v>S01~S08 / 공통</x:v>
      </x:c>
      <x:c r="Q295" s="5" t="str">
        <x:v>추적ID·구조화 로그·health endpoint</x:v>
      </x:c>
      <x:c r="R295" s="5" t="str">
        <x:v>민감정보 비노출·오류 원인 추적 가능 확인</x:v>
      </x:c>
      <x:c r="S295" s="10" t="str">
        <x:v>자동+수동</x:v>
      </x:c>
      <x:c r="T295" s="5" t="str">
        <x:v>개발·QA</x:v>
      </x:c>
      <x:c r="U295" s="5" t="str">
        <x:v>P1</x:v>
      </x:c>
      <x:c r="V295" s="10" t="str">
        <x:v>구현</x:v>
      </x:c>
      <x:c r="W295" s="5" t="str">
        <x:v>DB CanConnect 기반 /api/health, 공통 traceId 오류응답과 구조화 서버 예외/첨부 정리 경고 로그를 제공한다. 외부 모니터링·로그 보존/권한·알림 운영은 별도 미연동이다.</x:v>
      </x:c>
      <x:c r="X295" s="5" t="str">
        <x:v>apps/api/Program.cs#CanConnectAsync
apps/api/Infrastructure.cs#ApiErrors.Problem
apps/api/Program.cs#LogError
apps/api/AttachmentsController.cs#AttachmentsController.Delete</x:v>
      </x:c>
      <x:c r="Y295" s="5" t="str">
        <x:v>AUTO-BACKEND
MAN-OPS-004</x:v>
      </x:c>
      <x:c r="Z295" s="10" t="str">
        <x:v>부분확인</x:v>
      </x:c>
      <x:c r="AA295" s="10" t="str">
        <x:v>미실행</x:v>
      </x:c>
      <x:c r="AB295" s="5" t="str">
        <x:v>AUTO-BACKEND-2026-10-20T06-17-05-753Z</x:v>
      </x:c>
      <x:c r="AC295" s="5" t="n">
        <x:v>1</x:v>
      </x:c>
      <x:c r="AD295" s="5" t="n">
        <x:v>2</x:v>
      </x:c>
      <x:c r="AE295" s="10" t="str">
        <x:v>부분확인</x:v>
      </x:c>
      <x:c r="AF295" s="5" t="str"/>
      <x:c r="AG295" s="5" t="str"/>
      <x:c r="AH295" s="5" t="str"/>
      <x:c r="AI295" s="10" t="str">
        <x:v>입력 기준 유지</x:v>
      </x:c>
      <x:c r="AJ295" s="5" t="str">
        <x:f>IF(AND(M295="적용",V295="구현",X295&lt;&gt;"",Y295&lt;&gt;"",AB295&lt;&gt;"",AC295&gt;0,AD295&gt;0,AE295="통과",AF295="",AG295&lt;&gt;"",AH295&lt;&gt;"",OR(S295="자동",S295="수동",S295="자동+수동"),IF(OR(S295="자동",S295="자동+수동"),Z295="통과",TRUE),IF(OR(S295="수동",S295="자동+수동"),AA295="통과",TRUE)),"통과",IF(OR(Z295="실패",AA295="실패",AE295="실패"),"실패","보류"))</x:f>
        <x:v>보류</x:v>
      </x:c>
      <x:c r="AK295" s="5" t="str"/>
      <x:c r="AL295" s="5" t="str"/>
      <x:c r="AM295" s="5" t="str">
        <x:v>입력 v0.1 계획 주석은 original_plan_note에 보존. 최신 구현·시험·증빙은 연결 적용기록을 참조하며 전체 준수·인증을 주장하지 않음.</x:v>
      </x:c>
    </x:row>
    <x:row r="296" ht="52.79999923706055" hidden="0" customHeight="1">
      <x:c r="A296" s="5" t="str">
        <x:v>OPS-005</x:v>
      </x:c>
      <x:c r="B296" s="5" t="str">
        <x:v>검증·운영·보고</x:v>
      </x:c>
      <x:c r="C296" s="5" t="str">
        <x:v>운영</x:v>
      </x:c>
      <x:c r="D296" s="5" t="str">
        <x:v>지원 버전과 공급망</x:v>
      </x:c>
      <x:c r="E296" s="5" t="str">
        <x:v>지원 종료·취약점·라이선스 변경을 정기 재검토한다.</x:v>
      </x:c>
      <x:c r="F296" s="5" t="str">
        <x:v>SRC-003</x:v>
      </x:c>
      <x:c r="G296" s="5" t="str">
        <x:v>0.1</x:v>
      </x:c>
      <x:c r="H296" s="5" t="str"/>
      <x:c r="I296" s="5" t="str"/>
      <x:c r="J296" s="5" t="str">
        <x:v>사내 기준(안)</x:v>
      </x:c>
      <x:c r="K296" s="5" t="str">
        <x:v>해당없음(사내 기준)</x:v>
      </x:c>
      <x:c r="L296" s="5" t="str">
        <x:v>MUST(안)</x:v>
      </x:c>
      <x:c r="M296" s="10" t="str">
        <x:v>적용</x:v>
      </x:c>
      <x:c r="N296" s="5" t="str">
        <x:v>현재 샘플의 회사 필수 기준으로 채택 제안</x:v>
      </x:c>
      <x:c r="O296" s="5" t="str">
        <x:v>관련 기능·적용 기관·계약 변경 시 재평가</x:v>
      </x:c>
      <x:c r="P296" s="5" t="str">
        <x:v>S01~S08 / 공통</x:v>
      </x:c>
      <x:c r="Q296" s="5" t="str">
        <x:v>SDK/패키지 버전·SBOM·검토주기 기록</x:v>
      </x:c>
      <x:c r="R296" s="5" t="str">
        <x:v>지원 상태와 실제 의존성 목록 대조</x:v>
      </x:c>
      <x:c r="S296" s="10" t="str">
        <x:v>자동+수동</x:v>
      </x:c>
      <x:c r="T296" s="5" t="str">
        <x:v>개발·QA</x:v>
      </x:c>
      <x:c r="U296" s="5" t="str">
        <x:v>P1</x:v>
      </x:c>
      <x:c r="V296" s="10" t="str">
        <x:v>진행</x:v>
      </x:c>
      <x:c r="W296" s="5" t="str">
        <x:v>공식 .NET 지원 상태 확인과 버전 고정, NuGet/npm 취약점 검색·라이선스 메타데이터 목록을 제공한다. 정기 검토 일정/담당자·라이선스 변경 승인과 운영 패치 적용 절차는 미확정이다.</x:v>
      </x:c>
      <x:c r="X296" s="5" t="str">
        <x:v>global.json#sdk
scripts/backend-sbom.py
scripts/supply-chain.mjs
docs/BACKEND_OPERATIONS.md</x:v>
      </x:c>
      <x:c r="Y296" s="5" t="str">
        <x:v>AUTO-AUDIT
MAN-OPS-005</x:v>
      </x:c>
      <x:c r="Z296" s="10" t="str">
        <x:v>부분확인</x:v>
      </x:c>
      <x:c r="AA296" s="10" t="str">
        <x:v>미실행</x:v>
      </x:c>
      <x:c r="AB296" s="5" t="str">
        <x:v>AUTO-AUDIT-2026-10-20T06-18-28-772Z</x:v>
      </x:c>
      <x:c r="AC296" s="5" t="n">
        <x:v>1</x:v>
      </x:c>
      <x:c r="AD296" s="5" t="n">
        <x:v>2</x:v>
      </x:c>
      <x:c r="AE296" s="10" t="str">
        <x:v>부분확인</x:v>
      </x:c>
      <x:c r="AF296" s="5" t="str"/>
      <x:c r="AG296" s="5" t="str"/>
      <x:c r="AH296" s="5" t="str"/>
      <x:c r="AI296" s="10" t="str">
        <x:v>입력 기준 유지</x:v>
      </x:c>
      <x:c r="AJ296" s="5" t="str">
        <x:f>IF(AND(M296="적용",V296="구현",X296&lt;&gt;"",Y296&lt;&gt;"",AB296&lt;&gt;"",AC296&gt;0,AD296&gt;0,AE296="통과",AF296="",AG296&lt;&gt;"",AH296&lt;&gt;"",OR(S296="자동",S296="수동",S296="자동+수동"),IF(OR(S296="자동",S296="자동+수동"),Z296="통과",TRUE),IF(OR(S296="수동",S296="자동+수동"),AA296="통과",TRUE)),"통과",IF(OR(Z296="실패",AA296="실패",AE296="실패"),"실패","보류"))</x:f>
        <x:v>보류</x:v>
      </x:c>
      <x:c r="AK296" s="5" t="str"/>
      <x:c r="AL296" s="5" t="str"/>
      <x:c r="AM296" s="5" t="str">
        <x:v>입력 v0.1 계획 주석은 original_plan_note에 보존. 최신 구현·시험·증빙은 연결 적용기록을 참조하며 전체 준수·인증을 주장하지 않음.</x:v>
      </x:c>
    </x:row>
    <x:row r="297" ht="52.79999923706055" hidden="0" customHeight="1">
      <x:c r="A297" s="5" t="str">
        <x:v>OPS-006</x:v>
      </x:c>
      <x:c r="B297" s="5" t="str">
        <x:v>검증·운영·보고</x:v>
      </x:c>
      <x:c r="C297" s="5" t="str">
        <x:v>운영</x:v>
      </x:c>
      <x:c r="D297" s="5" t="str">
        <x:v>운영 인수와 배포</x:v>
      </x:c>
      <x:c r="E297" s="5" t="str">
        <x:v>로컬 검증·CI 설정·실제 배포 성공을 별도로 기록한다.</x:v>
      </x:c>
      <x:c r="F297" s="5" t="str">
        <x:v>SRC-003</x:v>
      </x:c>
      <x:c r="G297" s="5" t="str">
        <x:v>0.1</x:v>
      </x:c>
      <x:c r="H297" s="5" t="str"/>
      <x:c r="I297" s="5" t="str"/>
      <x:c r="J297" s="5" t="str">
        <x:v>사내 기준(안)</x:v>
      </x:c>
      <x:c r="K297" s="5" t="str">
        <x:v>해당없음(사내 기준)</x:v>
      </x:c>
      <x:c r="L297" s="5" t="str">
        <x:v>MUST(안)</x:v>
      </x:c>
      <x:c r="M297" s="10" t="str">
        <x:v>적용</x:v>
      </x:c>
      <x:c r="N297" s="5" t="str">
        <x:v>현재 샘플의 회사 필수 기준으로 채택 제안</x:v>
      </x:c>
      <x:c r="O297" s="5" t="str">
        <x:v>관련 기능·적용 기관·계약 변경 시 재평가</x:v>
      </x:c>
      <x:c r="P297" s="5" t="str">
        <x:v>S01~S08 / 공통</x:v>
      </x:c>
      <x:c r="Q297" s="5" t="str">
        <x:v>실행/중지/설정/복구 RUNBOOK과 인수 항목</x:v>
      </x:c>
      <x:c r="R297" s="5" t="str">
        <x:v>새 환경 재현과 운영 전 미조치 목록 검토</x:v>
      </x:c>
      <x:c r="S297" s="10" t="str">
        <x:v>수동</x:v>
      </x:c>
      <x:c r="T297" s="5" t="str">
        <x:v>개발·QA</x:v>
      </x:c>
      <x:c r="U297" s="5" t="str">
        <x:v>P1</x:v>
      </x:c>
      <x:c r="V297" s="10" t="str">
        <x:v>진행</x:v>
      </x:c>
      <x:c r="W297" s="5" t="str">
        <x:v>개발 실행/중지·설정·백업복구·로컬 publish 절차와 운영 전 잔여를 문서화하고 CI 설정을 제공한다. 새 운영 환경 인수·원격 CI 실행·TLS 배포 성공은 아직 수행하지 않았다.</x:v>
      </x:c>
      <x:c r="X297" s="5" t="str">
        <x:v>scripts/manage.mjs#dev
scripts/manage.mjs#publish
docs/RUNBOOK.md
.github/workflows/verify.yml#verify</x:v>
      </x:c>
      <x:c r="Y297" s="5" t="str">
        <x:v>AUTO-DISTRIBUTION
MAN-OPS-006</x:v>
      </x:c>
      <x:c r="Z297" s="10" t="str">
        <x:v>부분확인</x:v>
      </x:c>
      <x:c r="AA297" s="10" t="str">
        <x:v>미실행</x:v>
      </x:c>
      <x:c r="AB297" s="5" t="str">
        <x:v>AUTO-DISTRIBUTION-2026-10-20T06-16-19-409Z</x:v>
      </x:c>
      <x:c r="AC297" s="5" t="n">
        <x:v>1</x:v>
      </x:c>
      <x:c r="AD297" s="5" t="n">
        <x:v>2</x:v>
      </x:c>
      <x:c r="AE297" s="10" t="str">
        <x:v>부분확인</x:v>
      </x:c>
      <x:c r="AF297" s="5" t="str"/>
      <x:c r="AG297" s="5" t="str"/>
      <x:c r="AH297" s="5" t="str"/>
      <x:c r="AI297" s="10" t="str">
        <x:v>입력 기준 유지</x:v>
      </x:c>
      <x:c r="AJ297" s="5" t="str">
        <x:f>IF(AND(M297="적용",V297="구현",X297&lt;&gt;"",Y297&lt;&gt;"",AB297&lt;&gt;"",AC297&gt;0,AD297&gt;0,AE297="통과",AF297="",AG297&lt;&gt;"",AH297&lt;&gt;"",OR(S297="자동",S297="수동",S297="자동+수동"),IF(OR(S297="자동",S297="자동+수동"),Z297="통과",TRUE),IF(OR(S297="수동",S297="자동+수동"),AA297="통과",TRUE)),"통과",IF(OR(Z297="실패",AA297="실패",AE297="실패"),"실패","보류"))</x:f>
        <x:v>보류</x:v>
      </x:c>
      <x:c r="AK297" s="5" t="str"/>
      <x:c r="AL297" s="5" t="str"/>
      <x:c r="AM297" s="5" t="str">
        <x:v>입력 v0.1 계획 주석은 original_plan_note에 보존. 최신 구현·시험·증빙은 연결 적용기록을 참조하며 전체 준수·인증을 주장하지 않음.</x:v>
      </x:c>
    </x:row>
    <x:row r="298" ht="66" hidden="0" customHeight="1">
      <x:c r="A298" s="5" t="str">
        <x:v>DOC-001</x:v>
      </x:c>
      <x:c r="B298" s="5" t="str">
        <x:v>검증·운영·보고</x:v>
      </x:c>
      <x:c r="C298" s="5" t="str">
        <x:v>보고·추적</x:v>
      </x:c>
      <x:c r="D298" s="5" t="str">
        <x:v>단일 원장</x:v>
      </x:c>
      <x:c r="E298" s="5" t="str">
        <x:v>표준 정의와 적용·증빙 기록에서 Excel/PPT를 함께 생성한다.</x:v>
      </x:c>
      <x:c r="F298" s="5" t="str">
        <x:v>SRC-003</x:v>
      </x:c>
      <x:c r="G298" s="5" t="str">
        <x:v>0.1</x:v>
      </x:c>
      <x:c r="H298" s="5" t="str"/>
      <x:c r="I298" s="5" t="str"/>
      <x:c r="J298" s="5" t="str">
        <x:v>사내 기준(안)</x:v>
      </x:c>
      <x:c r="K298" s="5" t="str">
        <x:v>해당없음(사내 기준)</x:v>
      </x:c>
      <x:c r="L298" s="5" t="str">
        <x:v>MUST(안)</x:v>
      </x:c>
      <x:c r="M298" s="10" t="str">
        <x:v>적용</x:v>
      </x:c>
      <x:c r="N298" s="5" t="str">
        <x:v>현재 샘플의 회사 필수 기준으로 채택 제안</x:v>
      </x:c>
      <x:c r="O298" s="5" t="str">
        <x:v>관련 기능·적용 기관·계약 변경 시 재평가</x:v>
      </x:c>
      <x:c r="P298" s="5" t="str">
        <x:v>S01~S08 / 공통</x:v>
      </x:c>
      <x:c r="Q298" s="5" t="str">
        <x:v>catalog와 application/evidence JSON 분리</x:v>
      </x:c>
      <x:c r="R298" s="5" t="str">
        <x:v>규칙ID 중복·누락과 파일간 집계 일치 확인</x:v>
      </x:c>
      <x:c r="S298" s="10" t="str">
        <x:v>자동</x:v>
      </x:c>
      <x:c r="T298" s="5" t="str">
        <x:v>개발·QA</x:v>
      </x:c>
      <x:c r="U298" s="5" t="str">
        <x:v>P1</x:v>
      </x:c>
      <x:c r="V298" s="10" t="str">
        <x:v>구현</x:v>
      </x:c>
      <x:c r="W298" s="5" t="str">
        <x:v>정의/적용기록/시험/실제증빙을 분리한 단일 원장에서 Excel·PPT·HTML·Help 데이터를 생성한다. 초기계획 원본은 별도 보존한다.</x:v>
      </x:c>
      <x:c r="X298" s="5" t="str">
        <x:v>scripts/build-standards.py#main
scripts/generate-reports.mjs
apps/web/src/StandardsBrowser.tsx#StandardsBrowser</x:v>
      </x:c>
      <x:c r="Y298" s="5" t="str">
        <x:v>AUTO-LEDGER
AUTO-EXPORT
E2E-HELP
SCREEN-HELP
MAN-DOC-001</x:v>
      </x:c>
      <x:c r="Z298" s="10" t="str">
        <x:v>통과</x:v>
      </x:c>
      <x:c r="AA298" s="10" t="str">
        <x:v>미실행</x:v>
      </x:c>
      <x:c r="AB298" s="5" t="str">
        <x:v>AUTO-LEDGER-2026-10-20T06-18-33-156Z
AUTO-EXPORT-2026-10-20T06-18-28-443Z
E2E-HELP-2026-10-20T06-15-00-647Z
SCREEN-HELP-2026-10-20T06-15-00-647Z</x:v>
      </x:c>
      <x:c r="AC298" s="5" t="n">
        <x:v>4</x:v>
      </x:c>
      <x:c r="AD298" s="5" t="n">
        <x:v>5</x:v>
      </x:c>
      <x:c r="AE298" s="10" t="str">
        <x:v>부분확인</x:v>
      </x:c>
      <x:c r="AF298" s="5" t="str"/>
      <x:c r="AG298" s="5" t="str"/>
      <x:c r="AH298" s="5" t="str"/>
      <x:c r="AI298" s="10" t="str">
        <x:v>입력 기준 유지</x:v>
      </x:c>
      <x:c r="AJ298" s="5" t="str">
        <x:f>IF(AND(M298="적용",V298="구현",X298&lt;&gt;"",Y298&lt;&gt;"",AB298&lt;&gt;"",AC298&gt;0,AD298&gt;0,AE298="통과",AF298="",AG298&lt;&gt;"",AH298&lt;&gt;"",OR(S298="자동",S298="수동",S298="자동+수동"),IF(OR(S298="자동",S298="자동+수동"),Z298="통과",TRUE),IF(OR(S298="수동",S298="자동+수동"),AA298="통과",TRUE)),"통과",IF(OR(Z298="실패",AA298="실패",AE298="실패"),"실패","보류"))</x:f>
        <x:v>보류</x:v>
      </x:c>
      <x:c r="AK298" s="5" t="str"/>
      <x:c r="AL298" s="5" t="str"/>
      <x:c r="AM298" s="5" t="str">
        <x:v>입력 v0.1 계획 주석은 original_plan_note에 보존. 최신 구현·시험·증빙은 연결 적용기록을 참조하며 전체 준수·인증을 주장하지 않음.</x:v>
      </x:c>
    </x:row>
    <x:row r="299" ht="39.599998474121094" hidden="0" customHeight="1">
      <x:c r="A299" s="5" t="str">
        <x:v>DOC-002</x:v>
      </x:c>
      <x:c r="B299" s="5" t="str">
        <x:v>검증·운영·보고</x:v>
      </x:c>
      <x:c r="C299" s="5" t="str">
        <x:v>보고·추적</x:v>
      </x:c>
      <x:c r="D299" s="5" t="str">
        <x:v>증빙의 재현성</x:v>
      </x:c>
      <x:c r="E299" s="5" t="str">
        <x:v>시험시각·commit·도구·명령·환경·종료코드·hash를 남긴다.</x:v>
      </x:c>
      <x:c r="F299" s="5" t="str">
        <x:v>SRC-003</x:v>
      </x:c>
      <x:c r="G299" s="5" t="str">
        <x:v>0.1</x:v>
      </x:c>
      <x:c r="H299" s="5" t="str"/>
      <x:c r="I299" s="5" t="str"/>
      <x:c r="J299" s="5" t="str">
        <x:v>사내 기준(안)</x:v>
      </x:c>
      <x:c r="K299" s="5" t="str">
        <x:v>해당없음(사내 기준)</x:v>
      </x:c>
      <x:c r="L299" s="5" t="str">
        <x:v>MUST(안)</x:v>
      </x:c>
      <x:c r="M299" s="10" t="str">
        <x:v>적용</x:v>
      </x:c>
      <x:c r="N299" s="5" t="str">
        <x:v>현재 샘플의 회사 필수 기준으로 채택 제안</x:v>
      </x:c>
      <x:c r="O299" s="5" t="str">
        <x:v>관련 기능·적용 기관·계약 변경 시 재평가</x:v>
      </x:c>
      <x:c r="P299" s="5" t="str">
        <x:v>S01~S08 / 공통</x:v>
      </x:c>
      <x:c r="Q299" s="5" t="str">
        <x:v>실제 실행별 evidence manifest 생성</x:v>
      </x:c>
      <x:c r="R299" s="5" t="str">
        <x:v>경로존재·hash·commit 일치와 실제 로그 확인</x:v>
      </x:c>
      <x:c r="S299" s="10" t="str">
        <x:v>자동+수동</x:v>
      </x:c>
      <x:c r="T299" s="5" t="str">
        <x:v>개발·QA</x:v>
      </x:c>
      <x:c r="U299" s="5" t="str">
        <x:v>P1</x:v>
      </x:c>
      <x:c r="V299" s="10" t="str">
        <x:v>구현</x:v>
      </x:c>
      <x:c r="W299" s="5" t="str">
        <x:v>실제 실행별 commit/시각/환경/명령/종료코드/결과파일SHA256/소스SHA256/도구버전을 기록하고 후속 소스변경을 검사한다. 수동검토자·화면낭독기결과는 자동생성하지 않는다.</x:v>
      </x:c>
      <x:c r="X299" s="5" t="str">
        <x:v>scripts/evidence-lib.mjs#recordArtifact
scripts/evidence-lib.mjs#sourceSnapshot
scripts/evidence-check.mjs#validateEvidence</x:v>
      </x:c>
      <x:c r="Y299" s="5" t="str">
        <x:v>AUTO-LEDGER
MAN-DOC-002</x:v>
      </x:c>
      <x:c r="Z299" s="10" t="str">
        <x:v>부분확인</x:v>
      </x:c>
      <x:c r="AA299" s="10" t="str">
        <x:v>미실행</x:v>
      </x:c>
      <x:c r="AB299" s="5" t="str">
        <x:v>AUTO-LEDGER-2026-10-20T06-18-33-156Z</x:v>
      </x:c>
      <x:c r="AC299" s="5" t="n">
        <x:v>1</x:v>
      </x:c>
      <x:c r="AD299" s="5" t="n">
        <x:v>2</x:v>
      </x:c>
      <x:c r="AE299" s="10" t="str">
        <x:v>부분확인</x:v>
      </x:c>
      <x:c r="AF299" s="5" t="str"/>
      <x:c r="AG299" s="5" t="str"/>
      <x:c r="AH299" s="5" t="str"/>
      <x:c r="AI299" s="10" t="str">
        <x:v>입력 기준 유지</x:v>
      </x:c>
      <x:c r="AJ299" s="5" t="str">
        <x:f>IF(AND(M299="적용",V299="구현",X299&lt;&gt;"",Y299&lt;&gt;"",AB299&lt;&gt;"",AC299&gt;0,AD299&gt;0,AE299="통과",AF299="",AG299&lt;&gt;"",AH299&lt;&gt;"",OR(S299="자동",S299="수동",S299="자동+수동"),IF(OR(S299="자동",S299="자동+수동"),Z299="통과",TRUE),IF(OR(S299="수동",S299="자동+수동"),AA299="통과",TRUE)),"통과",IF(OR(Z299="실패",AA299="실패",AE299="실패"),"실패","보류"))</x:f>
        <x:v>보류</x:v>
      </x:c>
      <x:c r="AK299" s="5" t="str"/>
      <x:c r="AL299" s="5" t="str"/>
      <x:c r="AM299" s="5" t="str">
        <x:v>입력 v0.1 계획 주석은 original_plan_note에 보존. 최신 구현·시험·증빙은 연결 적용기록을 참조하며 전체 준수·인증을 주장하지 않음.</x:v>
      </x:c>
    </x:row>
    <x:row r="300" ht="52.79999923706055" hidden="0" customHeight="1">
      <x:c r="A300" s="5" t="str">
        <x:v>DOC-003</x:v>
      </x:c>
      <x:c r="B300" s="5" t="str">
        <x:v>검증·운영·보고</x:v>
      </x:c>
      <x:c r="C300" s="5" t="str">
        <x:v>보고·추적</x:v>
      </x:c>
      <x:c r="D300" s="5" t="str">
        <x:v>통과의 전제조건</x:v>
      </x:c>
      <x:c r="E300" s="5" t="str">
        <x:v>구현·필요 자동/수동 시험·증빙·검토가 모두 있어야 통과다.</x:v>
      </x:c>
      <x:c r="F300" s="5" t="str">
        <x:v>SRC-003</x:v>
      </x:c>
      <x:c r="G300" s="5" t="str">
        <x:v>0.1</x:v>
      </x:c>
      <x:c r="H300" s="5" t="str"/>
      <x:c r="I300" s="5" t="str"/>
      <x:c r="J300" s="5" t="str">
        <x:v>사내 기준(안)</x:v>
      </x:c>
      <x:c r="K300" s="5" t="str">
        <x:v>해당없음(사내 기준)</x:v>
      </x:c>
      <x:c r="L300" s="5" t="str">
        <x:v>MUST(안)</x:v>
      </x:c>
      <x:c r="M300" s="10" t="str">
        <x:v>적용</x:v>
      </x:c>
      <x:c r="N300" s="5" t="str">
        <x:v>현재 샘플의 회사 필수 기준으로 채택 제안</x:v>
      </x:c>
      <x:c r="O300" s="5" t="str">
        <x:v>관련 기능·적용 기관·계약 변경 시 재평가</x:v>
      </x:c>
      <x:c r="P300" s="5" t="str">
        <x:v>S01~S08 / 공통</x:v>
      </x:c>
      <x:c r="Q300" s="5" t="str">
        <x:v>증빙 없는 PASS를 집계에서 제외</x:v>
      </x:c>
      <x:c r="R300" s="5" t="str">
        <x:v>일부 필드만 채운 상태가 통과되지 않음을 확인</x:v>
      </x:c>
      <x:c r="S300" s="10" t="str">
        <x:v>자동</x:v>
      </x:c>
      <x:c r="T300" s="5" t="str">
        <x:v>개발·QA</x:v>
      </x:c>
      <x:c r="U300" s="5" t="str">
        <x:v>P1</x:v>
      </x:c>
      <x:c r="V300" s="10" t="str">
        <x:v>구현</x:v>
      </x:c>
      <x:c r="W300" s="5" t="str">
        <x:v>필수자동/수동확인·구현·코드·시험·실제증빙·검토·편차를 전제조건으로 검사한다. 누락/미실행/부분확인/편차가 PASS를 만들지 못하는 부정시험과 Excel 편집계산 fixture를 제공한다.</x:v>
      </x:c>
      <x:c r="X300" s="5" t="str">
        <x:v>scripts/evidence-check.mjs#validateEvidence
tests/standards/ledger.test.mjs
scripts/generate-reports.mjs#formulaAt
apps/web/src/StandardsBrowser.tsx#verification</x:v>
      </x:c>
      <x:c r="Y300" s="5" t="str">
        <x:v>AUTO-LEDGER
MAN-DOC-003</x:v>
      </x:c>
      <x:c r="Z300" s="10" t="str">
        <x:v>통과</x:v>
      </x:c>
      <x:c r="AA300" s="10" t="str">
        <x:v>미실행</x:v>
      </x:c>
      <x:c r="AB300" s="5" t="str">
        <x:v>AUTO-LEDGER-2026-10-20T06-18-33-156Z</x:v>
      </x:c>
      <x:c r="AC300" s="5" t="n">
        <x:v>1</x:v>
      </x:c>
      <x:c r="AD300" s="5" t="n">
        <x:v>2</x:v>
      </x:c>
      <x:c r="AE300" s="10" t="str">
        <x:v>부분확인</x:v>
      </x:c>
      <x:c r="AF300" s="5" t="str"/>
      <x:c r="AG300" s="5" t="str"/>
      <x:c r="AH300" s="5" t="str"/>
      <x:c r="AI300" s="10" t="str">
        <x:v>입력 기준 유지</x:v>
      </x:c>
      <x:c r="AJ300" s="5" t="str">
        <x:f>IF(AND(M300="적용",V300="구현",X300&lt;&gt;"",Y300&lt;&gt;"",AB300&lt;&gt;"",AC300&gt;0,AD300&gt;0,AE300="통과",AF300="",AG300&lt;&gt;"",AH300&lt;&gt;"",OR(S300="자동",S300="수동",S300="자동+수동"),IF(OR(S300="자동",S300="자동+수동"),Z300="통과",TRUE),IF(OR(S300="수동",S300="자동+수동"),AA300="통과",TRUE)),"통과",IF(OR(Z300="실패",AA300="실패",AE300="실패"),"실패","보류"))</x:f>
        <x:v>보류</x:v>
      </x:c>
      <x:c r="AK300" s="5" t="str"/>
      <x:c r="AL300" s="5" t="str"/>
      <x:c r="AM300" s="5" t="str">
        <x:v>입력 v0.1 계획 주석은 original_plan_note에 보존. 최신 구현·시험·증빙은 연결 적용기록을 참조하며 전체 준수·인증을 주장하지 않음.</x:v>
      </x:c>
    </x:row>
    <x:row r="301" ht="39.599998474121094" hidden="0" customHeight="1">
      <x:c r="A301" s="5" t="str">
        <x:v>DOC-004</x:v>
      </x:c>
      <x:c r="B301" s="5" t="str">
        <x:v>검증·운영·보고</x:v>
      </x:c>
      <x:c r="C301" s="5" t="str">
        <x:v>보고·추적</x:v>
      </x:c>
      <x:c r="D301" s="5" t="str">
        <x:v>예외와 미실행 구분</x:v>
      </x:c>
      <x:c r="E301" s="5" t="str">
        <x:v>공식 허용 예외·회사 편차·미실행을 분리한다.</x:v>
      </x:c>
      <x:c r="F301" s="5" t="str">
        <x:v>SRC-003</x:v>
      </x:c>
      <x:c r="G301" s="5" t="str">
        <x:v>0.1</x:v>
      </x:c>
      <x:c r="H301" s="5" t="str"/>
      <x:c r="I301" s="5" t="str"/>
      <x:c r="J301" s="5" t="str">
        <x:v>사내 기준(안)</x:v>
      </x:c>
      <x:c r="K301" s="5" t="str">
        <x:v>해당없음(사내 기준)</x:v>
      </x:c>
      <x:c r="L301" s="5" t="str">
        <x:v>MUST(안)</x:v>
      </x:c>
      <x:c r="M301" s="10" t="str">
        <x:v>적용</x:v>
      </x:c>
      <x:c r="N301" s="5" t="str">
        <x:v>현재 샘플의 회사 필수 기준으로 채택 제안</x:v>
      </x:c>
      <x:c r="O301" s="5" t="str">
        <x:v>관련 기능·적용 기관·계약 변경 시 재평가</x:v>
      </x:c>
      <x:c r="P301" s="5" t="str">
        <x:v>S01~S08 / 공통</x:v>
      </x:c>
      <x:c r="Q301" s="5" t="str">
        <x:v>공식조항/조건증빙과 회사 승인/만료일 별도</x:v>
      </x:c>
      <x:c r="R301" s="5" t="str">
        <x:v>회사 승인 편차를 외부표준 PASS로 집계 금지</x:v>
      </x:c>
      <x:c r="S301" s="10" t="str">
        <x:v>수동</x:v>
      </x:c>
      <x:c r="T301" s="5" t="str">
        <x:v>개발·QA</x:v>
      </x:c>
      <x:c r="U301" s="5" t="str">
        <x:v>P1</x:v>
      </x:c>
      <x:c r="V301" s="10" t="str">
        <x:v>진행</x:v>
      </x:c>
      <x:c r="W301" s="5" t="str">
        <x:v>공식 예외와 회사 편차 필드를 분리하고 해당없음 사유/재평가조건,편차필수필드/만료를 검사한다. 실제 예외사례의 원문조건 검토와 승인 프로세스는 미실행이다.</x:v>
      </x:c>
      <x:c r="X301" s="5" t="str">
        <x:v>scripts/evidence-check.mjs#validateEvidence
standards/deviations.json
scripts/build-standards.py#main</x:v>
      </x:c>
      <x:c r="Y301" s="5" t="str">
        <x:v>AUTO-LEDGER
MAN-DOC-004</x:v>
      </x:c>
      <x:c r="Z301" s="10" t="str">
        <x:v>부분확인</x:v>
      </x:c>
      <x:c r="AA301" s="10" t="str">
        <x:v>미실행</x:v>
      </x:c>
      <x:c r="AB301" s="5" t="str">
        <x:v>AUTO-LEDGER-2026-10-20T06-18-33-156Z</x:v>
      </x:c>
      <x:c r="AC301" s="5" t="n">
        <x:v>1</x:v>
      </x:c>
      <x:c r="AD301" s="5" t="n">
        <x:v>2</x:v>
      </x:c>
      <x:c r="AE301" s="10" t="str">
        <x:v>부분확인</x:v>
      </x:c>
      <x:c r="AF301" s="5" t="str"/>
      <x:c r="AG301" s="5" t="str"/>
      <x:c r="AH301" s="5" t="str"/>
      <x:c r="AI301" s="10" t="str">
        <x:v>입력 기준 유지</x:v>
      </x:c>
      <x:c r="AJ301" s="5" t="str">
        <x:f>IF(AND(M301="적용",V301="구현",X301&lt;&gt;"",Y301&lt;&gt;"",AB301&lt;&gt;"",AC301&gt;0,AD301&gt;0,AE301="통과",AF301="",AG301&lt;&gt;"",AH301&lt;&gt;"",OR(S301="자동",S301="수동",S301="자동+수동"),IF(OR(S301="자동",S301="자동+수동"),Z301="통과",TRUE),IF(OR(S301="수동",S301="자동+수동"),AA301="통과",TRUE)),"통과",IF(OR(Z301="실패",AA301="실패",AE301="실패"),"실패","보류"))</x:f>
        <x:v>보류</x:v>
      </x:c>
      <x:c r="AK301" s="5" t="str"/>
      <x:c r="AL301" s="5" t="str"/>
      <x:c r="AM301" s="5" t="str">
        <x:v>입력 v0.1 계획 주석은 original_plan_note에 보존. 최신 구현·시험·증빙은 연결 적용기록을 참조하며 전체 준수·인증을 주장하지 않음.</x:v>
      </x:c>
    </x:row>
    <x:row r="302" ht="26.399999618530273" hidden="0" customHeight="1">
      <x:c r="A302" s="5" t="str">
        <x:v>DOC-005</x:v>
      </x:c>
      <x:c r="B302" s="5" t="str">
        <x:v>검증·운영·보고</x:v>
      </x:c>
      <x:c r="C302" s="5" t="str">
        <x:v>보고·추적</x:v>
      </x:c>
      <x:c r="D302" s="5" t="str">
        <x:v>접근 가능한 보고서</x:v>
      </x:c>
      <x:c r="E302" s="5" t="str">
        <x:v>편집 가능한 표·제목·대체텍스트·대비와 HTML 대안을 제공한다.</x:v>
      </x:c>
      <x:c r="F302" s="5" t="str">
        <x:v>SRC-003</x:v>
      </x:c>
      <x:c r="G302" s="5" t="str">
        <x:v>0.1</x:v>
      </x:c>
      <x:c r="H302" s="5" t="str"/>
      <x:c r="I302" s="5" t="str"/>
      <x:c r="J302" s="5" t="str">
        <x:v>사내 기준(안)</x:v>
      </x:c>
      <x:c r="K302" s="5" t="str">
        <x:v>해당없음(사내 기준)</x:v>
      </x:c>
      <x:c r="L302" s="5" t="str">
        <x:v>MUST(안)</x:v>
      </x:c>
      <x:c r="M302" s="10" t="str">
        <x:v>적용</x:v>
      </x:c>
      <x:c r="N302" s="5" t="str">
        <x:v>현재 샘플의 회사 필수 기준으로 채택 제안</x:v>
      </x:c>
      <x:c r="O302" s="5" t="str">
        <x:v>관련 기능·적용 기관·계약 변경 시 재평가</x:v>
      </x:c>
      <x:c r="P302" s="5" t="str">
        <x:v>S03</x:v>
      </x:c>
      <x:c r="Q302" s="5" t="str">
        <x:v>PPT native objects, Excel 헤더/필터, HTML 보고서</x:v>
      </x:c>
      <x:c r="R302" s="5" t="str">
        <x:v>읽기순서·텍스트 검색·배율·시각 QA</x:v>
      </x:c>
      <x:c r="S302" s="10" t="str">
        <x:v>수동</x:v>
      </x:c>
      <x:c r="T302" s="5" t="str">
        <x:v>개발·QA</x:v>
      </x:c>
      <x:c r="U302" s="5" t="str">
        <x:v>P1</x:v>
      </x:c>
      <x:c r="V302" s="10" t="str">
        <x:v>진행</x:v>
      </x:c>
      <x:c r="W302" s="5" t="str">
        <x:v>편집 가능한 native 표·제목의 Excel/PPT와 동등한 텍스트HTML 대안을 제공한다. 실제보조기술로 Office읽기순서·대체텍스트 전수평가는 미실행이다.</x:v>
      </x:c>
      <x:c r="X302" s="5" t="str">
        <x:v>scripts/generate-reports.mjs
apps/web/src/StandardsBrowser.tsx#StandardsBrowser</x:v>
      </x:c>
      <x:c r="Y302" s="5" t="str">
        <x:v>AUTO-DISTRIBUTION
MAN-DOC-005</x:v>
      </x:c>
      <x:c r="Z302" s="10" t="str">
        <x:v>부분확인</x:v>
      </x:c>
      <x:c r="AA302" s="10" t="str">
        <x:v>미실행</x:v>
      </x:c>
      <x:c r="AB302" s="5" t="str">
        <x:v>AUTO-DISTRIBUTION-2026-10-20T06-16-19-409Z</x:v>
      </x:c>
      <x:c r="AC302" s="5" t="n">
        <x:v>1</x:v>
      </x:c>
      <x:c r="AD302" s="5" t="n">
        <x:v>2</x:v>
      </x:c>
      <x:c r="AE302" s="10" t="str">
        <x:v>부분확인</x:v>
      </x:c>
      <x:c r="AF302" s="5" t="str"/>
      <x:c r="AG302" s="5" t="str"/>
      <x:c r="AH302" s="5" t="str"/>
      <x:c r="AI302" s="10" t="str">
        <x:v>입력 기준 유지</x:v>
      </x:c>
      <x:c r="AJ302" s="5" t="str">
        <x:f>IF(AND(M302="적용",V302="구현",X302&lt;&gt;"",Y302&lt;&gt;"",AB302&lt;&gt;"",AC302&gt;0,AD302&gt;0,AE302="통과",AF302="",AG302&lt;&gt;"",AH302&lt;&gt;"",OR(S302="자동",S302="수동",S302="자동+수동"),IF(OR(S302="자동",S302="자동+수동"),Z302="통과",TRUE),IF(OR(S302="수동",S302="자동+수동"),AA302="통과",TRUE)),"통과",IF(OR(Z302="실패",AA302="실패",AE302="실패"),"실패","보류"))</x:f>
        <x:v>보류</x:v>
      </x:c>
      <x:c r="AK302" s="5" t="str"/>
      <x:c r="AL302" s="5" t="str"/>
      <x:c r="AM302" s="5" t="str">
        <x:v>입력 v0.1 계획 주석은 original_plan_note에 보존. 최신 구현·시험·증빙은 연결 적용기록을 참조하며 전체 준수·인증을 주장하지 않음.</x:v>
      </x:c>
    </x:row>
    <x:row r="303" ht="52.79999923706055" hidden="0" customHeight="1">
      <x:c r="A303" s="5" t="str">
        <x:v>DOC-006</x:v>
      </x:c>
      <x:c r="B303" s="5" t="str">
        <x:v>검증·운영·보고</x:v>
      </x:c>
      <x:c r="C303" s="5" t="str">
        <x:v>보고·추적</x:v>
      </x:c>
      <x:c r="D303" s="5" t="str">
        <x:v>변경요약과 재사용</x:v>
      </x:c>
      <x:c r="E303" s="5" t="str">
        <x:v>표준·코드·도구설정 변경과 영향규칙을 함께 남긴다.</x:v>
      </x:c>
      <x:c r="F303" s="5" t="str">
        <x:v>SRC-003</x:v>
      </x:c>
      <x:c r="G303" s="5" t="str">
        <x:v>0.1</x:v>
      </x:c>
      <x:c r="H303" s="5" t="str"/>
      <x:c r="I303" s="5" t="str"/>
      <x:c r="J303" s="5" t="str">
        <x:v>사내 기준(안)</x:v>
      </x:c>
      <x:c r="K303" s="5" t="str">
        <x:v>해당없음(사내 기준)</x:v>
      </x:c>
      <x:c r="L303" s="5" t="str">
        <x:v>MUST(안)</x:v>
      </x:c>
      <x:c r="M303" s="10" t="str">
        <x:v>적용</x:v>
      </x:c>
      <x:c r="N303" s="5" t="str">
        <x:v>현재 샘플의 회사 필수 기준으로 채택 제안</x:v>
      </x:c>
      <x:c r="O303" s="5" t="str">
        <x:v>관련 기능·적용 기관·계약 변경 시 재평가</x:v>
      </x:c>
      <x:c r="P303" s="5" t="str">
        <x:v>S01~S08 / 공통</x:v>
      </x:c>
      <x:c r="Q303" s="5" t="str">
        <x:v>CHANGE_SUMMARY와 ADR, 회사 템플릿 분리</x:v>
      </x:c>
      <x:c r="R303" s="5" t="str">
        <x:v>새 프로젝트가 동일 기준을 재현하는지 검토</x:v>
      </x:c>
      <x:c r="S303" s="10" t="str">
        <x:v>수동</x:v>
      </x:c>
      <x:c r="T303" s="5" t="str">
        <x:v>개발·QA</x:v>
      </x:c>
      <x:c r="U303" s="5" t="str">
        <x:v>P1</x:v>
      </x:c>
      <x:c r="V303" s="10" t="str">
        <x:v>구현</x:v>
      </x:c>
      <x:c r="W303" s="5" t="str">
        <x:v>변경요약/ADR/언어별프로파일과 재생성명령을 제공해 새 프로젝트에서 기준·코드·증빙 재사용이 가능하다. 회사 정식승인과 신규환경 인수는 별도이다.</x:v>
      </x:c>
      <x:c r="X303" s="5" t="str">
        <x:v>CHANGE_SUMMARY.md
docs/ADR/0001-local-stack-and-evidence.md
standards/profiles/common.json
scripts/build-standards.py#main</x:v>
      </x:c>
      <x:c r="Y303" s="5" t="str">
        <x:v>E2E-HELP
SCREEN-HELP
MAN-DOC-006</x:v>
      </x:c>
      <x:c r="Z303" s="10" t="str">
        <x:v>부분확인</x:v>
      </x:c>
      <x:c r="AA303" s="10" t="str">
        <x:v>미실행</x:v>
      </x:c>
      <x:c r="AB303" s="5" t="str">
        <x:v>E2E-HELP-2026-10-20T06-15-00-647Z
SCREEN-HELP-2026-10-20T06-15-00-647Z</x:v>
      </x:c>
      <x:c r="AC303" s="5" t="n">
        <x:v>2</x:v>
      </x:c>
      <x:c r="AD303" s="5" t="n">
        <x:v>3</x:v>
      </x:c>
      <x:c r="AE303" s="10" t="str">
        <x:v>부분확인</x:v>
      </x:c>
      <x:c r="AF303" s="5" t="str"/>
      <x:c r="AG303" s="5" t="str"/>
      <x:c r="AH303" s="5" t="str"/>
      <x:c r="AI303" s="10" t="str">
        <x:v>입력 기준 유지</x:v>
      </x:c>
      <x:c r="AJ303" s="5" t="str">
        <x:f>IF(AND(M303="적용",V303="구현",X303&lt;&gt;"",Y303&lt;&gt;"",AB303&lt;&gt;"",AC303&gt;0,AD303&gt;0,AE303="통과",AF303="",AG303&lt;&gt;"",AH303&lt;&gt;"",OR(S303="자동",S303="수동",S303="자동+수동"),IF(OR(S303="자동",S303="자동+수동"),Z303="통과",TRUE),IF(OR(S303="수동",S303="자동+수동"),AA303="통과",TRUE)),"통과",IF(OR(Z303="실패",AA303="실패",AE303="실패"),"실패","보류"))</x:f>
        <x:v>보류</x:v>
      </x:c>
      <x:c r="AK303" s="5" t="str"/>
      <x:c r="AL303" s="5" t="str"/>
      <x:c r="AM303" s="5" t="str">
        <x:v>입력 v0.1 계획 주석은 original_plan_note에 보존. 최신 구현·시험·증빙은 연결 적용기록을 참조하며 전체 준수·인증을 주장하지 않음.</x:v>
      </x:c>
    </x:row>
  </x:sheetData>
  <x:conditionalFormatting sqref="M7:M303">
    <x:cfRule type="containsText" dxfId="0" priority="1" operator="containsText" text="실패"/>
    <x:cfRule type="containsText" dxfId="1" priority="2" operator="containsText" text="미실행"/>
    <x:cfRule type="containsText" dxfId="2" priority="3" operator="containsText" text="확인필요"/>
    <x:cfRule type="containsText" dxfId="3" priority="4" operator="containsText" text="부분확인"/>
    <x:cfRule type="containsText" dxfId="4" priority="5" operator="containsText" text="보류"/>
  </x:conditionalFormatting>
  <x:conditionalFormatting sqref="V7:V303">
    <x:cfRule type="containsText" dxfId="5" priority="6" operator="containsText" text="실패"/>
    <x:cfRule type="containsText" dxfId="6" priority="7" operator="containsText" text="미실행"/>
    <x:cfRule type="containsText" dxfId="7" priority="8" operator="containsText" text="확인필요"/>
    <x:cfRule type="containsText" dxfId="8" priority="9" operator="containsText" text="부분확인"/>
    <x:cfRule type="containsText" dxfId="9" priority="10" operator="containsText" text="보류"/>
  </x:conditionalFormatting>
  <x:conditionalFormatting sqref="Z7:Z303">
    <x:cfRule type="containsText" dxfId="10" priority="11" operator="containsText" text="실패"/>
    <x:cfRule type="containsText" dxfId="11" priority="12" operator="containsText" text="미실행"/>
    <x:cfRule type="containsText" dxfId="12" priority="13" operator="containsText" text="확인필요"/>
    <x:cfRule type="containsText" dxfId="13" priority="14" operator="containsText" text="부분확인"/>
    <x:cfRule type="containsText" dxfId="14" priority="15" operator="containsText" text="보류"/>
  </x:conditionalFormatting>
  <x:conditionalFormatting sqref="AA7:AA303">
    <x:cfRule type="containsText" dxfId="15" priority="16" operator="containsText" text="실패"/>
    <x:cfRule type="containsText" dxfId="16" priority="17" operator="containsText" text="미실행"/>
    <x:cfRule type="containsText" dxfId="17" priority="18" operator="containsText" text="확인필요"/>
    <x:cfRule type="containsText" dxfId="18" priority="19" operator="containsText" text="부분확인"/>
    <x:cfRule type="containsText" dxfId="19" priority="20" operator="containsText" text="보류"/>
  </x:conditionalFormatting>
  <x:conditionalFormatting sqref="AE7:AE303">
    <x:cfRule type="containsText" dxfId="20" priority="21" operator="containsText" text="실패"/>
    <x:cfRule type="containsText" dxfId="21" priority="22" operator="containsText" text="미실행"/>
    <x:cfRule type="containsText" dxfId="22" priority="23" operator="containsText" text="확인필요"/>
    <x:cfRule type="containsText" dxfId="23" priority="24" operator="containsText" text="부분확인"/>
    <x:cfRule type="containsText" dxfId="24" priority="25" operator="containsText" text="보류"/>
  </x:conditionalFormatting>
  <x:conditionalFormatting sqref="S7:S303">
    <x:cfRule type="containsText" dxfId="25" priority="26" operator="containsText" text="실패"/>
    <x:cfRule type="containsText" dxfId="26" priority="27" operator="containsText" text="미실행"/>
    <x:cfRule type="containsText" dxfId="27" priority="28" operator="containsText" text="확인필요"/>
    <x:cfRule type="containsText" dxfId="28" priority="29" operator="containsText" text="부분확인"/>
    <x:cfRule type="containsText" dxfId="29" priority="30" operator="containsText" text="보류"/>
  </x:conditionalFormatting>
  <x:conditionalFormatting sqref="AI7:AI303">
    <x:cfRule type="containsText" dxfId="30" priority="31" operator="containsText" text="실패"/>
    <x:cfRule type="containsText" dxfId="31" priority="32" operator="containsText" text="미실행"/>
    <x:cfRule type="containsText" dxfId="32" priority="33" operator="containsText" text="확인필요"/>
    <x:cfRule type="containsText" dxfId="33" priority="34" operator="containsText" text="부분확인"/>
    <x:cfRule type="containsText" dxfId="34" priority="35" operator="containsText" text="보류"/>
  </x:conditionalFormatting>
  <x:conditionalFormatting sqref="AJ7:AJ303">
    <x:cfRule type="containsText" dxfId="35" priority="36" operator="containsText" text="실패"/>
    <x:cfRule type="containsText" dxfId="36" priority="37" operator="containsText" text="미실행"/>
    <x:cfRule type="containsText" dxfId="37" priority="38" operator="containsText" text="확인필요"/>
    <x:cfRule type="containsText" dxfId="38" priority="39" operator="containsText" text="부분확인"/>
    <x:cfRule type="containsText" dxfId="39" priority="40" operator="containsText" text="보류"/>
  </x:conditionalFormatting>
  <x:dataValidations count="7">
    <x:dataValidation type="list" sqref="M7:M303">
      <x:formula1>"적용,조건부,해당없음,확인필요"</x:formula1>
    </x:dataValidation>
    <x:dataValidation type="list" sqref="V7:V303">
      <x:formula1>"계획,진행,구현,예외,해당없음"</x:formula1>
    </x:dataValidation>
    <x:dataValidation type="list" sqref="Z7:Z303">
      <x:formula1>"미실행,통과,실패,부분확인,해당없음"</x:formula1>
    </x:dataValidation>
    <x:dataValidation type="list" sqref="AA7:AA303">
      <x:formula1>"미실행,통과,실패,부분확인,해당없음"</x:formula1>
    </x:dataValidation>
    <x:dataValidation type="list" sqref="AE7:AE303">
      <x:formula1>"미실행,통과,실패,부분확인,해당없음"</x:formula1>
    </x:dataValidation>
    <x:dataValidation type="list" sqref="S7:S303">
      <x:formula1>"자동,수동,자동+수동"</x:formula1>
    </x:dataValidation>
    <x:dataValidation type="list" sqref="AI7:AI303">
      <x:formula1>"확인,재확인필요,미확인"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7db46d21354d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7" hidden="0" customWidth="1"/>
    <x:col min="4" max="4" width="46" hidden="0" customWidth="1"/>
    <x:col min="5" max="5" width="40" hidden="0" customWidth="1"/>
    <x:col min="6" max="6" width="75" hidden="0" customWidth="1"/>
    <x:col min="7" max="7" width="65" hidden="0" customWidth="1"/>
    <x:col min="8" max="8" width="45" hidden="0" customWidth="1"/>
    <x:col min="9" max="9" width="17" hidden="0" customWidth="1"/>
    <x:col min="10" max="10" width="68" hidden="0" customWidth="1"/>
    <x:col min="11" max="11" width="50" hidden="0" customWidth="1"/>
    <x:col min="12" max="12" width="20" hidden="0" customWidth="1"/>
    <x:col min="13" max="13" width="26" hidden="0" customWidth="1"/>
  </x:cols>
  <x:sheetData>
    <x:row r="2">
      <x:c r="A2" s="1" t="str">
        <x:v>자동·수동 시험과 접근성 과업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 t="str">
        <x:v>원본 15개 대표과업 보존. 실제 실행한 개별 시험과 미실행 수동 절차를 구분합니다.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6" ht="42" customHeight="1">
      <x:c r="A6" s="9" t="str">
        <x:v>시험 ID</x:v>
      </x:c>
      <x:c r="B6" s="9" t="str">
        <x:v>유형</x:v>
      </x:c>
      <x:c r="C6" s="9" t="str">
        <x:v>사용 조건</x:v>
      </x:c>
      <x:c r="D6" s="9" t="str">
        <x:v>시험명</x:v>
      </x:c>
      <x:c r="E6" s="9" t="str">
        <x:v>연결 규칙</x:v>
      </x:c>
      <x:c r="F6" s="9" t="str">
        <x:v>절차</x:v>
      </x:c>
      <x:c r="G6" s="9" t="str">
        <x:v>예상 결과</x:v>
      </x:c>
      <x:c r="H6" s="9" t="str">
        <x:v>환경·보조기술</x:v>
      </x:c>
      <x:c r="I6" s="9" t="str">
        <x:v>판정</x:v>
      </x:c>
      <x:c r="J6" s="9" t="str">
        <x:v>실제 관찰</x:v>
      </x:c>
      <x:c r="K6" s="9" t="str">
        <x:v>증빙 ID</x:v>
      </x:c>
      <x:c r="L6" s="9" t="str">
        <x:v>검사자</x:v>
      </x:c>
      <x:c r="M6" s="9" t="str">
        <x:v>실행 시각</x:v>
      </x:c>
    </x:row>
    <x:row r="7" ht="39.599998474121094" hidden="0" customHeight="1">
      <x:c r="A7" s="5" t="str">
        <x:v>MAN-GOV-001</x:v>
      </x:c>
      <x:c r="B7" s="5" t="str">
        <x:v>수동</x:v>
      </x:c>
      <x:c r="C7" s="5" t="str"/>
      <x:c r="D7" s="5" t="str">
        <x:v>GOV-001 출처·버전 고정</x:v>
      </x:c>
      <x:c r="E7" s="5" t="str">
        <x:v>GOV-001</x:v>
      </x:c>
      <x:c r="F7" s="5" t="str">
        <x:v>1. 원문 SRC-007 세부 조항 직접 인용 아님 / 쪽과 적용조건을 확인한다. 2. S01~S08 / 공통의 일반사용자·관리자 및 기본/오류/로딩/완료/모바일 상태 중 관련 범위를 열어 확인한다. 3. 원문과 카탈로그 버전·링크·페이지를 대조한다.. 4. 미검사 범위와 실제 환경·검사자·관찰·증빙을 기록한다.</x:v>
      </x:c>
      <x:c r="G7" s="5" t="str">
        <x:v>표준명·발행처·판본·참조일·적용대상과 원문 위치를 기록한다. 구체화: standards/catalog.json 및 SOURCES.md에 관리하고 수정 시 변경이력을 남긴다.</x:v>
      </x:c>
      <x:c r="H7" s="5" t="str">
        <x:v>원문 검토 + 실제 브라우저/필요 AT. NVDA·TalkBack·VoiceOver는 확보한 실제 조합만 기록</x:v>
      </x:c>
      <x:c r="I7" s="5" t="str">
        <x:v>미실행</x:v>
      </x:c>
      <x:c r="J7" s="5" t="str">
        <x:v>사람의 평가/원문등급 판정을 자동 생성하지 않음</x:v>
      </x:c>
      <x:c r="K7" s="5" t="str"/>
      <x:c r="L7" s="5" t="str"/>
      <x:c r="M7" s="5" t="str"/>
    </x:row>
    <x:row r="8" ht="39.599998474121094" hidden="0" customHeight="1">
      <x:c r="A8" s="5" t="str">
        <x:v>MAN-GOV-002</x:v>
      </x:c>
      <x:c r="B8" s="5" t="str">
        <x:v>수동</x:v>
      </x:c>
      <x:c r="C8" s="5" t="str"/>
      <x:c r="D8" s="5" t="str">
        <x:v>GOV-002 적용성·의무수준 분리</x:v>
      </x:c>
      <x:c r="E8" s="5" t="str">
        <x:v>GOV-002</x:v>
      </x:c>
      <x:c r="F8" s="5" t="str">
        <x:v>1. 원문 SRC-003 세부 조항 직접 인용 아님 / 쪽과 적용조건을 확인한다. 2. S01~S08 / 공통의 일반사용자·관리자 및 기본/오류/로딩/완료/모바일 상태 중 관련 범위를 열어 확인한다. 3. 적용/조건부/해당없음/확인필요에 근거가 있는지 검토한다.. 4. 미검사 범위와 실제 환경·검사자·관찰·증빙을 기록한다.</x:v>
      </x:c>
      <x:c r="G8" s="5" t="str">
        <x:v>법령·계약 요구, 외부 표준 권고, 사내 MUST/SHOULD를 구분한다. 구체화: 각 규칙에 근거성격, 의무수준, 언어/기능 조건, 적용여부를 둔다.</x:v>
      </x:c>
      <x:c r="H8" s="5" t="str">
        <x:v>원문 검토 + 실제 브라우저/필요 AT. NVDA·TalkBack·VoiceOver는 확보한 실제 조합만 기록</x:v>
      </x:c>
      <x:c r="I8" s="5" t="str">
        <x:v>미실행</x:v>
      </x:c>
      <x:c r="J8" s="5" t="str">
        <x:v>사람의 평가/원문등급 판정을 자동 생성하지 않음</x:v>
      </x:c>
      <x:c r="K8" s="5" t="str"/>
      <x:c r="L8" s="5" t="str"/>
      <x:c r="M8" s="5" t="str"/>
    </x:row>
    <x:row r="9" ht="39.599998474121094" hidden="0" customHeight="1">
      <x:c r="A9" s="5" t="str">
        <x:v>MAN-GOV-003</x:v>
      </x:c>
      <x:c r="B9" s="5" t="str">
        <x:v>수동</x:v>
      </x:c>
      <x:c r="C9" s="5" t="str"/>
      <x:c r="D9" s="5" t="str">
        <x:v>GOV-003 예외 승인</x:v>
      </x:c>
      <x:c r="E9" s="5" t="str">
        <x:v>GOV-003</x:v>
      </x:c>
      <x:c r="F9" s="5" t="str">
        <x:v>1. 원문 SRC-007 세부 조항 직접 인용 아님 / 쪽과 적용조건을 확인한다. 2. S01~S08 / 공통의 일반사용자·관리자 및 기본/오류/로딩/완료/모바일 상태 중 관련 범위를 열어 확인한다. 3. 기한 만료·사유 누락·광범위한 무근거 suppression을 실패 처리한다.. 4. 미검사 범위와 실제 환경·검사자·관찰·증빙을 기록한다.</x:v>
      </x:c>
      <x:c r="G9" s="5" t="str">
        <x:v>예외 사유·위험·대체통제·승인자·만료일을 기록한다. 구체화: deviations.json과 CI의 승인된 예외만 연결한다. 도구 오탐도 별도 판정한다.</x:v>
      </x:c>
      <x:c r="H9" s="5" t="str">
        <x:v>원문 검토 + 실제 브라우저/필요 AT. NVDA·TalkBack·VoiceOver는 확보한 실제 조합만 기록</x:v>
      </x:c>
      <x:c r="I9" s="5" t="str">
        <x:v>미실행</x:v>
      </x:c>
      <x:c r="J9" s="5" t="str">
        <x:v>사람의 평가/원문등급 판정을 자동 생성하지 않음</x:v>
      </x:c>
      <x:c r="K9" s="5" t="str"/>
      <x:c r="L9" s="5" t="str"/>
      <x:c r="M9" s="5" t="str"/>
    </x:row>
    <x:row r="10" ht="39.599998474121094" hidden="0" customHeight="1">
      <x:c r="A10" s="5" t="str">
        <x:v>MAN-GOV-004</x:v>
      </x:c>
      <x:c r="B10" s="5" t="str">
        <x:v>수동</x:v>
      </x:c>
      <x:c r="C10" s="5" t="str"/>
      <x:c r="D10" s="5" t="str">
        <x:v>GOV-004 요구사항 추적</x:v>
      </x:c>
      <x:c r="E10" s="5" t="str">
        <x:v>GOV-004</x:v>
      </x:c>
      <x:c r="F10" s="5" t="str">
        <x:v>1. 원문 SRC-003 세부 조항 직접 인용 아님 / 쪽과 적용조건을 확인한다. 2. S01~S08 / 공통의 일반사용자·관리자 및 기본/오류/로딩/완료/모바일 상태 중 관련 범위를 열어 확인한다. 3. Excel과 보고서의 동일 ID 및 깨진 경로를 검사한다.. 4. 미검사 범위와 실제 환경·검사자·관찰·증빙을 기록한다.</x:v>
      </x:c>
      <x:c r="G10" s="5" t="str">
        <x:v>표준 ID에서 화면·코드·테스트·증빙까지 추적한다. 구체화: 표준-기능-컴포넌트-파일경로-시험ID-증빙ID 매핑을 한 원장으로 관리한다.</x:v>
      </x:c>
      <x:c r="H10" s="5" t="str">
        <x:v>원문 검토 + 실제 브라우저/필요 AT. NVDA·TalkBack·VoiceOver는 확보한 실제 조합만 기록</x:v>
      </x:c>
      <x:c r="I10" s="5" t="str">
        <x:v>미실행</x:v>
      </x:c>
      <x:c r="J10" s="5" t="str">
        <x:v>사람의 평가/원문등급 판정을 자동 생성하지 않음</x:v>
      </x:c>
      <x:c r="K10" s="5" t="str"/>
      <x:c r="L10" s="5" t="str"/>
      <x:c r="M10" s="5" t="str"/>
    </x:row>
    <x:row r="11" ht="39.599998474121094" hidden="0" customHeight="1">
      <x:c r="A11" s="5" t="str">
        <x:v>MAN-GOV-005</x:v>
      </x:c>
      <x:c r="B11" s="5" t="str">
        <x:v>수동</x:v>
      </x:c>
      <x:c r="C11" s="5" t="str"/>
      <x:c r="D11" s="5" t="str">
        <x:v>GOV-005 리뷰·변경관리</x:v>
      </x:c>
      <x:c r="E11" s="5" t="str">
        <x:v>GOV-005</x:v>
      </x:c>
      <x:c r="F11" s="5" t="str">
        <x:v>1. 원문 SRC-007 세부 조항 직접 인용 아님 / 쪽과 적용조건을 확인한다. 2. S01, S05의 일반사용자·관리자 및 기본/오류/로딩/완료/모바일 상태 중 관련 범위를 열어 확인한다. 3. 리뷰 기록과 변경된 기준 파일을 대조한다.. 4. 미검사 범위와 실제 환경·검사자·관찰·증빙을 기록한다.</x:v>
      </x:c>
      <x:c r="G11" s="5" t="str">
        <x:v>위험도에 따라 리뷰하고 표준·코드·검사설정 변경을 함께 검토한다. 구체화: PR 템플릿에 영향규칙·검증·예외를 넣고 인증·권한 변경은 지정 검토자가 확인한다.</x:v>
      </x:c>
      <x:c r="H11" s="5" t="str">
        <x:v>원문 검토 + 실제 브라우저/필요 AT. NVDA·TalkBack·VoiceOver는 확보한 실제 조합만 기록</x:v>
      </x:c>
      <x:c r="I11" s="5" t="str">
        <x:v>미실행</x:v>
      </x:c>
      <x:c r="J11" s="5" t="str">
        <x:v>사람의 평가/원문등급 판정을 자동 생성하지 않음</x:v>
      </x:c>
      <x:c r="K11" s="5" t="str"/>
      <x:c r="L11" s="5" t="str"/>
      <x:c r="M11" s="5" t="str"/>
    </x:row>
    <x:row r="12" ht="39.599998474121094" hidden="0" customHeight="1">
      <x:c r="A12" s="5" t="str">
        <x:v>MAN-GOV-006</x:v>
      </x:c>
      <x:c r="B12" s="5" t="str">
        <x:v>수동</x:v>
      </x:c>
      <x:c r="C12" s="5" t="str"/>
      <x:c r="D12" s="5" t="str">
        <x:v>GOV-006 재현 가능한 빌드</x:v>
      </x:c>
      <x:c r="E12" s="5" t="str">
        <x:v>GOV-006</x:v>
      </x:c>
      <x:c r="F12" s="5" t="str">
        <x:v>1. 원문 SRC-007 세부 조항 직접 인용 아님 / 쪽과 적용조건을 확인한다. 2. S01~S08 / 공통의 일반사용자·관리자 및 기본/오류/로딩/완료/모바일 상태 중 관련 범위를 열어 확인한다. 3. 새 작업 디렉터리에서 잠금파일을 이용해 복원·빌드한다.. 4. 미검사 범위와 실제 환경·검사자·관찰·증빙을 기록한다.</x:v>
      </x:c>
      <x:c r="G12" s="5" t="str">
        <x:v>SDK·패키지·도구 버전을 고정하고 깨끗한 환경에서 빌드한다. 구체화: global.json, 패키지 잠금파일, CI 런타임 버전과 실행명령을 기록한다.</x:v>
      </x:c>
      <x:c r="H12" s="5" t="str">
        <x:v>원문 검토 + 실제 브라우저/필요 AT. NVDA·TalkBack·VoiceOver는 확보한 실제 조합만 기록</x:v>
      </x:c>
      <x:c r="I12" s="5" t="str">
        <x:v>미실행</x:v>
      </x:c>
      <x:c r="J12" s="5" t="str">
        <x:v>사람의 평가/원문등급 판정을 자동 생성하지 않음</x:v>
      </x:c>
      <x:c r="K12" s="5" t="str"/>
      <x:c r="L12" s="5" t="str"/>
      <x:c r="M12" s="5" t="str"/>
    </x:row>
    <x:row r="13" ht="39.599998474121094" hidden="0" customHeight="1">
      <x:c r="A13" s="5" t="str">
        <x:v>MAN-GOV-007</x:v>
      </x:c>
      <x:c r="B13" s="5" t="str">
        <x:v>수동</x:v>
      </x:c>
      <x:c r="C13" s="5" t="str"/>
      <x:c r="D13" s="5" t="str">
        <x:v>GOV-007 검증 상태의 진실성</x:v>
      </x:c>
      <x:c r="E13" s="5" t="str">
        <x:v>GOV-007</x:v>
      </x:c>
      <x:c r="F13" s="5" t="str">
        <x:v>1. 원문 SRC-003 세부 조항 직접 인용 아님 / 쪽과 적용조건을 확인한다. 2. S01~S08 / 공통의 일반사용자·관리자 및 기본/오류/로딩/완료/모바일 상태 중 관련 범위를 열어 확인한다. 3. 통과 항목에 실제 증빙이 있는지와 수동시험의 검사자 기록을 확인한다.. 4. 미검사 범위와 실제 환경·검사자·관찰·증빙을 기록한다.</x:v>
      </x:c>
      <x:c r="G13" s="5" t="str">
        <x:v>미실행을 성공으로 기록하지 않고 자동·수동 검증을 구별한다. 구체화: 실행시각·commit·환경·도구버전·명령·종료코드·원시결과를 보존한다.</x:v>
      </x:c>
      <x:c r="H13" s="5" t="str">
        <x:v>원문 검토 + 실제 브라우저/필요 AT. NVDA·TalkBack·VoiceOver는 확보한 실제 조합만 기록</x:v>
      </x:c>
      <x:c r="I13" s="5" t="str">
        <x:v>미실행</x:v>
      </x:c>
      <x:c r="J13" s="5" t="str">
        <x:v>사람의 평가/원문등급 판정을 자동 생성하지 않음</x:v>
      </x:c>
      <x:c r="K13" s="5" t="str"/>
      <x:c r="L13" s="5" t="str"/>
      <x:c r="M13" s="5" t="str"/>
    </x:row>
    <x:row r="14" ht="39.599998474121094" hidden="0" customHeight="1">
      <x:c r="A14" s="5" t="str">
        <x:v>MAN-GOV-008</x:v>
      </x:c>
      <x:c r="B14" s="5" t="str">
        <x:v>수동</x:v>
      </x:c>
      <x:c r="C14" s="5" t="str"/>
      <x:c r="D14" s="5" t="str">
        <x:v>GOV-008 취약점 후속조치</x:v>
      </x:c>
      <x:c r="E14" s="5" t="str">
        <x:v>GOV-008</x:v>
      </x:c>
      <x:c r="F14" s="5" t="str">
        <x:v>1. 원문 SRC-007 세부 조항 직접 인용 아님 / 쪽과 적용조건을 확인한다. 2. S01~S08 / 공통의 일반사용자·관리자 및 기본/오류/로딩/완료/모바일 상태 중 관련 범위를 열어 확인한다. 3. 미해결 위험 목록과 수정 후 재실행 결과를 대조한다.. 4. 미검사 범위와 실제 환경·검사자·관찰·증빙을 기록한다.</x:v>
      </x:c>
      <x:c r="G14" s="5" t="str">
        <x:v>발견·판정·수정·재검증·릴리스까지 취약점 상태를 관리한다. 구체화: 심각도별 대응기한은 사내 승인값으로 두고 예외에는 대체통제를 명시한다.</x:v>
      </x:c>
      <x:c r="H14" s="5" t="str">
        <x:v>원문 검토 + 실제 브라우저/필요 AT. NVDA·TalkBack·VoiceOver는 확보한 실제 조합만 기록</x:v>
      </x:c>
      <x:c r="I14" s="5" t="str">
        <x:v>미실행</x:v>
      </x:c>
      <x:c r="J14" s="5" t="str">
        <x:v>사람의 평가/원문등급 판정을 자동 생성하지 않음</x:v>
      </x:c>
      <x:c r="K14" s="5" t="str"/>
      <x:c r="L14" s="5" t="str"/>
      <x:c r="M14" s="5" t="str"/>
    </x:row>
    <x:row r="15" ht="39.599998474121094" hidden="0" customHeight="1">
      <x:c r="A15" s="5" t="str">
        <x:v>MAN-COD-001</x:v>
      </x:c>
      <x:c r="B15" s="5" t="str">
        <x:v>수동</x:v>
      </x:c>
      <x:c r="C15" s="5" t="str"/>
      <x:c r="D15" s="5" t="str">
        <x:v>COD-001 엄격한 타입 검사</x:v>
      </x:c>
      <x:c r="E15" s="5" t="str">
        <x:v>COD-001</x:v>
      </x:c>
      <x:c r="F15" s="5" t="str">
        <x:v>1. 원문 SRC-008 세부 조항 직접 인용 아님 / 쪽과 적용조건을 확인한다. 2. S05의 일반사용자·관리자 및 기본/오류/로딩/완료/모바일 상태 중 관련 범위를 열어 확인한다. 3. tsc --noEmit 및 타입 린트 결과를 저장한다.. 4. 미검사 범위와 실제 환경·검사자·관찰·증빙을 기록한다.</x:v>
      </x:c>
      <x:c r="G15" s="5" t="str">
        <x:v>TypeScript strict를 적용하고 타입 우회를 제한한다. 구체화: strict=true, 경계 입력은 unknown으로 받아 검증 후 좁힌다. any·ts-ignore에는 근거를 요구한다.</x:v>
      </x:c>
      <x:c r="H15" s="5" t="str">
        <x:v>원문 검토 + 실제 브라우저/필요 AT. NVDA·TalkBack·VoiceOver는 확보한 실제 조합만 기록</x:v>
      </x:c>
      <x:c r="I15" s="5" t="str">
        <x:v>미실행</x:v>
      </x:c>
      <x:c r="J15" s="5" t="str">
        <x:v>사람의 평가/원문등급 판정을 자동 생성하지 않음</x:v>
      </x:c>
      <x:c r="K15" s="5" t="str"/>
      <x:c r="L15" s="5" t="str"/>
      <x:c r="M15" s="5" t="str"/>
    </x:row>
    <x:row r="16" ht="39.599998474121094" hidden="0" customHeight="1">
      <x:c r="A16" s="5" t="str">
        <x:v>MAN-COD-002</x:v>
      </x:c>
      <x:c r="B16" s="5" t="str">
        <x:v>수동</x:v>
      </x:c>
      <x:c r="C16" s="5" t="str"/>
      <x:c r="D16" s="5" t="str">
        <x:v>COD-002 명명 규칙</x:v>
      </x:c>
      <x:c r="E16" s="5" t="str">
        <x:v>COD-002</x:v>
      </x:c>
      <x:c r="F16" s="5" t="str">
        <x:v>1. 원문 SRC-003 세부 조항 직접 인용 아님 / 쪽과 적용조건을 확인한다. 2. S01~S08 / 공통의 일반사용자·관리자 및 기본/오류/로딩/완료/모바일 상태 중 관련 범위를 열어 확인한다. 3. 린터·에디터 설정과 코드 표본을 확인한다.. 4. 미검사 범위와 실제 환경·검사자·관찰·증빙을 기록한다.</x:v>
      </x:c>
      <x:c r="G16" s="5" t="str">
        <x:v>언어별 명명법과 파일·폴더 규칙을 고정한다. 구체화: TS 컴포넌트/타입 PascalCase, 변수/함수 camelCase. C#은 별도 언어 프로파일을 사용한다.</x:v>
      </x:c>
      <x:c r="H16" s="5" t="str">
        <x:v>원문 검토 + 실제 브라우저/필요 AT. NVDA·TalkBack·VoiceOver는 확보한 실제 조합만 기록</x:v>
      </x:c>
      <x:c r="I16" s="5" t="str">
        <x:v>미실행</x:v>
      </x:c>
      <x:c r="J16" s="5" t="str">
        <x:v>사람의 평가/원문등급 판정을 자동 생성하지 않음</x:v>
      </x:c>
      <x:c r="K16" s="5" t="str"/>
      <x:c r="L16" s="5" t="str"/>
      <x:c r="M16" s="5" t="str"/>
    </x:row>
    <x:row r="17" ht="39.599998474121094" hidden="0" customHeight="1">
      <x:c r="A17" s="5" t="str">
        <x:v>MAN-COD-003</x:v>
      </x:c>
      <x:c r="B17" s="5" t="str">
        <x:v>수동</x:v>
      </x:c>
      <x:c r="C17" s="5" t="str"/>
      <x:c r="D17" s="5" t="str">
        <x:v>COD-003 서식 자동화</x:v>
      </x:c>
      <x:c r="E17" s="5" t="str">
        <x:v>COD-003</x:v>
      </x:c>
      <x:c r="F17" s="5" t="str">
        <x:v>1. 원문 SRC-003 세부 조항 직접 인용 아님 / 쪽과 적용조건을 확인한다. 2. S01~S08 / 공통의 일반사용자·관리자 및 기본/오류/로딩/완료/모바일 상태 중 관련 범위를 열어 확인한다. 3. 재포맷 변경이 없는지 확인한다.. 4. 미검사 범위와 실제 환경·검사자·관찰·증빙을 기록한다.</x:v>
      </x:c>
      <x:c r="G17" s="5" t="str">
        <x:v>들여쓰기·개행·인코딩·공백을 자동 통일한다. 구체화: EditorConfig와 formatter를 커밋하고 CI에서 format check를 실행한다.</x:v>
      </x:c>
      <x:c r="H17" s="5" t="str">
        <x:v>원문 검토 + 실제 브라우저/필요 AT. NVDA·TalkBack·VoiceOver는 확보한 실제 조합만 기록</x:v>
      </x:c>
      <x:c r="I17" s="5" t="str">
        <x:v>미실행</x:v>
      </x:c>
      <x:c r="J17" s="5" t="str">
        <x:v>사람의 평가/원문등급 판정을 자동 생성하지 않음</x:v>
      </x:c>
      <x:c r="K17" s="5" t="str"/>
      <x:c r="L17" s="5" t="str"/>
      <x:c r="M17" s="5" t="str"/>
    </x:row>
    <x:row r="18" ht="39.599998474121094" hidden="0" customHeight="1">
      <x:c r="A18" s="5" t="str">
        <x:v>MAN-COD-004</x:v>
      </x:c>
      <x:c r="B18" s="5" t="str">
        <x:v>수동</x:v>
      </x:c>
      <x:c r="C18" s="5" t="str"/>
      <x:c r="D18" s="5" t="str">
        <x:v>COD-004 API 계약</x:v>
      </x:c>
      <x:c r="E18" s="5" t="str">
        <x:v>COD-004</x:v>
      </x:c>
      <x:c r="F18" s="5" t="str">
        <x:v>1. 원문 SRC-009 세부 조항 직접 인용 아님 / 쪽과 적용조건을 확인한다. 2. S05의 일반사용자·관리자 및 기본/오류/로딩/완료/모바일 상태 중 관련 범위를 열어 확인한다. 3. 계약시험 및 누락/추가 필드/잘못된 타입 거부시험을 실행한다.. 4. 미검사 범위와 실제 환경·검사자·관찰·증빙을 기록한다.</x:v>
      </x:c>
      <x:c r="G18" s="5" t="str">
        <x:v>요청·응답 DTO와 오류 구조를 명시하고 프런트·서버 계약을 검증한다. 구체화: OpenAPI와 런타임 스키마를 사용하고 허용 입력 필드만 바인딩한다.</x:v>
      </x:c>
      <x:c r="H18" s="5" t="str">
        <x:v>원문 검토 + 실제 브라우저/필요 AT. NVDA·TalkBack·VoiceOver는 확보한 실제 조합만 기록</x:v>
      </x:c>
      <x:c r="I18" s="5" t="str">
        <x:v>미실행</x:v>
      </x:c>
      <x:c r="J18" s="5" t="str">
        <x:v>사람의 평가/원문등급 판정을 자동 생성하지 않음</x:v>
      </x:c>
      <x:c r="K18" s="5" t="str"/>
      <x:c r="L18" s="5" t="str"/>
      <x:c r="M18" s="5" t="str"/>
    </x:row>
    <x:row r="19" ht="39.599998474121094" hidden="0" customHeight="1">
      <x:c r="A19" s="5" t="str">
        <x:v>MAN-COD-005</x:v>
      </x:c>
      <x:c r="B19" s="5" t="str">
        <x:v>수동</x:v>
      </x:c>
      <x:c r="C19" s="5" t="str"/>
      <x:c r="D19" s="5" t="str">
        <x:v>COD-005 예외 처리</x:v>
      </x:c>
      <x:c r="E19" s="5" t="str">
        <x:v>COD-005</x:v>
      </x:c>
      <x:c r="F19" s="5" t="str">
        <x:v>1. 원문 SRC-003 세부 조항 직접 인용 아님 / 쪽과 적용조건을 확인한다. 2. S05의 일반사용자·관리자 및 기본/오류/로딩/완료/모바일 상태 중 관련 범위를 열어 확인한다. 3. 오류경로 단위·통합시험 및 빈 catch 정적점검을 실행한다.. 4. 미검사 범위와 실제 환경·검사자·관찰·증빙을 기록한다.</x:v>
      </x:c>
      <x:c r="G19" s="5" t="str">
        <x:v>예외를 조용히 삼키지 않고 사용자 오류와 시스템 오류를 구별한다. 구체화: 공통 오류 처리에서 추적ID와 안정된 오류코드를 반환한다.</x:v>
      </x:c>
      <x:c r="H19" s="5" t="str">
        <x:v>원문 검토 + 실제 브라우저/필요 AT. NVDA·TalkBack·VoiceOver는 확보한 실제 조합만 기록</x:v>
      </x:c>
      <x:c r="I19" s="5" t="str">
        <x:v>미실행</x:v>
      </x:c>
      <x:c r="J19" s="5" t="str">
        <x:v>사람의 평가/원문등급 판정을 자동 생성하지 않음</x:v>
      </x:c>
      <x:c r="K19" s="5" t="str"/>
      <x:c r="L19" s="5" t="str"/>
      <x:c r="M19" s="5" t="str"/>
    </x:row>
    <x:row r="20" ht="39.599998474121094" hidden="0" customHeight="1">
      <x:c r="A20" s="5" t="str">
        <x:v>MAN-COD-006</x:v>
      </x:c>
      <x:c r="B20" s="5" t="str">
        <x:v>수동</x:v>
      </x:c>
      <x:c r="C20" s="5" t="str"/>
      <x:c r="D20" s="5" t="str">
        <x:v>COD-006 비동기·취소</x:v>
      </x:c>
      <x:c r="E20" s="5" t="str">
        <x:v>COD-006</x:v>
      </x:c>
      <x:c r="F20" s="5" t="str">
        <x:v>1. 원문 SRC-003 세부 조항 직접 인용 아님 / 쪽과 적용조건을 확인한다. 2. S01~S08 / 공통의 일반사용자·관리자 및 기본/오류/로딩/완료/모바일 상태 중 관련 범위를 열어 확인한다. 3. 취소·시간초과·연속 클릭 시 중복 요청 시험을 실행한다.. 4. 미검사 범위와 실제 환경·검사자·관찰·증빙을 기록한다.</x:v>
      </x:c>
      <x:c r="G20" s="5" t="str">
        <x:v>네트워크·파일 I/O에 타임아웃과 취소를 전달한다. 구체화: AbortSignal 또는 CancellationToken을 전파하고 무제한 재시도를 금지한다.</x:v>
      </x:c>
      <x:c r="H20" s="5" t="str">
        <x:v>원문 검토 + 실제 브라우저/필요 AT. NVDA·TalkBack·VoiceOver는 확보한 실제 조합만 기록</x:v>
      </x:c>
      <x:c r="I20" s="5" t="str">
        <x:v>미실행</x:v>
      </x:c>
      <x:c r="J20" s="5" t="str">
        <x:v>사람의 평가/원문등급 판정을 자동 생성하지 않음</x:v>
      </x:c>
      <x:c r="K20" s="5" t="str"/>
      <x:c r="L20" s="5" t="str"/>
      <x:c r="M20" s="5" t="str"/>
    </x:row>
    <x:row r="21" ht="39.599998474121094" hidden="0" customHeight="1">
      <x:c r="A21" s="5" t="str">
        <x:v>MAN-COD-007</x:v>
      </x:c>
      <x:c r="B21" s="5" t="str">
        <x:v>수동</x:v>
      </x:c>
      <x:c r="C21" s="5" t="str"/>
      <x:c r="D21" s="5" t="str">
        <x:v>COD-007 자원 해제</x:v>
      </x:c>
      <x:c r="E21" s="5" t="str">
        <x:v>COD-007</x:v>
      </x:c>
      <x:c r="F21" s="5" t="str">
        <x:v>1. 원문 SRC-003 세부 조항 직접 인용 아님 / 쪽과 적용조건을 확인한다. 2. S01~S08 / 공통의 일반사용자·관리자 및 기본/오류/로딩/완료/모바일 상태 중 관련 범위를 열어 확인한다. 3. 중단·화면이동·반복실행에서 누수와 잔여동작을 점검한다.. 4. 미검사 범위와 실제 환경·검사자·관찰·증빙을 기록한다.</x:v>
      </x:c>
      <x:c r="G21" s="5" t="str">
        <x:v>자원과 구독의 생명주기를 명시한다. 구체화: 스트림·DB 연결은 using/finally, UI 이벤트·타이머는 cleanup으로 해제한다.</x:v>
      </x:c>
      <x:c r="H21" s="5" t="str">
        <x:v>원문 검토 + 실제 브라우저/필요 AT. NVDA·TalkBack·VoiceOver는 확보한 실제 조합만 기록</x:v>
      </x:c>
      <x:c r="I21" s="5" t="str">
        <x:v>미실행</x:v>
      </x:c>
      <x:c r="J21" s="5" t="str">
        <x:v>사람의 평가/원문등급 판정을 자동 생성하지 않음</x:v>
      </x:c>
      <x:c r="K21" s="5" t="str"/>
      <x:c r="L21" s="5" t="str"/>
      <x:c r="M21" s="5" t="str"/>
    </x:row>
    <x:row r="22" ht="39.599998474121094" hidden="0" customHeight="1">
      <x:c r="A22" s="5" t="str">
        <x:v>MAN-COD-008</x:v>
      </x:c>
      <x:c r="B22" s="5" t="str">
        <x:v>수동</x:v>
      </x:c>
      <x:c r="C22" s="5" t="str"/>
      <x:c r="D22" s="5" t="str">
        <x:v>COD-008 경계값·유효성</x:v>
      </x:c>
      <x:c r="E22" s="5" t="str">
        <x:v>COD-008</x:v>
      </x:c>
      <x:c r="F22" s="5" t="str">
        <x:v>1. 원문 SRC-009 세부 조항 직접 인용 아님 / 쪽과 적용조건을 확인한다. 2. S01~S08 / 공통의 일반사용자·관리자 및 기본/오류/로딩/완료/모바일 상태 중 관련 범위를 열어 확인한다. 3. 빈값·최소/최대·초과·Unicode·잘못된 기간의 경계시험을 실행한다.. 4. 미검사 범위와 실제 환경·검사자·관찰·증빙을 기록한다.</x:v>
      </x:c>
      <x:c r="G22" s="5" t="str">
        <x:v>타입·범위·길이·필드 간 업무 제약을 검증한다. 구체화: 서버에서 스키마와 업무검증을 수행하고 프런트 검증은 즉시 안내에 사용한다.</x:v>
      </x:c>
      <x:c r="H22" s="5" t="str">
        <x:v>원문 검토 + 실제 브라우저/필요 AT. NVDA·TalkBack·VoiceOver는 확보한 실제 조합만 기록</x:v>
      </x:c>
      <x:c r="I22" s="5" t="str">
        <x:v>미실행</x:v>
      </x:c>
      <x:c r="J22" s="5" t="str">
        <x:v>사람의 평가/원문등급 판정을 자동 생성하지 않음</x:v>
      </x:c>
      <x:c r="K22" s="5" t="str"/>
      <x:c r="L22" s="5" t="str"/>
      <x:c r="M22" s="5" t="str"/>
    </x:row>
    <x:row r="23" ht="39.599998474121094" hidden="0" customHeight="1">
      <x:c r="A23" s="5" t="str">
        <x:v>MAN-COD-009</x:v>
      </x:c>
      <x:c r="B23" s="5" t="str">
        <x:v>수동</x:v>
      </x:c>
      <x:c r="C23" s="5" t="str"/>
      <x:c r="D23" s="5" t="str">
        <x:v>COD-009 Promise 처리</x:v>
      </x:c>
      <x:c r="E23" s="5" t="str">
        <x:v>COD-009</x:v>
      </x:c>
      <x:c r="F23" s="5" t="str">
        <x:v>1. 원문 SRC-010 세부 조항 직접 인용 아님 / 쪽과 적용조건을 확인한다. 2. S05의 일반사용자·관리자 및 기본/오류/로딩/완료/모바일 상태 중 관련 범위를 열어 확인한다. 3. 유형 기반 린트 및 비동기 실패 주입시험을 실행한다.. 4. 미검사 범위와 실제 환경·검사자·관찰·증빙을 기록한다.</x:v>
      </x:c>
      <x:c r="G23" s="5" t="str">
        <x:v>모든 비동기 실패를 관찰하고 처리한다. 구체화: no-floating-promises와 no-misused-promises를 사용한다. 단순 void로 오류처리를 대체하지 않는다.</x:v>
      </x:c>
      <x:c r="H23" s="5" t="str">
        <x:v>원문 검토 + 실제 브라우저/필요 AT. NVDA·TalkBack·VoiceOver는 확보한 실제 조합만 기록</x:v>
      </x:c>
      <x:c r="I23" s="5" t="str">
        <x:v>미실행</x:v>
      </x:c>
      <x:c r="J23" s="5" t="str">
        <x:v>사람의 평가/원문등급 판정을 자동 생성하지 않음</x:v>
      </x:c>
      <x:c r="K23" s="5" t="str"/>
      <x:c r="L23" s="5" t="str"/>
      <x:c r="M23" s="5" t="str"/>
    </x:row>
    <x:row r="24" ht="39.599998474121094" hidden="0" customHeight="1">
      <x:c r="A24" s="5" t="str">
        <x:v>MAN-COD-010</x:v>
      </x:c>
      <x:c r="B24" s="5" t="str">
        <x:v>수동</x:v>
      </x:c>
      <x:c r="C24" s="5" t="str"/>
      <x:c r="D24" s="5" t="str">
        <x:v>COD-010 모듈 책임</x:v>
      </x:c>
      <x:c r="E24" s="5" t="str">
        <x:v>COD-010</x:v>
      </x:c>
      <x:c r="F24" s="5" t="str">
        <x:v>1. 원문 SRC-003 세부 조항 직접 인용 아님 / 쪽과 적용조건을 확인한다. 2. S01~S08 / 공통의 일반사용자·관리자 및 기본/오류/로딩/완료/모바일 상태 중 관련 범위를 열어 확인한다. 3. 의존 방향과 핵심 업무함수의 경계시험을 검토한다.. 4. 미검사 범위와 실제 환경·검사자·관찰·증빙을 기록한다.</x:v>
      </x:c>
      <x:c r="G24" s="5" t="str">
        <x:v>화면·업무규칙·영속성을 분리한다. 구체화: 도메인 함수를 UI와 DB 프레임워크에 독립시켜 단위검증한다.</x:v>
      </x:c>
      <x:c r="H24" s="5" t="str">
        <x:v>원문 검토 + 실제 브라우저/필요 AT. NVDA·TalkBack·VoiceOver는 확보한 실제 조합만 기록</x:v>
      </x:c>
      <x:c r="I24" s="5" t="str">
        <x:v>미실행</x:v>
      </x:c>
      <x:c r="J24" s="5" t="str">
        <x:v>사람의 평가/원문등급 판정을 자동 생성하지 않음</x:v>
      </x:c>
      <x:c r="K24" s="5" t="str"/>
      <x:c r="L24" s="5" t="str"/>
      <x:c r="M24" s="5" t="str"/>
    </x:row>
    <x:row r="25" ht="39.599998474121094" hidden="0" customHeight="1">
      <x:c r="A25" s="5" t="str">
        <x:v>MAN-COD-011</x:v>
      </x:c>
      <x:c r="B25" s="5" t="str">
        <x:v>수동</x:v>
      </x:c>
      <x:c r="C25" s="5" t="str"/>
      <x:c r="D25" s="5" t="str">
        <x:v>COD-011 복잡도 관리</x:v>
      </x:c>
      <x:c r="E25" s="5" t="str">
        <x:v>COD-011</x:v>
      </x:c>
      <x:c r="F25" s="5" t="str">
        <x:v>1. 원문 SRC-003 세부 조항 직접 인용 아님 / 쪽과 적용조건을 확인한다. 2. S01~S08 / 공통의 일반사용자·관리자 및 기본/오류/로딩/완료/모바일 상태 중 관련 범위를 열어 확인한다. 3. 도구별 산식과 임계치 설정 및 초과함수 검토기록을 보존한다.. 4. 미검사 범위와 실제 환경·검사자·관찰·증빙을 기록한다.</x:v>
      </x:c>
      <x:c r="G25" s="5" t="str">
        <x:v>복잡도 초과를 자동 발견하고 분해 또는 예외 사유를 남긴다. 구체화: 초기 사내 경고안: 순환복잡도 10 초과, 중첩 3 초과. 실제 팀 기준은 승인 후 고정한다.</x:v>
      </x:c>
      <x:c r="H25" s="5" t="str">
        <x:v>원문 검토 + 실제 브라우저/필요 AT. NVDA·TalkBack·VoiceOver는 확보한 실제 조합만 기록</x:v>
      </x:c>
      <x:c r="I25" s="5" t="str">
        <x:v>미실행</x:v>
      </x:c>
      <x:c r="J25" s="5" t="str">
        <x:v>사람의 평가/원문등급 판정을 자동 생성하지 않음</x:v>
      </x:c>
      <x:c r="K25" s="5" t="str"/>
      <x:c r="L25" s="5" t="str"/>
      <x:c r="M25" s="5" t="str"/>
    </x:row>
    <x:row r="26" ht="39.599998474121094" hidden="0" customHeight="1">
      <x:c r="A26" s="5" t="str">
        <x:v>MAN-COD-012</x:v>
      </x:c>
      <x:c r="B26" s="5" t="str">
        <x:v>수동</x:v>
      </x:c>
      <x:c r="C26" s="5" t="str"/>
      <x:c r="D26" s="5" t="str">
        <x:v>COD-012 경고·불필요 코드</x:v>
      </x:c>
      <x:c r="E26" s="5" t="str">
        <x:v>COD-012</x:v>
      </x:c>
      <x:c r="F26" s="5" t="str">
        <x:v>1. 원문 SRC-003 세부 조항 직접 인용 아님 / 쪽과 적용조건을 확인한다. 2. S01~S08 / 공통의 일반사용자·관리자 및 기본/오류/로딩/완료/모바일 상태 중 관련 범위를 열어 확인한다. 3. lint/build 결과와 제외경로 사유를 확인한다.. 4. 미검사 범위와 실제 환경·검사자·관찰·증빙을 기록한다.</x:v>
      </x:c>
      <x:c r="G26" s="5" t="str">
        <x:v>사용하지 않는 코드와 무시된 경고를 관리한다. 구체화: 사용하지 않는 변수·도달불가·중복 구현을 검사하고 생성코드는 별도 범위로 둔다.</x:v>
      </x:c>
      <x:c r="H26" s="5" t="str">
        <x:v>원문 검토 + 실제 브라우저/필요 AT. NVDA·TalkBack·VoiceOver는 확보한 실제 조합만 기록</x:v>
      </x:c>
      <x:c r="I26" s="5" t="str">
        <x:v>미실행</x:v>
      </x:c>
      <x:c r="J26" s="5" t="str">
        <x:v>사람의 평가/원문등급 판정을 자동 생성하지 않음</x:v>
      </x:c>
      <x:c r="K26" s="5" t="str"/>
      <x:c r="L26" s="5" t="str"/>
      <x:c r="M26" s="5" t="str"/>
    </x:row>
    <x:row r="27" ht="39.599998474121094" hidden="0" customHeight="1">
      <x:c r="A27" s="5" t="str">
        <x:v>MAN-COD-013</x:v>
      </x:c>
      <x:c r="B27" s="5" t="str">
        <x:v>수동</x:v>
      </x:c>
      <x:c r="C27" s="5" t="str"/>
      <x:c r="D27" s="5" t="str">
        <x:v>COD-013 설정 분리</x:v>
      </x:c>
      <x:c r="E27" s="5" t="str">
        <x:v>COD-013</x:v>
      </x:c>
      <x:c r="F27" s="5" t="str">
        <x:v>1. 원문 SRC-003 세부 조항 직접 인용 아님 / 쪽과 적용조건을 확인한다. 2. S01~S08 / 공통의 일반사용자·관리자 및 기본/오류/로딩/완료/모바일 상태 중 관련 범위를 열어 확인한다. 3. 설정 누락 시 안전하게 실패하는지와 저장소 비밀탐지를 점검한다.. 4. 미검사 범위와 실제 환경·검사자·관찰·증빙을 기록한다.</x:v>
      </x:c>
      <x:c r="G27" s="5" t="str">
        <x:v>환경별 설정과 운영 비밀을 코드에서 분리한다. 구체화: 환경변수·설정 바인딩을 검증하고 예제에는 가짜 값만 둔다.</x:v>
      </x:c>
      <x:c r="H27" s="5" t="str">
        <x:v>원문 검토 + 실제 브라우저/필요 AT. NVDA·TalkBack·VoiceOver는 확보한 실제 조합만 기록</x:v>
      </x:c>
      <x:c r="I27" s="5" t="str">
        <x:v>미실행</x:v>
      </x:c>
      <x:c r="J27" s="5" t="str">
        <x:v>사람의 평가/원문등급 판정을 자동 생성하지 않음</x:v>
      </x:c>
      <x:c r="K27" s="5" t="str"/>
      <x:c r="L27" s="5" t="str"/>
      <x:c r="M27" s="5" t="str"/>
    </x:row>
    <x:row r="28" ht="39.599998474121094" hidden="0" customHeight="1">
      <x:c r="A28" s="5" t="str">
        <x:v>MAN-COD-014</x:v>
      </x:c>
      <x:c r="B28" s="5" t="str">
        <x:v>수동</x:v>
      </x:c>
      <x:c r="C28" s="5" t="str"/>
      <x:c r="D28" s="5" t="str">
        <x:v>COD-014 공용 인터페이스 문서</x:v>
      </x:c>
      <x:c r="E28" s="5" t="str">
        <x:v>COD-014</x:v>
      </x:c>
      <x:c r="F28" s="5" t="str">
        <x:v>1. 원문 SRC-011 세부 조항 직접 인용 아님 / 쪽과 적용조건을 확인한다. 2. S01~S08 / 공통의 일반사용자·관리자 및 기본/오류/로딩/완료/모바일 상태 중 관련 범위를 열어 확인한다. 3. 공용 인터페이스 변경 시 문서의 일치성을 리뷰한다.. 4. 미검사 범위와 실제 환경·검사자·관찰·증빙을 기록한다.</x:v>
      </x:c>
      <x:c r="G28" s="5" t="str">
        <x:v>공개 함수·API의 목적·입출력·오류·제약을 문서화한다. 구체화: JSDoc/XML 문서와 예제에 제약과 판단 이유를 기록한다.</x:v>
      </x:c>
      <x:c r="H28" s="5" t="str">
        <x:v>원문 검토 + 실제 브라우저/필요 AT. NVDA·TalkBack·VoiceOver는 확보한 실제 조합만 기록</x:v>
      </x:c>
      <x:c r="I28" s="5" t="str">
        <x:v>미실행</x:v>
      </x:c>
      <x:c r="J28" s="5" t="str">
        <x:v>사람의 평가/원문등급 판정을 자동 생성하지 않음</x:v>
      </x:c>
      <x:c r="K28" s="5" t="str"/>
      <x:c r="L28" s="5" t="str"/>
      <x:c r="M28" s="5" t="str"/>
    </x:row>
    <x:row r="29" ht="39.599998474121094" hidden="0" customHeight="1">
      <x:c r="A29" s="5" t="str">
        <x:v>MAN-COD-015</x:v>
      </x:c>
      <x:c r="B29" s="5" t="str">
        <x:v>수동</x:v>
      </x:c>
      <x:c r="C29" s="5" t="str"/>
      <x:c r="D29" s="5" t="str">
        <x:v>COD-015 트랜잭션·중복 처리</x:v>
      </x:c>
      <x:c r="E29" s="5" t="str">
        <x:v>COD-015</x:v>
      </x:c>
      <x:c r="F29" s="5" t="str">
        <x:v>1. 원문 SRC-003 세부 조항 직접 인용 아님 / 쪽과 적용조건을 확인한다. 2. S01~S08 / 공통의 일반사용자·관리자 및 기본/오류/로딩/완료/모바일 상태 중 관련 범위를 열어 확인한다. 3. 이중 클릭·재전송·중간 실패·동시갱신 시험을 실행한다.. 4. 미검사 범위와 실제 환경·검사자·관찰·증빙을 기록한다.</x:v>
      </x:c>
      <x:c r="G29" s="5" t="str">
        <x:v>중복 제출과 일부 저장 실패를 제어한다. 구체화: 업무별 트랜잭션, 고유 제약, 멱등 키 또는 중복요청 방어를 적용한다.</x:v>
      </x:c>
      <x:c r="H29" s="5" t="str">
        <x:v>원문 검토 + 실제 브라우저/필요 AT. NVDA·TalkBack·VoiceOver는 확보한 실제 조합만 기록</x:v>
      </x:c>
      <x:c r="I29" s="5" t="str">
        <x:v>미실행</x:v>
      </x:c>
      <x:c r="J29" s="5" t="str">
        <x:v>사람의 평가/원문등급 판정을 자동 생성하지 않음</x:v>
      </x:c>
      <x:c r="K29" s="5" t="str"/>
      <x:c r="L29" s="5" t="str"/>
      <x:c r="M29" s="5" t="str"/>
    </x:row>
    <x:row r="30" ht="39.599998474121094" hidden="0" customHeight="1">
      <x:c r="A30" s="5" t="str">
        <x:v>MAN-COD-016</x:v>
      </x:c>
      <x:c r="B30" s="5" t="str">
        <x:v>수동</x:v>
      </x:c>
      <x:c r="C30" s="5" t="str"/>
      <x:c r="D30" s="5" t="str">
        <x:v>COD-016 시간·수치 정책</x:v>
      </x:c>
      <x:c r="E30" s="5" t="str">
        <x:v>COD-016</x:v>
      </x:c>
      <x:c r="F30" s="5" t="str">
        <x:v>1. 원문 SRC-003 세부 조항 직접 인용 아님 / 쪽과 적용조건을 확인한다. 2. S01~S08 / 공통의 일반사용자·관리자 및 기본/오류/로딩/완료/모바일 상태 중 관련 범위를 열어 확인한다. 3. 날짜 경계·표시변환·반올림·오버플로 시험을 실행한다.. 4. 미검사 범위와 실제 환경·검사자·관찰·증빙을 기록한다.</x:v>
      </x:c>
      <x:c r="G30" s="5" t="str">
        <x:v>시간대·정밀도·단위를 데이터 계약에 명시한다. 구체화: 서버 시각은 UTC/offset으로 저장하고 표시 시 Asia/Seoul로 변환한다. 금액은 정수 최소단위 또는 decimal을 사용한다.</x:v>
      </x:c>
      <x:c r="H30" s="5" t="str">
        <x:v>원문 검토 + 실제 브라우저/필요 AT. NVDA·TalkBack·VoiceOver는 확보한 실제 조합만 기록</x:v>
      </x:c>
      <x:c r="I30" s="5" t="str">
        <x:v>미실행</x:v>
      </x:c>
      <x:c r="J30" s="5" t="str">
        <x:v>사람의 평가/원문등급 판정을 자동 생성하지 않음</x:v>
      </x:c>
      <x:c r="K30" s="5" t="str"/>
      <x:c r="L30" s="5" t="str"/>
      <x:c r="M30" s="5" t="str"/>
    </x:row>
    <x:row r="31" ht="39.599998474121094" hidden="0" customHeight="1">
      <x:c r="A31" s="5" t="str">
        <x:v>MAN-COD-017</x:v>
      </x:c>
      <x:c r="B31" s="5" t="str">
        <x:v>수동</x:v>
      </x:c>
      <x:c r="C31" s="5" t="str"/>
      <x:c r="D31" s="5" t="str">
        <x:v>COD-017 C# nullable·분석기</x:v>
      </x:c>
      <x:c r="E31" s="5" t="str">
        <x:v>COD-017</x:v>
      </x:c>
      <x:c r="F31" s="5" t="str">
        <x:v>1. 원문 SRC-011 세부 조항 직접 인용 아님 / 쪽과 적용조건을 확인한다. 2. S01~S08 / 공통의 일반사용자·관리자 및 기본/오류/로딩/완료/모바일 상태 중 관련 범위를 열어 확인한다. 3. 빌드·분석기 결과와 널 경로시험을 확인한다.. 4. 미검사 범위와 실제 환경·검사자·관찰·증빙을 기록한다.</x:v>
      </x:c>
      <x:c r="G31" s="5" t="str">
        <x:v>C#을 선택한 경우 nullable과 정적분석을 사용한다. 구체화: Nullable enable, .NET analyzers, dotnet format을 언어 프로파일에 고정한다.</x:v>
      </x:c>
      <x:c r="H31" s="5" t="str">
        <x:v>원문 검토 + 실제 브라우저/필요 AT. NVDA·TalkBack·VoiceOver는 확보한 실제 조합만 기록</x:v>
      </x:c>
      <x:c r="I31" s="5" t="str">
        <x:v>미실행</x:v>
      </x:c>
      <x:c r="J31" s="5" t="str">
        <x:v>사람의 평가/원문등급 판정을 자동 생성하지 않음</x:v>
      </x:c>
      <x:c r="K31" s="5" t="str"/>
      <x:c r="L31" s="5" t="str"/>
      <x:c r="M31" s="5" t="str"/>
    </x:row>
    <x:row r="32" ht="39.599998474121094" hidden="0" customHeight="1">
      <x:c r="A32" s="5" t="str">
        <x:v>MAN-COD-018</x:v>
      </x:c>
      <x:c r="B32" s="5" t="str">
        <x:v>수동</x:v>
      </x:c>
      <x:c r="C32" s="5" t="str"/>
      <x:c r="D32" s="5" t="str">
        <x:v>COD-018 의미 있는 테스트</x:v>
      </x:c>
      <x:c r="E32" s="5" t="str">
        <x:v>COD-018</x:v>
      </x:c>
      <x:c r="F32" s="5" t="str">
        <x:v>1. 원문 SRC-003 세부 조항 직접 인용 아님 / 쪽과 적용조건을 확인한다. 2. S01, S04, S06의 일반사용자·관리자 및 기본/오류/로딩/완료/모바일 상태 중 관련 범위를 열어 확인한다. 3. 회귀테스트 결과와 중요한 분기 누락을 검토한다.. 4. 미검사 범위와 실제 환경·검사자·관찰·증빙을 기록한다.</x:v>
      </x:c>
      <x:c r="G32" s="5" t="str">
        <x:v>주요 업무·권한·실패경로를 검증하고 형식적 테스트를 피한다. 구체화: 경계·권한거부·상태전이·재시도 테스트를 작성한다. 커버리지 수치는 사내 목표로 명시한다.</x:v>
      </x:c>
      <x:c r="H32" s="5" t="str">
        <x:v>원문 검토 + 실제 브라우저/필요 AT. NVDA·TalkBack·VoiceOver는 확보한 실제 조합만 기록</x:v>
      </x:c>
      <x:c r="I32" s="5" t="str">
        <x:v>미실행</x:v>
      </x:c>
      <x:c r="J32" s="5" t="str">
        <x:v>사람의 평가/원문등급 판정을 자동 생성하지 않음</x:v>
      </x:c>
      <x:c r="K32" s="5" t="str"/>
      <x:c r="L32" s="5" t="str"/>
      <x:c r="M32" s="5" t="str"/>
    </x:row>
    <x:row r="33" ht="39.599998474121094" hidden="0" customHeight="1">
      <x:c r="A33" s="5" t="str">
        <x:v>MAN-SEC-001</x:v>
      </x:c>
      <x:c r="B33" s="5" t="str">
        <x:v>수동</x:v>
      </x:c>
      <x:c r="C33" s="5" t="str"/>
      <x:c r="D33" s="5" t="str">
        <x:v>SEC-001 위협·신뢰경계</x:v>
      </x:c>
      <x:c r="E33" s="5" t="str">
        <x:v>SEC-001</x:v>
      </x:c>
      <x:c r="F33" s="5" t="str">
        <x:v>1. 원문 SRC-012 세부 조항 직접 인용 아님 / 쪽과 적용조건을 확인한다. 2. S03의 일반사용자·관리자 및 기본/오류/로딩/완료/모바일 상태 중 관련 범위를 열어 확인한다. 3. 주요 위협에 대응 통제와 시험이 있는지 검토한다.. 4. 미검사 범위와 실제 환경·검사자·관찰·증빙을 기록한다.</x:v>
      </x:c>
      <x:c r="G33" s="5" t="str">
        <x:v>보호대상과 입력·권한·외부연계의 경계를 식별한다. 구체화: 간단한 데이터 흐름도와 위협목록을 작성해 통제 ID에 연결한다.</x:v>
      </x:c>
      <x:c r="H33" s="5" t="str">
        <x:v>원문 검토 + 실제 브라우저/필요 AT. NVDA·TalkBack·VoiceOver는 확보한 실제 조합만 기록</x:v>
      </x:c>
      <x:c r="I33" s="5" t="str">
        <x:v>미실행</x:v>
      </x:c>
      <x:c r="J33" s="5" t="str">
        <x:v>사람의 평가/원문등급 판정을 자동 생성하지 않음</x:v>
      </x:c>
      <x:c r="K33" s="5" t="str"/>
      <x:c r="L33" s="5" t="str"/>
      <x:c r="M33" s="5" t="str"/>
    </x:row>
    <x:row r="34" ht="39.599998474121094" hidden="0" customHeight="1">
      <x:c r="A34" s="5" t="str">
        <x:v>MAN-SEC-002</x:v>
      </x:c>
      <x:c r="B34" s="5" t="str">
        <x:v>수동</x:v>
      </x:c>
      <x:c r="C34" s="5" t="str"/>
      <x:c r="D34" s="5" t="str">
        <x:v>SEC-002 인젝션 방어</x:v>
      </x:c>
      <x:c r="E34" s="5" t="str">
        <x:v>SEC-002</x:v>
      </x:c>
      <x:c r="F34" s="5" t="str">
        <x:v>1. 원문 SRC-013 세부 조항 직접 인용 아님 / 쪽과 적용조건을 확인한다. 2. S01~S08 / 공통의 일반사용자·관리자 및 기본/오류/로딩/완료/모바일 상태 중 관련 범위를 열어 확인한다. 3. 정적점검과 인젝션 입력 거부/안전처리 시험을 실행한다.. 4. 미검사 범위와 실제 환경·검사자·관찰·증빙을 기록한다.</x:v>
      </x:c>
      <x:c r="G34" s="5" t="str">
        <x:v>SQL·명령문을 입력 문자열 결합으로 만들지 않는다. 구체화: ORM 매개변수화와 구조화 API를 사용하고 셸 실행을 최소화한다.</x:v>
      </x:c>
      <x:c r="H34" s="5" t="str">
        <x:v>원문 검토 + 실제 브라우저/필요 AT. NVDA·TalkBack·VoiceOver는 확보한 실제 조합만 기록</x:v>
      </x:c>
      <x:c r="I34" s="5" t="str">
        <x:v>미실행</x:v>
      </x:c>
      <x:c r="J34" s="5" t="str">
        <x:v>사람의 평가/원문등급 판정을 자동 생성하지 않음</x:v>
      </x:c>
      <x:c r="K34" s="5" t="str"/>
      <x:c r="L34" s="5" t="str"/>
      <x:c r="M34" s="5" t="str"/>
    </x:row>
    <x:row r="35" ht="39.599998474121094" hidden="0" customHeight="1">
      <x:c r="A35" s="5" t="str">
        <x:v>MAN-SEC-003</x:v>
      </x:c>
      <x:c r="B35" s="5" t="str">
        <x:v>수동</x:v>
      </x:c>
      <x:c r="C35" s="5" t="str"/>
      <x:c r="D35" s="5" t="str">
        <x:v>SEC-003 XSS 방어</x:v>
      </x:c>
      <x:c r="E35" s="5" t="str">
        <x:v>SEC-003</x:v>
      </x:c>
      <x:c r="F35" s="5" t="str">
        <x:v>1. 원문 SRC-012 세부 조항 직접 인용 아님 / 쪽과 적용조건을 확인한다. 2. S01~S08 / 공통의 일반사용자·관리자 및 기본/오류/로딩/완료/모바일 상태 중 관련 범위를 열어 확인한다. 3. 반사·저장·DOM 경로의 스크립트성 입력을 시험한다.. 4. 미검사 범위와 실제 환경·검사자·관찰·증빙을 기록한다.</x:v>
      </x:c>
      <x:c r="G35" s="5" t="str">
        <x:v>출력 문맥에 맞게 인코딩하고 HTML 삽입을 제한한다. 구체화: 기본 텍스트 렌더링을 사용하고 필요한 rich HTML만 검증된 sanitizer를 거친다.</x:v>
      </x:c>
      <x:c r="H35" s="5" t="str">
        <x:v>원문 검토 + 실제 브라우저/필요 AT. NVDA·TalkBack·VoiceOver는 확보한 실제 조합만 기록</x:v>
      </x:c>
      <x:c r="I35" s="5" t="str">
        <x:v>미실행</x:v>
      </x:c>
      <x:c r="J35" s="5" t="str">
        <x:v>사람의 평가/원문등급 판정을 자동 생성하지 않음</x:v>
      </x:c>
      <x:c r="K35" s="5" t="str"/>
      <x:c r="L35" s="5" t="str"/>
      <x:c r="M35" s="5" t="str"/>
    </x:row>
    <x:row r="36" ht="39.599998474121094" hidden="0" customHeight="1">
      <x:c r="A36" s="5" t="str">
        <x:v>MAN-SEC-004</x:v>
      </x:c>
      <x:c r="B36" s="5" t="str">
        <x:v>수동</x:v>
      </x:c>
      <x:c r="C36" s="5" t="str"/>
      <x:c r="D36" s="5" t="str">
        <x:v>SEC-004 인증 구현</x:v>
      </x:c>
      <x:c r="E36" s="5" t="str">
        <x:v>SEC-004</x:v>
      </x:c>
      <x:c r="F36" s="5" t="str">
        <x:v>1. 원문 SRC-014 세부 조항 직접 인용 아님 / 쪽과 적용조건을 확인한다. 2. S01, S05의 일반사용자·관리자 및 기본/오류/로딩/완료/모바일 상태 중 관련 범위를 열어 확인한다. 3. 잘못된 인증·로그아웃·잠금/속도제한·재로그인 시나리오를 시험한다.. 4. 미검사 범위와 실제 환경·검사자·관찰·증빙을 기록한다.</x:v>
      </x:c>
      <x:c r="G36" s="5" t="str">
        <x:v>유지보수되는 인증 프레임워크를 사용하고 자체 암호체계를 만들지 않는다. 구체화: 샘플의 로그인도 서버 검증을 사용하고 비밀번호 저장은 검증된 해시 구현에 맡긴다.</x:v>
      </x:c>
      <x:c r="H36" s="5" t="str">
        <x:v>원문 검토 + 실제 브라우저/필요 AT. NVDA·TalkBack·VoiceOver는 확보한 실제 조합만 기록</x:v>
      </x:c>
      <x:c r="I36" s="5" t="str">
        <x:v>미실행</x:v>
      </x:c>
      <x:c r="J36" s="5" t="str">
        <x:v>사람의 평가/원문등급 판정을 자동 생성하지 않음</x:v>
      </x:c>
      <x:c r="K36" s="5" t="str"/>
      <x:c r="L36" s="5" t="str"/>
      <x:c r="M36" s="5" t="str"/>
    </x:row>
    <x:row r="37" ht="39.599998474121094" hidden="0" customHeight="1">
      <x:c r="A37" s="5" t="str">
        <x:v>MAN-SEC-005</x:v>
      </x:c>
      <x:c r="B37" s="5" t="str">
        <x:v>수동</x:v>
      </x:c>
      <x:c r="C37" s="5" t="str"/>
      <x:c r="D37" s="5" t="str">
        <x:v>SEC-005 서버 권한 검사</x:v>
      </x:c>
      <x:c r="E37" s="5" t="str">
        <x:v>SEC-005</x:v>
      </x:c>
      <x:c r="F37" s="5" t="str">
        <x:v>1. 원문 SRC-015 세부 조항 직접 인용 아님 / 쪽과 적용조건을 확인한다. 2. S01, S04, S06의 일반사용자·관리자 및 기본/오류/로딩/완료/모바일 상태 중 관련 범위를 열어 확인한다. 3. 다른 사용자 ID 변조·직접 API 호출·역할별 금지 동작 시험을 실행한다.. 4. 미검사 범위와 실제 환경·검사자·관찰·증빙을 기록한다.</x:v>
      </x:c>
      <x:c r="G37" s="5" t="str">
        <x:v>모든 비공개 API와 개별 객체에 대해 권한을 검사한다. 구체화: 기본 거부, 역할+소유권 정책을 서버에 구현하고 UI 숨김과 분리한다.</x:v>
      </x:c>
      <x:c r="H37" s="5" t="str">
        <x:v>원문 검토 + 실제 브라우저/필요 AT. NVDA·TalkBack·VoiceOver는 확보한 실제 조합만 기록</x:v>
      </x:c>
      <x:c r="I37" s="5" t="str">
        <x:v>미실행</x:v>
      </x:c>
      <x:c r="J37" s="5" t="str">
        <x:v>사람의 평가/원문등급 판정을 자동 생성하지 않음</x:v>
      </x:c>
      <x:c r="K37" s="5" t="str"/>
      <x:c r="L37" s="5" t="str"/>
      <x:c r="M37" s="5" t="str"/>
    </x:row>
    <x:row r="38" ht="39.599998474121094" hidden="0" customHeight="1">
      <x:c r="A38" s="5" t="str">
        <x:v>MAN-SEC-006</x:v>
      </x:c>
      <x:c r="B38" s="5" t="str">
        <x:v>수동</x:v>
      </x:c>
      <x:c r="C38" s="5" t="str"/>
      <x:c r="D38" s="5" t="str">
        <x:v>SEC-006 CSRF 방어</x:v>
      </x:c>
      <x:c r="E38" s="5" t="str">
        <x:v>SEC-006</x:v>
      </x:c>
      <x:c r="F38" s="5" t="str">
        <x:v>1. 원문 SRC-012 세부 조항 직접 인용 아님 / 쪽과 적용조건을 확인한다. 2. S01~S08 / 공통의 일반사용자·관리자 및 기본/오류/로딩/완료/모바일 상태 중 관련 범위를 열어 확인한다. 3. CSRF 토큰 누락·오류·외부 출처 요청을 거부하는지 시험한다.. 4. 미검사 범위와 실제 환경·검사자·관찰·증빙을 기록한다.</x:v>
      </x:c>
      <x:c r="G38" s="5" t="str">
        <x:v>쿠키 인증의 상태변경 요청을 위조요청으로부터 보호한다. 구체화: 프레임워크 CSRF 토큰과 출처 검증을 적용하고 GET의 상태변경을 금지한다.</x:v>
      </x:c>
      <x:c r="H38" s="5" t="str">
        <x:v>원문 검토 + 실제 브라우저/필요 AT. NVDA·TalkBack·VoiceOver는 확보한 실제 조합만 기록</x:v>
      </x:c>
      <x:c r="I38" s="5" t="str">
        <x:v>미실행</x:v>
      </x:c>
      <x:c r="J38" s="5" t="str">
        <x:v>사람의 평가/원문등급 판정을 자동 생성하지 않음</x:v>
      </x:c>
      <x:c r="K38" s="5" t="str"/>
      <x:c r="L38" s="5" t="str"/>
      <x:c r="M38" s="5" t="str"/>
    </x:row>
    <x:row r="39" ht="39.599998474121094" hidden="0" customHeight="1">
      <x:c r="A39" s="5" t="str">
        <x:v>MAN-SEC-007</x:v>
      </x:c>
      <x:c r="B39" s="5" t="str">
        <x:v>수동</x:v>
      </x:c>
      <x:c r="C39" s="5" t="str"/>
      <x:c r="D39" s="5" t="str">
        <x:v>SEC-007 세션 보호</x:v>
      </x:c>
      <x:c r="E39" s="5" t="str">
        <x:v>SEC-007</x:v>
      </x:c>
      <x:c r="F39" s="5" t="str">
        <x:v>1. 원문 SRC-014 세부 조항 직접 인용 아님 / 쪽과 적용조건을 확인한다. 2. S01, S05의 일반사용자·관리자 및 기본/오류/로딩/완료/모바일 상태 중 관련 범위를 열어 확인한다. 3. 로그아웃 후 재사용·만료·쿠키속성·세션 연장 시험을 실행한다.. 4. 미검사 범위와 실제 환경·검사자·관찰·증빙을 기록한다.</x:v>
      </x:c>
      <x:c r="G39" s="5" t="str">
        <x:v>세션 만료·폐기·쿠키 속성을 명시한다. 구체화: HttpOnly, Secure, 상황에 맞는 SameSite를 적용하고 만료 사전 안내와 연장 UX를 연결한다.</x:v>
      </x:c>
      <x:c r="H39" s="5" t="str">
        <x:v>원문 검토 + 실제 브라우저/필요 AT. NVDA·TalkBack·VoiceOver는 확보한 실제 조합만 기록</x:v>
      </x:c>
      <x:c r="I39" s="5" t="str">
        <x:v>미실행</x:v>
      </x:c>
      <x:c r="J39" s="5" t="str">
        <x:v>사람의 평가/원문등급 판정을 자동 생성하지 않음</x:v>
      </x:c>
      <x:c r="K39" s="5" t="str"/>
      <x:c r="L39" s="5" t="str"/>
      <x:c r="M39" s="5" t="str"/>
    </x:row>
    <x:row r="40" ht="39.599998474121094" hidden="0" customHeight="1">
      <x:c r="A40" s="5" t="str">
        <x:v>MAN-SEC-008</x:v>
      </x:c>
      <x:c r="B40" s="5" t="str">
        <x:v>수동</x:v>
      </x:c>
      <x:c r="C40" s="5" t="str"/>
      <x:c r="D40" s="5" t="str">
        <x:v>SEC-008 비밀정보 관리</x:v>
      </x:c>
      <x:c r="E40" s="5" t="str">
        <x:v>SEC-008</x:v>
      </x:c>
      <x:c r="F40" s="5" t="str">
        <x:v>1. 원문 SRC-012 세부 조항 직접 인용 아님 / 쪽과 적용조건을 확인한다. 2. S01, S04, S06의 일반사용자·관리자 및 기본/오류/로딩/완료/모바일 상태 중 관련 범위를 열어 확인한다. 3. 소스·빌드 산출물·로그 비밀탐지를 수행한다.. 4. 미검사 범위와 실제 환경·검사자·관찰·증빙을 기록한다.</x:v>
      </x:c>
      <x:c r="G40" s="5" t="str">
        <x:v>비밀키·토큰·운영 연결문자열을 저장소와 프런트 번들에서 제외한다. 구체화: 환경변수/비밀저장소와 최소권한을 사용하고 예제와 실값을 분리한다.</x:v>
      </x:c>
      <x:c r="H40" s="5" t="str">
        <x:v>원문 검토 + 실제 브라우저/필요 AT. NVDA·TalkBack·VoiceOver는 확보한 실제 조합만 기록</x:v>
      </x:c>
      <x:c r="I40" s="5" t="str">
        <x:v>미실행</x:v>
      </x:c>
      <x:c r="J40" s="5" t="str">
        <x:v>사람의 평가/원문등급 판정을 자동 생성하지 않음</x:v>
      </x:c>
      <x:c r="K40" s="5" t="str"/>
      <x:c r="L40" s="5" t="str"/>
      <x:c r="M40" s="5" t="str"/>
    </x:row>
    <x:row r="41" ht="52.79999923706055" hidden="0" customHeight="1">
      <x:c r="A41" s="5" t="str">
        <x:v>MAN-SEC-009</x:v>
      </x:c>
      <x:c r="B41" s="5" t="str">
        <x:v>수동</x:v>
      </x:c>
      <x:c r="C41" s="5" t="str"/>
      <x:c r="D41" s="5" t="str">
        <x:v>SEC-009 안전한 파일 업로드</x:v>
      </x:c>
      <x:c r="E41" s="5" t="str">
        <x:v>SEC-009</x:v>
      </x:c>
      <x:c r="F41" s="5" t="str">
        <x:v>1. 원문 SRC-016 세부 조항 직접 인용 아님 / 쪽과 적용조건을 확인한다. 2. S04, S05의 일반사용자·관리자 및 기본/오류/로딩/완료/모바일 상태 중 관련 범위를 열어 확인한다. 3. 이중확장자·MIME 불일치·과대파일·경로조작·권한 없는 다운로드를 시험한다.. 4. 미검사 범위와 실제 환경·검사자·관찰·증빙을 기록한다.</x:v>
      </x:c>
      <x:c r="G41" s="5" t="str">
        <x:v>파일 종류·내용·크기·개수·권한·저장경로를 검증한다. 구체화: 샘플은 허용 이미지로 제한하고 서버 생성명, 웹루트 외 저장, 메타데이터 처리 정책을 적용한다.</x:v>
      </x:c>
      <x:c r="H41" s="5" t="str">
        <x:v>원문 검토 + 실제 브라우저/필요 AT. NVDA·TalkBack·VoiceOver는 확보한 실제 조합만 기록</x:v>
      </x:c>
      <x:c r="I41" s="5" t="str">
        <x:v>미실행</x:v>
      </x:c>
      <x:c r="J41" s="5" t="str">
        <x:v>사람의 평가/원문등급 판정을 자동 생성하지 않음</x:v>
      </x:c>
      <x:c r="K41" s="5" t="str"/>
      <x:c r="L41" s="5" t="str"/>
      <x:c r="M41" s="5" t="str"/>
    </x:row>
    <x:row r="42" ht="39.599998474121094" hidden="0" customHeight="1">
      <x:c r="A42" s="5" t="str">
        <x:v>MAN-SEC-010</x:v>
      </x:c>
      <x:c r="B42" s="5" t="str">
        <x:v>수동</x:v>
      </x:c>
      <x:c r="C42" s="5" t="str"/>
      <x:c r="D42" s="5" t="str">
        <x:v>SEC-010 자원 남용 방지</x:v>
      </x:c>
      <x:c r="E42" s="5" t="str">
        <x:v>SEC-010</x:v>
      </x:c>
      <x:c r="F42" s="5" t="str">
        <x:v>1. 원문 SRC-009 세부 조항 직접 인용 아님 / 쪽과 적용조건을 확인한다. 2. S01~S08 / 공통의 일반사용자·관리자 및 기본/오류/로딩/완료/모바일 상태 중 관련 범위를 열어 확인한다. 3. 상한 초과와 과도한 반복요청에 대한 거부·복구를 시험한다.. 4. 미검사 범위와 실제 환경·검사자·관찰·증빙을 기록한다.</x:v>
      </x:c>
      <x:c r="G42" s="5" t="str">
        <x:v>요청·검색·파일처리에 자원 상한을 둔다. 구체화: 본문·페이지크기·배열길이·동시성·타임아웃·요청빈도를 설정한다.</x:v>
      </x:c>
      <x:c r="H42" s="5" t="str">
        <x:v>원문 검토 + 실제 브라우저/필요 AT. NVDA·TalkBack·VoiceOver는 확보한 실제 조합만 기록</x:v>
      </x:c>
      <x:c r="I42" s="5" t="str">
        <x:v>미실행</x:v>
      </x:c>
      <x:c r="J42" s="5" t="str">
        <x:v>사람의 평가/원문등급 판정을 자동 생성하지 않음</x:v>
      </x:c>
      <x:c r="K42" s="5" t="str"/>
      <x:c r="L42" s="5" t="str"/>
      <x:c r="M42" s="5" t="str"/>
    </x:row>
    <x:row r="43" ht="39.599998474121094" hidden="0" customHeight="1">
      <x:c r="A43" s="5" t="str">
        <x:v>MAN-SEC-011</x:v>
      </x:c>
      <x:c r="B43" s="5" t="str">
        <x:v>수동</x:v>
      </x:c>
      <x:c r="C43" s="5" t="str"/>
      <x:c r="D43" s="5" t="str">
        <x:v>SEC-011 전송·브라우저 정책</x:v>
      </x:c>
      <x:c r="E43" s="5" t="str">
        <x:v>SEC-011</x:v>
      </x:c>
      <x:c r="F43" s="5" t="str">
        <x:v>1. 원문 SRC-012 세부 조항 직접 인용 아님 / 쪽과 적용조건을 확인한다. 2. S01~S08 / 공통의 일반사용자·관리자 및 기본/오류/로딩/완료/모바일 상태 중 관련 범위를 열어 확인한다. 3. HTTPS 설정·응답헤더·외부 출처·프레임 삽입 시험을 실행한다.. 4. 미검사 범위와 실제 환경·검사자·관찰·증빙을 기록한다.</x:v>
      </x:c>
      <x:c r="G43" s="5" t="str">
        <x:v>운영 전송 암호화와 보안헤더를 환경에 맞게 적용한다. 구체화: 운영 HTTPS, CSP, nosniff, frame-ancestors 등을 설정하고 CORS를 허용 출처로 한정한다.</x:v>
      </x:c>
      <x:c r="H43" s="5" t="str">
        <x:v>원문 검토 + 실제 브라우저/필요 AT. NVDA·TalkBack·VoiceOver는 확보한 실제 조합만 기록</x:v>
      </x:c>
      <x:c r="I43" s="5" t="str">
        <x:v>미실행</x:v>
      </x:c>
      <x:c r="J43" s="5" t="str">
        <x:v>사람의 평가/원문등급 판정을 자동 생성하지 않음</x:v>
      </x:c>
      <x:c r="K43" s="5" t="str"/>
      <x:c r="L43" s="5" t="str"/>
      <x:c r="M43" s="5" t="str"/>
    </x:row>
    <x:row r="44" ht="39.599998474121094" hidden="0" customHeight="1">
      <x:c r="A44" s="5" t="str">
        <x:v>MAN-SEC-012</x:v>
      </x:c>
      <x:c r="B44" s="5" t="str">
        <x:v>수동</x:v>
      </x:c>
      <x:c r="C44" s="5" t="str"/>
      <x:c r="D44" s="5" t="str">
        <x:v>SEC-012 오류 정보 최소화</x:v>
      </x:c>
      <x:c r="E44" s="5" t="str">
        <x:v>SEC-012</x:v>
      </x:c>
      <x:c r="F44" s="5" t="str">
        <x:v>1. 원문 SRC-013 세부 조항 직접 인용 아님 / 쪽과 적용조건을 확인한다. 2. S05의 일반사용자·관리자 및 기본/오류/로딩/완료/모바일 상태 중 관련 범위를 열어 확인한다. 3. 오류 강제발생 응답과 로그의 정보노출을 점검한다.. 4. 미검사 범위와 실제 환경·검사자·관찰·증빙을 기록한다.</x:v>
      </x:c>
      <x:c r="G44" s="5" t="str">
        <x:v>응답에 내부 경로·스택·연결정보를 노출하지 않는다. 구체화: 안정된 오류 메시지와 추적ID를 반환하고 상세정보는 제한된 서버 로그에 둔다.</x:v>
      </x:c>
      <x:c r="H44" s="5" t="str">
        <x:v>원문 검토 + 실제 브라우저/필요 AT. NVDA·TalkBack·VoiceOver는 확보한 실제 조합만 기록</x:v>
      </x:c>
      <x:c r="I44" s="5" t="str">
        <x:v>미실행</x:v>
      </x:c>
      <x:c r="J44" s="5" t="str">
        <x:v>사람의 평가/원문등급 판정을 자동 생성하지 않음</x:v>
      </x:c>
      <x:c r="K44" s="5" t="str"/>
      <x:c r="L44" s="5" t="str"/>
      <x:c r="M44" s="5" t="str"/>
    </x:row>
    <x:row r="45" ht="39.599998474121094" hidden="0" customHeight="1">
      <x:c r="A45" s="5" t="str">
        <x:v>MAN-SEC-013</x:v>
      </x:c>
      <x:c r="B45" s="5" t="str">
        <x:v>수동</x:v>
      </x:c>
      <x:c r="C45" s="5" t="str"/>
      <x:c r="D45" s="5" t="str">
        <x:v>SEC-013 감사·민감정보 보호</x:v>
      </x:c>
      <x:c r="E45" s="5" t="str">
        <x:v>SEC-013</x:v>
      </x:c>
      <x:c r="F45" s="5" t="str">
        <x:v>1. 원문 SRC-017 세부 조항 직접 인용 아님 / 쪽과 적용조건을 확인한다. 2. S01, S04, S06의 일반사용자·관리자 및 기본/오류/로딩/완료/모바일 상태 중 관련 범위를 열어 확인한다. 3. 로그 변조 입력·권한·실패 처리·민감정보 포함 여부를 검증한다.. 4. 미검사 범위와 실제 환경·검사자·관찰·증빙을 기록한다.</x:v>
      </x:c>
      <x:c r="G45" s="5" t="str">
        <x:v>주요 상태변경은 추적하되 비밀번호·토큰·불필요 개인정보를 기록하지 않는다. 구체화: 구조화 로그에 행위자·대상·결과·시각·추적ID를 기록하고 민감 필드를 마스킹한다.</x:v>
      </x:c>
      <x:c r="H45" s="5" t="str">
        <x:v>원문 검토 + 실제 브라우저/필요 AT. NVDA·TalkBack·VoiceOver는 확보한 실제 조합만 기록</x:v>
      </x:c>
      <x:c r="I45" s="5" t="str">
        <x:v>미실행</x:v>
      </x:c>
      <x:c r="J45" s="5" t="str">
        <x:v>사람의 평가/원문등급 판정을 자동 생성하지 않음</x:v>
      </x:c>
      <x:c r="K45" s="5" t="str"/>
      <x:c r="L45" s="5" t="str"/>
      <x:c r="M45" s="5" t="str"/>
    </x:row>
    <x:row r="46" ht="39.599998474121094" hidden="0" customHeight="1">
      <x:c r="A46" s="5" t="str">
        <x:v>MAN-SEC-014</x:v>
      </x:c>
      <x:c r="B46" s="5" t="str">
        <x:v>수동</x:v>
      </x:c>
      <x:c r="C46" s="5" t="str"/>
      <x:c r="D46" s="5" t="str">
        <x:v>SEC-014 공급망·취약 패키지</x:v>
      </x:c>
      <x:c r="E46" s="5" t="str">
        <x:v>SEC-014</x:v>
      </x:c>
      <x:c r="F46" s="5" t="str">
        <x:v>1. 원문 SRC-007 세부 조항 직접 인용 아님 / 쪽과 적용조건을 확인한다. 2. S01~S08 / 공통의 일반사용자·관리자 및 기본/오류/로딩/완료/모바일 상태 중 관련 범위를 열어 확인한다. 3. 동일 commit의 SBOM·스캔시각·CVE 판정·예외를 대조한다.. 4. 미검사 범위와 실제 환경·검사자·관찰·증빙을 기록한다.</x:v>
      </x:c>
      <x:c r="G46" s="5" t="str">
        <x:v>의존성과 라이선스를 식별하고 취약점 판정 기록을 유지한다. 구체화: 잠금파일, SBOM, SCA 결과를 보존한다. 새 고위험 취약점은 해결 또는 근거 있는 승인 후 진행한다.</x:v>
      </x:c>
      <x:c r="H46" s="5" t="str">
        <x:v>원문 검토 + 실제 브라우저/필요 AT. NVDA·TalkBack·VoiceOver는 확보한 실제 조합만 기록</x:v>
      </x:c>
      <x:c r="I46" s="5" t="str">
        <x:v>미실행</x:v>
      </x:c>
      <x:c r="J46" s="5" t="str">
        <x:v>사람의 평가/원문등급 판정을 자동 생성하지 않음</x:v>
      </x:c>
      <x:c r="K46" s="5" t="str"/>
      <x:c r="L46" s="5" t="str"/>
      <x:c r="M46" s="5" t="str"/>
    </x:row>
    <x:row r="47" ht="39.599998474121094" hidden="0" customHeight="1">
      <x:c r="A47" s="5" t="str">
        <x:v>MAN-SEC-015</x:v>
      </x:c>
      <x:c r="B47" s="5" t="str">
        <x:v>수동</x:v>
      </x:c>
      <x:c r="C47" s="5" t="str"/>
      <x:c r="D47" s="5" t="str">
        <x:v>SEC-015 엑셀·CSV 수식 주입</x:v>
      </x:c>
      <x:c r="E47" s="5" t="str">
        <x:v>SEC-015</x:v>
      </x:c>
      <x:c r="F47" s="5" t="str">
        <x:v>1. 원문 SRC-018 세부 조항 직접 인용 아님 / 쪽과 적용조건을 확인한다. 2. S01~S08 / 공통의 일반사용자·관리자 및 기본/오류/로딩/완료/모바일 상태 중 관련 범위를 열어 확인한다. 3. =,+,-,@ 및 탭/개행 입력을 내려받아 실제 셀 타입과 표시를 확인한다.. 4. 미검사 범위와 실제 환경·검사자·관찰·증빙을 기록한다.</x:v>
      </x:c>
      <x:c r="G47" s="5" t="str">
        <x:v>사용자 입력이 내려받은 문서의 수식으로 실행되지 않게 한다. 구체화: XLSX는 문자열 셀 타입으로 쓰고 CSV는 위험 시작문자와 구분자·개행을 처리한다.</x:v>
      </x:c>
      <x:c r="H47" s="5" t="str">
        <x:v>원문 검토 + 실제 브라우저/필요 AT. NVDA·TalkBack·VoiceOver는 확보한 실제 조합만 기록</x:v>
      </x:c>
      <x:c r="I47" s="5" t="str">
        <x:v>미실행</x:v>
      </x:c>
      <x:c r="J47" s="5" t="str">
        <x:v>사람의 평가/원문등급 판정을 자동 생성하지 않음</x:v>
      </x:c>
      <x:c r="K47" s="5" t="str"/>
      <x:c r="L47" s="5" t="str"/>
      <x:c r="M47" s="5" t="str"/>
    </x:row>
    <x:row r="48" ht="39.599998474121094" hidden="0" customHeight="1">
      <x:c r="A48" s="5" t="str">
        <x:v>MAN-SEC-016</x:v>
      </x:c>
      <x:c r="B48" s="5" t="str">
        <x:v>수동</x:v>
      </x:c>
      <x:c r="C48" s="5" t="str"/>
      <x:c r="D48" s="5" t="str">
        <x:v>SEC-016 서버 외부요청 제한</x:v>
      </x:c>
      <x:c r="E48" s="5" t="str">
        <x:v>SEC-016</x:v>
      </x:c>
      <x:c r="F48" s="5" t="str">
        <x:v>1. 원문 SRC-012 세부 조항 직접 인용 아님 / 쪽과 적용조건을 확인한다. 2. S01~S08 / 공통의 일반사용자·관리자 및 기본/오류/로딩/완료/모바일 상태 중 관련 범위를 열어 확인한다. 3. 내부/루프백/메타데이터 주소와 리다이렉트 시도를 거부하는지 시험한다.. 4. 미검사 범위와 실제 환경·검사자·관찰·증빙을 기록한다.</x:v>
      </x:c>
      <x:c r="G48" s="5" t="str">
        <x:v>URL을 받는 기능에는 SSRF 방어를 적용한다. 구체화: 외부 URL 가져오기를 기본 비활성화하고 필요 시 허용대상·DNS/IP·리다이렉트·응답크기를 제한한다.</x:v>
      </x:c>
      <x:c r="H48" s="5" t="str">
        <x:v>원문 검토 + 실제 브라우저/필요 AT. NVDA·TalkBack·VoiceOver는 확보한 실제 조합만 기록</x:v>
      </x:c>
      <x:c r="I48" s="5" t="str">
        <x:v>미실행</x:v>
      </x:c>
      <x:c r="J48" s="5" t="str">
        <x:v>사람의 평가/원문등급 판정을 자동 생성하지 않음</x:v>
      </x:c>
      <x:c r="K48" s="5" t="str"/>
      <x:c r="L48" s="5" t="str"/>
      <x:c r="M48" s="5" t="str"/>
    </x:row>
    <x:row r="49" ht="39.599998474121094" hidden="0" customHeight="1">
      <x:c r="A49" s="5" t="str">
        <x:v>MAN-SEC-017</x:v>
      </x:c>
      <x:c r="B49" s="5" t="str">
        <x:v>수동</x:v>
      </x:c>
      <x:c r="C49" s="5" t="str"/>
      <x:c r="D49" s="5" t="str">
        <x:v>SEC-017 샘플 데이터·백업</x:v>
      </x:c>
      <x:c r="E49" s="5" t="str">
        <x:v>SEC-017</x:v>
      </x:c>
      <x:c r="F49" s="5" t="str">
        <x:v>1. 원문 SRC-003 세부 조항 직접 인용 아님 / 쪽과 적용조건을 확인한다. 2. S01~S08 / 공통의 일반사용자·관리자 및 기본/오류/로딩/완료/모바일 상태 중 관련 범위를 열어 확인한다. 3. 데모 데이터의 실개인정보 부재와 복원절차를 확인한다.. 4. 미검사 범위와 실제 환경·검사자·관찰·증빙을 기록한다.</x:v>
      </x:c>
      <x:c r="G49" s="5" t="str">
        <x:v>개발·검증에 가상정보를 사용하고 저장·백업 접근을 제한한다. 구체화: 가상 seed 데이터를 제공하고 운영 데이터 가져오기는 별도 승인과 비식별 절차로 처리한다.</x:v>
      </x:c>
      <x:c r="H49" s="5" t="str">
        <x:v>원문 검토 + 실제 브라우저/필요 AT. NVDA·TalkBack·VoiceOver는 확보한 실제 조합만 기록</x:v>
      </x:c>
      <x:c r="I49" s="5" t="str">
        <x:v>미실행</x:v>
      </x:c>
      <x:c r="J49" s="5" t="str">
        <x:v>사람의 평가/원문등급 판정을 자동 생성하지 않음</x:v>
      </x:c>
      <x:c r="K49" s="5" t="str"/>
      <x:c r="L49" s="5" t="str"/>
      <x:c r="M49" s="5" t="str"/>
    </x:row>
    <x:row r="50" ht="39.599998474121094" hidden="0" customHeight="1">
      <x:c r="A50" s="5" t="str">
        <x:v>MAN-SEC-018</x:v>
      </x:c>
      <x:c r="B50" s="5" t="str">
        <x:v>수동</x:v>
      </x:c>
      <x:c r="C50" s="5" t="str"/>
      <x:c r="D50" s="5" t="str">
        <x:v>SEC-018 안전한 파싱</x:v>
      </x:c>
      <x:c r="E50" s="5" t="str">
        <x:v>SEC-018</x:v>
      </x:c>
      <x:c r="F50" s="5" t="str">
        <x:v>1. 원문 SRC-013 세부 조항 직접 인용 아님 / 쪽과 적용조건을 확인한다. 2. S01~S08 / 공통의 일반사용자·관리자 및 기본/오류/로딩/완료/모바일 상태 중 관련 범위를 열어 확인한다. 3. 악성 구조·중첩 과다·크기초과·동적 실행 경로를 점검한다.. 4. 미검사 범위와 실제 환경·검사자·관찰·증빙을 기록한다.</x:v>
      </x:c>
      <x:c r="G50" s="5" t="str">
        <x:v>불필요한 동적 실행과 신뢰할 수 없는 역직렬화를 사용하지 않는다. 구체화: JSON 스키마 검증, 제한된 파서 설정, eval/임의 타입 생성 금지를 적용한다.</x:v>
      </x:c>
      <x:c r="H50" s="5" t="str">
        <x:v>원문 검토 + 실제 브라우저/필요 AT. NVDA·TalkBack·VoiceOver는 확보한 실제 조합만 기록</x:v>
      </x:c>
      <x:c r="I50" s="5" t="str">
        <x:v>미실행</x:v>
      </x:c>
      <x:c r="J50" s="5" t="str">
        <x:v>사람의 평가/원문등급 판정을 자동 생성하지 않음</x:v>
      </x:c>
      <x:c r="K50" s="5" t="str"/>
      <x:c r="L50" s="5" t="str"/>
      <x:c r="M50" s="5" t="str"/>
    </x:row>
    <x:row r="51" ht="52.79999923706055" hidden="0" customHeight="1">
      <x:c r="A51" s="5" t="str">
        <x:v>MAN-MDR-000</x:v>
      </x:c>
      <x:c r="B51" s="5" t="str">
        <x:v>수동</x:v>
      </x:c>
      <x:c r="C51" s="5" t="str"/>
      <x:c r="D51" s="5" t="str">
        <x:v>MDR-000 MDR 명칭 확인·세부 적용 확인필요</x:v>
      </x:c>
      <x:c r="E51" s="5" t="str">
        <x:v>MDR-000</x:v>
      </x:c>
      <x:c r="F51" s="5" t="str">
        <x:v>1. 원문 SRC-043 세부 조항 직접 인용 아님 / 쪽과 적용조건을 확인한다. 2. S05의 일반사용자·관리자 및 기본/오류/로딩/완료/모바일 상태 중 관련 범위를 열어 확인한다. 3. 사용자 제공 원문/정식 명칭으로 확인 후 별도 프로파일과 조항 목록을 만든다.. 4. 미검사 범위와 실제 환경·검사자·관찰·증빙을 기록한다.</x:v>
      </x:c>
      <x:c r="G51" s="5" t="str">
        <x:v>국방 메타데이터 관리시스템(Meta Data Registry) 명칭은 공식 용어정의와 사용자 제공 코드설계표준 목록으로 확인. 원본 코드표와 대상사업 적용범위 확보 후 속성명·물리명·도메인·유형·코드값을 대조해야 함. 구체화: 회사 업무요청 데이터사전과 국방 표준의 대응·길이·형식·코드값은 원문확보 후 별도 프로파일로 검토. 현재 임의 치환하지 않음</x:v>
      </x:c>
      <x:c r="H51" s="5" t="str">
        <x:v>원문 검토 + 실제 브라우저/필요 AT. NVDA·TalkBack·VoiceOver는 확보한 실제 조합만 기록</x:v>
      </x:c>
      <x:c r="I51" s="5" t="str">
        <x:v>미실행</x:v>
      </x:c>
      <x:c r="J51" s="5" t="str">
        <x:v>사람의 평가/원문등급 판정을 자동 생성하지 않음</x:v>
      </x:c>
      <x:c r="K51" s="5" t="str"/>
      <x:c r="L51" s="5" t="str"/>
      <x:c r="M51" s="5" t="str"/>
    </x:row>
    <x:row r="52" ht="39.599998474121094" hidden="0" customHeight="1">
      <x:c r="A52" s="5" t="str">
        <x:v>MAN-UI-001</x:v>
      </x:c>
      <x:c r="B52" s="5" t="str">
        <x:v>수동</x:v>
      </x:c>
      <x:c r="C52" s="5" t="str"/>
      <x:c r="D52" s="5" t="str">
        <x:v>UI-001 사용자 중심의 서비스</x:v>
      </x:c>
      <x:c r="E52" s="5" t="str">
        <x:v>UI-001</x:v>
      </x:c>
      <x:c r="F52" s="5" t="str">
        <x:v>1. 원문 SRC-001 디자인 원칙 / 원칙 / 사용자 중심의 서비스 / 49-50쪽과 적용조건을 확인한다. 2. S05의 일반사용자·관리자 및 기본/오류/로딩/완료/모바일 상태 중 관련 범위를 열어 확인한다. 3. 역할별 대표 과업과 수용기준 검토. 4. 미검사 범위와 실제 환경·검사자·관찰·증빙을 기록한다.</x:v>
      </x:c>
      <x:c r="G52" s="5" t="str">
        <x:v>핵심 사용자와 업무 성공조건을 먼저 정의 구체화: 요청자·처리담당자·관리자별 탐색부터 완료까지 과업을 정하고 요구 ID와 연결</x:v>
      </x:c>
      <x:c r="H52" s="5" t="str">
        <x:v>원문 검토 + 실제 브라우저/필요 AT. NVDA·TalkBack·VoiceOver는 확보한 실제 조합만 기록</x:v>
      </x:c>
      <x:c r="I52" s="5" t="str">
        <x:v>미실행</x:v>
      </x:c>
      <x:c r="J52" s="5" t="str">
        <x:v>사람의 평가/원문등급 판정을 자동 생성하지 않음</x:v>
      </x:c>
      <x:c r="K52" s="5" t="str"/>
      <x:c r="L52" s="5" t="str"/>
      <x:c r="M52" s="5" t="str"/>
    </x:row>
    <x:row r="53" ht="39.599998474121094" hidden="0" customHeight="1">
      <x:c r="A53" s="5" t="str">
        <x:v>MAN-UI-002</x:v>
      </x:c>
      <x:c r="B53" s="5" t="str">
        <x:v>수동</x:v>
      </x:c>
      <x:c r="C53" s="5" t="str"/>
      <x:c r="D53" s="5" t="str">
        <x:v>UI-002 모든 사용자를 포용하는 서비스</x:v>
      </x:c>
      <x:c r="E53" s="5" t="str">
        <x:v>UI-002</x:v>
      </x:c>
      <x:c r="F53" s="5" t="str">
        <x:v>1. 원문 SRC-001 디자인 원칙 / 원칙 / 모든 사용자를 포용하는 서비스 / 51-52쪽과 적용조건을 확인한다. 2. S01~S08 / 공통의 일반사용자·관리자 및 기본/오류/로딩/완료/모바일 상태 중 관련 범위를 열어 확인한다. 3. 접근성 자동 검사와 수동 사용자 여정 점검. 4. 미검사 범위와 실제 환경·검사자·관찰·증빙을 기록한다.</x:v>
      </x:c>
      <x:c r="G53" s="5" t="str">
        <x:v>장애·고령·디지털 숙련도 차이를 고려 구체화: 키보드, 화면낭독기, 확대, 대조, 쉬운 문구를 공통 컴포넌트 기본값으로 구현</x:v>
      </x:c>
      <x:c r="H53" s="5" t="str">
        <x:v>원문 검토 + 실제 브라우저/필요 AT. NVDA·TalkBack·VoiceOver는 확보한 실제 조합만 기록</x:v>
      </x:c>
      <x:c r="I53" s="5" t="str">
        <x:v>미실행</x:v>
      </x:c>
      <x:c r="J53" s="5" t="str">
        <x:v>사람의 평가/원문등급 판정을 자동 생성하지 않음</x:v>
      </x:c>
      <x:c r="K53" s="5" t="str"/>
      <x:c r="L53" s="5" t="str"/>
      <x:c r="M53" s="5" t="str"/>
    </x:row>
    <x:row r="54" ht="39.599998474121094" hidden="0" customHeight="1">
      <x:c r="A54" s="5" t="str">
        <x:v>MAN-UI-003</x:v>
      </x:c>
      <x:c r="B54" s="5" t="str">
        <x:v>수동</x:v>
      </x:c>
      <x:c r="C54" s="5" t="str"/>
      <x:c r="D54" s="5" t="str">
        <x:v>UI-003 공통된 경험 안에서 개별 특성을 고려한 서비스</x:v>
      </x:c>
      <x:c r="E54" s="5" t="str">
        <x:v>UI-003</x:v>
      </x:c>
      <x:c r="F54" s="5" t="str">
        <x:v>1. 원문 SRC-001 디자인 원칙 / 원칙 / 공통된 경험 안에서 개별 특성을 고려한 서비스 / 53-54쪽과 적용조건을 확인한다. 2. S01~S08 / 공통의 일반사용자·관리자 및 기본/오류/로딩/완료/모바일 상태 중 관련 범위를 열어 확인한다. 3. 페이지 간 동일 기능의 표현·행동 비교. 4. 미검사 범위와 실제 환경·검사자·관찰·증빙을 기록한다.</x:v>
      </x:c>
      <x:c r="G54" s="5" t="str">
        <x:v>공통 컴포넌트와 업무별 특성을 함께 관리 구체화: 공유 디자인 토큰과 기본 패턴을 사용하고 업무 특화 변경은 예외대장에 기록</x:v>
      </x:c>
      <x:c r="H54" s="5" t="str">
        <x:v>원문 검토 + 실제 브라우저/필요 AT. NVDA·TalkBack·VoiceOver는 확보한 실제 조합만 기록</x:v>
      </x:c>
      <x:c r="I54" s="5" t="str">
        <x:v>미실행</x:v>
      </x:c>
      <x:c r="J54" s="5" t="str">
        <x:v>사람의 평가/원문등급 판정을 자동 생성하지 않음</x:v>
      </x:c>
      <x:c r="K54" s="5" t="str"/>
      <x:c r="L54" s="5" t="str"/>
      <x:c r="M54" s="5" t="str"/>
    </x:row>
    <x:row r="55" ht="39.599998474121094" hidden="0" customHeight="1">
      <x:c r="A55" s="5" t="str">
        <x:v>MAN-UI-004</x:v>
      </x:c>
      <x:c r="B55" s="5" t="str">
        <x:v>수동</x:v>
      </x:c>
      <x:c r="C55" s="5" t="str"/>
      <x:c r="D55" s="5" t="str">
        <x:v>UI-004 빠르고 간단한 서비스</x:v>
      </x:c>
      <x:c r="E55" s="5" t="str">
        <x:v>UI-004</x:v>
      </x:c>
      <x:c r="F55" s="5" t="str">
        <x:v>1. 원문 SRC-001 디자인 원칙 / 원칙 / 빠르고 간단한 서비스 / 55-56쪽과 적용조건을 확인한다. 2. S05의 일반사용자·관리자 및 기본/오류/로딩/완료/모바일 상태 중 관련 범위를 열어 확인한다. 3. 등록 과업의 단계 수와 중복입력 점검. 4. 미검사 범위와 실제 환경·검사자·관찰·증빙을 기록한다.</x:v>
      </x:c>
      <x:c r="G55" s="5" t="str">
        <x:v>불필요한 입력과 절차를 줄임 구체화: 필수 업무데이터만 수집하고 이전 입력 재사용·진행상태·처리결과를 표시</x:v>
      </x:c>
      <x:c r="H55" s="5" t="str">
        <x:v>원문 검토 + 실제 브라우저/필요 AT. NVDA·TalkBack·VoiceOver는 확보한 실제 조합만 기록</x:v>
      </x:c>
      <x:c r="I55" s="5" t="str">
        <x:v>미실행</x:v>
      </x:c>
      <x:c r="J55" s="5" t="str">
        <x:v>사람의 평가/원문등급 판정을 자동 생성하지 않음</x:v>
      </x:c>
      <x:c r="K55" s="5" t="str"/>
      <x:c r="L55" s="5" t="str"/>
      <x:c r="M55" s="5" t="str"/>
    </x:row>
    <x:row r="56" ht="39.599998474121094" hidden="0" customHeight="1">
      <x:c r="A56" s="5" t="str">
        <x:v>MAN-UI-005</x:v>
      </x:c>
      <x:c r="B56" s="5" t="str">
        <x:v>수동</x:v>
      </x:c>
      <x:c r="C56" s="5" t="str"/>
      <x:c r="D56" s="5" t="str">
        <x:v>UI-005 쉽게 이해하고 사용할 수 있는 서비스</x:v>
      </x:c>
      <x:c r="E56" s="5" t="str">
        <x:v>UI-005</x:v>
      </x:c>
      <x:c r="F56" s="5" t="str">
        <x:v>1. 원문 SRC-001 디자인 원칙 / 원칙 / 쉽게 이해하고 사용할 수 있는 서비스 / 57-58쪽과 적용조건을 확인한다. 2. S05의 일반사용자·관리자 및 기본/오류/로딩/완료/모바일 상태 중 관련 범위를 열어 확인한다. 3. 비개발자 대상 문구 검토와 과업 관찰. 4. 미검사 범위와 실제 환경·검사자·관찰·증빙을 기록한다.</x:v>
      </x:c>
      <x:c r="G56" s="5" t="str">
        <x:v>이해 가능한 용어와 예측 가능한 행동 제공 구체화: 사용자 언어로 버튼·오류·상태를 작성하고 설명·예시를 입력 근처에 제공</x:v>
      </x:c>
      <x:c r="H56" s="5" t="str">
        <x:v>원문 검토 + 실제 브라우저/필요 AT. NVDA·TalkBack·VoiceOver는 확보한 실제 조합만 기록</x:v>
      </x:c>
      <x:c r="I56" s="5" t="str">
        <x:v>미실행</x:v>
      </x:c>
      <x:c r="J56" s="5" t="str">
        <x:v>사람의 평가/원문등급 판정을 자동 생성하지 않음</x:v>
      </x:c>
      <x:c r="K56" s="5" t="str"/>
      <x:c r="L56" s="5" t="str"/>
      <x:c r="M56" s="5" t="str"/>
    </x:row>
    <x:row r="57" ht="39.599998474121094" hidden="0" customHeight="1">
      <x:c r="A57" s="5" t="str">
        <x:v>MAN-UI-006</x:v>
      </x:c>
      <x:c r="B57" s="5" t="str">
        <x:v>수동</x:v>
      </x:c>
      <x:c r="C57" s="5" t="str"/>
      <x:c r="D57" s="5" t="str">
        <x:v>UI-006 사용자의 다양한 상황을 고려하는 서비스</x:v>
      </x:c>
      <x:c r="E57" s="5" t="str">
        <x:v>UI-006</x:v>
      </x:c>
      <x:c r="F57" s="5" t="str">
        <x:v>1. 원문 SRC-001 디자인 원칙 / 원칙 / 사용자의 다양한 상황을 고려하는 서비스 / 59-60쪽과 적용조건을 확인한다. 2. S01~S08 / 공통의 일반사용자·관리자 및 기본/오류/로딩/완료/모바일 상태 중 관련 범위를 열어 확인한다. 3. 기기·입력·네트워크 매트릭스 점검. 4. 미검사 범위와 실제 환경·검사자·관찰·증빙을 기록한다.</x:v>
      </x:c>
      <x:c r="G57" s="5" t="str">
        <x:v>다양한 기기·입력·연결 상황을 고려 구체화: 작은 화면·키보드·터치·느린 요청·오프라인 안내와 복구 경로를 설계</x:v>
      </x:c>
      <x:c r="H57" s="5" t="str">
        <x:v>원문 검토 + 실제 브라우저/필요 AT. NVDA·TalkBack·VoiceOver는 확보한 실제 조합만 기록</x:v>
      </x:c>
      <x:c r="I57" s="5" t="str">
        <x:v>미실행</x:v>
      </x:c>
      <x:c r="J57" s="5" t="str">
        <x:v>사람의 평가/원문등급 판정을 자동 생성하지 않음</x:v>
      </x:c>
      <x:c r="K57" s="5" t="str"/>
      <x:c r="L57" s="5" t="str"/>
      <x:c r="M57" s="5" t="str"/>
    </x:row>
    <x:row r="58" ht="39.599998474121094" hidden="0" customHeight="1">
      <x:c r="A58" s="5" t="str">
        <x:v>MAN-UI-007</x:v>
      </x:c>
      <x:c r="B58" s="5" t="str">
        <x:v>수동</x:v>
      </x:c>
      <x:c r="C58" s="5" t="str"/>
      <x:c r="D58" s="5" t="str">
        <x:v>UI-007 신뢰할 수 있는 서비스</x:v>
      </x:c>
      <x:c r="E58" s="5" t="str">
        <x:v>UI-007</x:v>
      </x:c>
      <x:c r="F58" s="5" t="str">
        <x:v>1. 원문 SRC-001 디자인 원칙 / 원칙 / 신뢰할 수 있는 서비스 / 61-64쪽과 적용조건을 확인한다. 2. S01~S08 / 공통의 일반사용자·관리자 및 기본/오류/로딩/완료/모바일 상태 중 관련 범위를 열어 확인한다. 3. 표시 정보와 실제 서버 상태의 일치 검토. 4. 미검사 범위와 실제 환경·검사자·관찰·증빙을 기록한다.</x:v>
      </x:c>
      <x:c r="G58" s="5" t="str">
        <x:v>정확한 정보와 예측 가능한 피드백 제공 구체화: 회사 운영주체, 처리상태, 문의수단, 데이터 처리안내를 일관되게 제공</x:v>
      </x:c>
      <x:c r="H58" s="5" t="str">
        <x:v>원문 검토 + 실제 브라우저/필요 AT. NVDA·TalkBack·VoiceOver는 확보한 실제 조합만 기록</x:v>
      </x:c>
      <x:c r="I58" s="5" t="str">
        <x:v>미실행</x:v>
      </x:c>
      <x:c r="J58" s="5" t="str">
        <x:v>사람의 평가/원문등급 판정을 자동 생성하지 않음</x:v>
      </x:c>
      <x:c r="K58" s="5" t="str"/>
      <x:c r="L58" s="5" t="str"/>
      <x:c r="M58" s="5" t="str"/>
    </x:row>
    <x:row r="59" ht="39.599998474121094" hidden="0" customHeight="1">
      <x:c r="A59" s="5" t="str">
        <x:v>MAN-UI-008</x:v>
      </x:c>
      <x:c r="B59" s="5" t="str">
        <x:v>수동</x:v>
      </x:c>
      <x:c r="C59" s="5" t="str"/>
      <x:c r="D59" s="5" t="str">
        <x:v>UI-008 색상</x:v>
      </x:c>
      <x:c r="E59" s="5" t="str">
        <x:v>UI-008</x:v>
      </x:c>
      <x:c r="F59" s="5" t="str">
        <x:v>1. 원문 SRC-001 디자인 스타일 / 스타일 / 색상 / 74-101쪽과 적용조건을 확인한다. 2. S05의 일반사용자·관리자 및 기본/오류/로딩/완료/모바일 상태 중 관련 범위를 열어 확인한다. 3. 실제 전경·배경 조합의 대비 측정 및 색상 제거 점검. 4. 미검사 범위와 실제 환경·검사자·관찰·증빙을 기록한다.</x:v>
      </x:c>
      <x:c r="G59" s="5" t="str">
        <x:v>의미·상태별 색상과 대비를 토큰으로 관리 구체화: 브랜드/중립/오류/성공 색을 CSS 변수로 관리하고 색 외 텍스트·아이콘을 함께 제공</x:v>
      </x:c>
      <x:c r="H59" s="5" t="str">
        <x:v>원문 검토 + 실제 브라우저/필요 AT. NVDA·TalkBack·VoiceOver는 확보한 실제 조합만 기록</x:v>
      </x:c>
      <x:c r="I59" s="5" t="str">
        <x:v>미실행</x:v>
      </x:c>
      <x:c r="J59" s="5" t="str">
        <x:v>사람의 평가/원문등급 판정을 자동 생성하지 않음</x:v>
      </x:c>
      <x:c r="K59" s="5" t="str"/>
      <x:c r="L59" s="5" t="str"/>
      <x:c r="M59" s="5" t="str"/>
    </x:row>
    <x:row r="60" ht="39.599998474121094" hidden="0" customHeight="1">
      <x:c r="A60" s="5" t="str">
        <x:v>MAN-UI-009</x:v>
      </x:c>
      <x:c r="B60" s="5" t="str">
        <x:v>수동</x:v>
      </x:c>
      <x:c r="C60" s="5" t="str"/>
      <x:c r="D60" s="5" t="str">
        <x:v>UI-009 타이포그래피</x:v>
      </x:c>
      <x:c r="E60" s="5" t="str">
        <x:v>UI-009</x:v>
      </x:c>
      <x:c r="F60" s="5" t="str">
        <x:v>1. 원문 SRC-001 디자인 스타일 / 스타일 / 타이포그래피 / 102-125쪽과 적용조건을 확인한다. 2. S01~S08 / 공통의 일반사용자·관리자 및 기본/오류/로딩/완료/모바일 상태 중 관련 범위를 열어 확인한다. 3. 글꼴 실제 계산값과 200% 확대 시 콘텐츠·기능 보존 점검. 4. 미검사 범위와 실제 환경·검사자·관찰·증빙을 기록한다.</x:v>
      </x:c>
      <x:c r="G60" s="5" t="str">
        <x:v>본문 가독성과 글자 크기 조절을 보장 구체화: 고딕계열 글꼴, 본문 최소16px 상당·Pretendard GOV 사용 시 기본17px 상당, line-height 1.5 이상, 상대단위 적용</x:v>
      </x:c>
      <x:c r="H60" s="5" t="str">
        <x:v>원문 검토 + 실제 브라우저/필요 AT. NVDA·TalkBack·VoiceOver는 확보한 실제 조합만 기록</x:v>
      </x:c>
      <x:c r="I60" s="5" t="str">
        <x:v>미실행</x:v>
      </x:c>
      <x:c r="J60" s="5" t="str">
        <x:v>사람의 평가/원문등급 판정을 자동 생성하지 않음</x:v>
      </x:c>
      <x:c r="K60" s="5" t="str"/>
      <x:c r="L60" s="5" t="str"/>
      <x:c r="M60" s="5" t="str"/>
    </x:row>
    <x:row r="61" ht="39.599998474121094" hidden="0" customHeight="1">
      <x:c r="A61" s="5" t="str">
        <x:v>MAN-UI-010</x:v>
      </x:c>
      <x:c r="B61" s="5" t="str">
        <x:v>수동</x:v>
      </x:c>
      <x:c r="C61" s="5" t="str"/>
      <x:c r="D61" s="5" t="str">
        <x:v>UI-010 형태</x:v>
      </x:c>
      <x:c r="E61" s="5" t="str">
        <x:v>UI-010</x:v>
      </x:c>
      <x:c r="F61" s="5" t="str">
        <x:v>1. 원문 SRC-001 디자인 스타일 / 스타일 / 형태 / 126-138쪽과 적용조건을 확인한다. 2. S05의 일반사용자·관리자 및 기본/오류/로딩/완료/모바일 상태 중 관련 범위를 열어 확인한다. 3. 컴포넌트 갤러리에서 상태별 규격 비교. 4. 미검사 범위와 실제 환경·검사자·관찰·증빙을 기록한다.</x:v>
      </x:c>
      <x:c r="G61" s="5" t="str">
        <x:v>크기·모서리·테두리의 일관된 규칙 적용 구체화: 버튼·입력·선택 요소의 크기, radius, border를 토큰으로 정의</x:v>
      </x:c>
      <x:c r="H61" s="5" t="str">
        <x:v>원문 검토 + 실제 브라우저/필요 AT. NVDA·TalkBack·VoiceOver는 확보한 실제 조합만 기록</x:v>
      </x:c>
      <x:c r="I61" s="5" t="str">
        <x:v>미실행</x:v>
      </x:c>
      <x:c r="J61" s="5" t="str">
        <x:v>사람의 평가/원문등급 판정을 자동 생성하지 않음</x:v>
      </x:c>
      <x:c r="K61" s="5" t="str"/>
      <x:c r="L61" s="5" t="str"/>
      <x:c r="M61" s="5" t="str"/>
    </x:row>
    <x:row r="62" ht="39.599998474121094" hidden="0" customHeight="1">
      <x:c r="A62" s="5" t="str">
        <x:v>MAN-UI-011</x:v>
      </x:c>
      <x:c r="B62" s="5" t="str">
        <x:v>수동</x:v>
      </x:c>
      <x:c r="C62" s="5" t="str"/>
      <x:c r="D62" s="5" t="str">
        <x:v>UI-011 레이아웃</x:v>
      </x:c>
      <x:c r="E62" s="5" t="str">
        <x:v>UI-011</x:v>
      </x:c>
      <x:c r="F62" s="5" t="str">
        <x:v>1. 원문 SRC-001 디자인 스타일 / 스타일 / 레이아웃 / 139-161쪽과 적용조건을 확인한다. 2. S01~S08 / 공통의 일반사용자·관리자 및 기본/오류/로딩/완료/모바일 상태 중 관련 범위를 열어 확인한다. 3. 320 CSS px부터 데스크톱까지 재배치·수평 넘침 점검. 4. 미검사 범위와 실제 환경·검사자·관찰·증빙을 기록한다.</x:v>
      </x:c>
      <x:c r="G62" s="5" t="str">
        <x:v>화면 폭에 맞는 정보 계층과 간격 제공 구체화: 모바일 우선 그리드, 충분한 가장자리 간격, 읽기 순서와 일치하는 DOM 구성</x:v>
      </x:c>
      <x:c r="H62" s="5" t="str">
        <x:v>원문 검토 + 실제 브라우저/필요 AT. NVDA·TalkBack·VoiceOver는 확보한 실제 조합만 기록</x:v>
      </x:c>
      <x:c r="I62" s="5" t="str">
        <x:v>미실행</x:v>
      </x:c>
      <x:c r="J62" s="5" t="str">
        <x:v>사람의 평가/원문등급 판정을 자동 생성하지 않음</x:v>
      </x:c>
      <x:c r="K62" s="5" t="str"/>
      <x:c r="L62" s="5" t="str"/>
      <x:c r="M62" s="5" t="str"/>
    </x:row>
    <x:row r="63" ht="39.599998474121094" hidden="0" customHeight="1">
      <x:c r="A63" s="5" t="str">
        <x:v>MAN-UI-012</x:v>
      </x:c>
      <x:c r="B63" s="5" t="str">
        <x:v>수동</x:v>
      </x:c>
      <x:c r="C63" s="5" t="str"/>
      <x:c r="D63" s="5" t="str">
        <x:v>UI-012 아이콘</x:v>
      </x:c>
      <x:c r="E63" s="5" t="str">
        <x:v>UI-012</x:v>
      </x:c>
      <x:c r="F63" s="5" t="str">
        <x:v>1. 원문 SRC-001 디자인 스타일 / 스타일 / 아이콘 / 162-176쪽과 적용조건을 확인한다. 2. S01~S08 / 공통의 일반사용자·관리자 및 기본/오류/로딩/완료/모바일 상태 중 관련 범위를 열어 확인한다. 3. 접근성 트리의 이름·역할 확인 및 아이콘 단독 이해도 검토. 4. 미검사 범위와 실제 환경·검사자·관찰·증빙을 기록한다.</x:v>
      </x:c>
      <x:c r="G63" s="5" t="str">
        <x:v>아이콘 의미와 접근 가능한 이름을 제공 구체화: 장식 아이콘은 보조기술에서 제외하고 행동 아이콘에는 명확한 버튼 이름 제공</x:v>
      </x:c>
      <x:c r="H63" s="5" t="str">
        <x:v>원문 검토 + 실제 브라우저/필요 AT. NVDA·TalkBack·VoiceOver는 확보한 실제 조합만 기록</x:v>
      </x:c>
      <x:c r="I63" s="5" t="str">
        <x:v>미실행</x:v>
      </x:c>
      <x:c r="J63" s="5" t="str">
        <x:v>사람의 평가/원문등급 판정을 자동 생성하지 않음</x:v>
      </x:c>
      <x:c r="K63" s="5" t="str"/>
      <x:c r="L63" s="5" t="str"/>
      <x:c r="M63" s="5" t="str"/>
    </x:row>
    <x:row r="64" ht="39.599998474121094" hidden="0" customHeight="1">
      <x:c r="A64" s="5" t="str">
        <x:v>MAN-UI-013</x:v>
      </x:c>
      <x:c r="B64" s="5" t="str">
        <x:v>수동</x:v>
      </x:c>
      <x:c r="C64" s="5" t="str"/>
      <x:c r="D64" s="5" t="str">
        <x:v>UI-013 엘리베이션</x:v>
      </x:c>
      <x:c r="E64" s="5" t="str">
        <x:v>UI-013</x:v>
      </x:c>
      <x:c r="F64" s="5" t="str">
        <x:v>1. 원문 SRC-001 디자인 스타일 / 스타일 / 엘리베이션 / 177-191쪽과 적용조건을 확인한다. 2. S01~S08 / 공통의 일반사용자·관리자 및 기본/오류/로딩/완료/모바일 상태 중 관련 범위를 열어 확인한다. 3. 중첩 요소·초점 가림·강제 색상 모드 점검. 4. 미검사 범위와 실제 환경·검사자·관찰·증빙을 기록한다.</x:v>
      </x:c>
      <x:c r="G64" s="5" t="str">
        <x:v>층위 표현이 콘텐츠 식별을 방해하지 않게 함 구체화: 모달·팝오버·고정영역의 계층과 그림자를 토큰화하고 고대비 모드에서는 테두리 보완</x:v>
      </x:c>
      <x:c r="H64" s="5" t="str">
        <x:v>원문 검토 + 실제 브라우저/필요 AT. NVDA·TalkBack·VoiceOver는 확보한 실제 조합만 기록</x:v>
      </x:c>
      <x:c r="I64" s="5" t="str">
        <x:v>미실행</x:v>
      </x:c>
      <x:c r="J64" s="5" t="str">
        <x:v>사람의 평가/원문등급 판정을 자동 생성하지 않음</x:v>
      </x:c>
      <x:c r="K64" s="5" t="str"/>
      <x:c r="L64" s="5" t="str"/>
      <x:c r="M64" s="5" t="str"/>
    </x:row>
    <x:row r="65" ht="39.599998474121094" hidden="0" customHeight="1">
      <x:c r="A65" s="5" t="str">
        <x:v>MAN-UI-014</x:v>
      </x:c>
      <x:c r="B65" s="5" t="str">
        <x:v>수동</x:v>
      </x:c>
      <x:c r="C65" s="5" t="str"/>
      <x:c r="D65" s="5" t="str">
        <x:v>UI-014 선명한 화면 모드</x:v>
      </x:c>
      <x:c r="E65" s="5" t="str">
        <x:v>UI-014</x:v>
      </x:c>
      <x:c r="F65" s="5" t="str">
        <x:v>1. 원문 SRC-001 디자인 스타일 / 스타일 / 선명한 화면 모드 / 192-204쪽과 적용조건을 확인한다. 2. S01~S08 / 공통의 일반사용자·관리자 및 기본/오류/로딩/완료/모바일 상태 중 관련 범위를 열어 확인한다. 3. 각 역할의 실제 대비를 계산하고 페이지 전환 후 모드 유지 확인. 4. 미검사 범위와 실제 환경·검사자·관찰·증빙을 기록한다.</x:v>
      </x:c>
      <x:c r="G65" s="5" t="str">
        <x:v>선명한 모드에서도 모든 정보와 기능을 유지 구체화: 일반/선명한 모드를 공통 토큰으로 전환하고 본문15:1·헤딩/레이블/아이콘7:1·보조수단4.5:1 기준을 역할별 채택</x:v>
      </x:c>
      <x:c r="H65" s="5" t="str">
        <x:v>원문 검토 + 실제 브라우저/필요 AT. NVDA·TalkBack·VoiceOver는 확보한 실제 조합만 기록</x:v>
      </x:c>
      <x:c r="I65" s="5" t="str">
        <x:v>미실행</x:v>
      </x:c>
      <x:c r="J65" s="5" t="str">
        <x:v>사람의 평가/원문등급 판정을 자동 생성하지 않음</x:v>
      </x:c>
      <x:c r="K65" s="5" t="str"/>
      <x:c r="L65" s="5" t="str"/>
      <x:c r="M65" s="5" t="str"/>
    </x:row>
    <x:row r="66" ht="39.599998474121094" hidden="0" customHeight="1">
      <x:c r="A66" s="5" t="str">
        <x:v>MAN-UI-015</x:v>
      </x:c>
      <x:c r="B66" s="5" t="str">
        <x:v>수동</x:v>
      </x:c>
      <x:c r="C66" s="5" t="str"/>
      <x:c r="D66" s="5" t="str">
        <x:v>UI-015 디자인 토큰</x:v>
      </x:c>
      <x:c r="E66" s="5" t="str">
        <x:v>UI-015</x:v>
      </x:c>
      <x:c r="F66" s="5" t="str">
        <x:v>1. 원문 SRC-001 디자인 스타일 / 스타일 / 디자인 토큰 / 205-219쪽과 적용조건을 확인한다. 2. S01~S08 / 공통의 일반사용자·관리자 및 기본/오류/로딩/완료/모바일 상태 중 관련 범위를 열어 확인한다. 3. 토큰 정의와 컴포넌트 참조를 정적 검사. 4. 미검사 범위와 실제 환경·검사자·관찰·증빙을 기록한다.</x:v>
      </x:c>
      <x:c r="G66" s="5" t="str">
        <x:v>스타일 값을 재사용 가능한 변수로 관리 구체화: 원시 토큰·의미 토큰·컴포넌트 토큰을 분리하고 직접 색상값 사용을 제한</x:v>
      </x:c>
      <x:c r="H66" s="5" t="str">
        <x:v>원문 검토 + 실제 브라우저/필요 AT. NVDA·TalkBack·VoiceOver는 확보한 실제 조합만 기록</x:v>
      </x:c>
      <x:c r="I66" s="5" t="str">
        <x:v>미실행</x:v>
      </x:c>
      <x:c r="J66" s="5" t="str">
        <x:v>사람의 평가/원문등급 판정을 자동 생성하지 않음</x:v>
      </x:c>
      <x:c r="K66" s="5" t="str"/>
      <x:c r="L66" s="5" t="str"/>
      <x:c r="M66" s="5" t="str"/>
    </x:row>
    <x:row r="67" ht="39.599998474121094" hidden="0" customHeight="1">
      <x:c r="A67" s="5" t="str">
        <x:v>MAN-UI-016</x:v>
      </x:c>
      <x:c r="B67" s="5" t="str">
        <x:v>수동</x:v>
      </x:c>
      <x:c r="C67" s="5" t="str"/>
      <x:c r="D67" s="5" t="str">
        <x:v>UI-016 공식 배너</x:v>
      </x:c>
      <x:c r="E67" s="5" t="str">
        <x:v>UI-016</x:v>
      </x:c>
      <x:c r="F67" s="5" t="str">
        <x:v>1. 원문 SRC-001 컴포넌트 / 아이덴티티 / 공식 배너 / 220-226쪽과 적용조건을 확인한다. 2. S01~S08 / 공통의 일반사용자·관리자 및 기본/오류/로딩/완료/모바일 상태 중 관련 범위를 열어 확인한다. 3. 화면·정적 자산에서 정부 배너 및 오인 문구 부재 확인. 4. 미검사 범위와 실제 환경·검사자·관찰·증빙을 기록한다.</x:v>
      </x:c>
      <x:c r="G67" s="5" t="str">
        <x:v>회사 샘플에 정부 공식 배너를 표시하지 않음 구체화: 정부 공식서비스임을 나타내는 문구·정부상징을 넣지 않고 회사 브랜드만 사용</x:v>
      </x:c>
      <x:c r="H67" s="5" t="str">
        <x:v>원문 검토 + 실제 브라우저/필요 AT. NVDA·TalkBack·VoiceOver는 확보한 실제 조합만 기록</x:v>
      </x:c>
      <x:c r="I67" s="5" t="str">
        <x:v>미실행</x:v>
      </x:c>
      <x:c r="J67" s="5" t="str">
        <x:v>사람의 평가/원문등급 판정을 자동 생성하지 않음</x:v>
      </x:c>
      <x:c r="K67" s="5" t="str"/>
      <x:c r="L67" s="5" t="str"/>
      <x:c r="M67" s="5" t="str"/>
    </x:row>
    <x:row r="68" ht="39.599998474121094" hidden="0" customHeight="1">
      <x:c r="A68" s="5" t="str">
        <x:v>MAN-UI-017</x:v>
      </x:c>
      <x:c r="B68" s="5" t="str">
        <x:v>수동</x:v>
      </x:c>
      <x:c r="C68" s="5" t="str"/>
      <x:c r="D68" s="5" t="str">
        <x:v>UI-017 운영기관 식별자</x:v>
      </x:c>
      <x:c r="E68" s="5" t="str">
        <x:v>UI-017</x:v>
      </x:c>
      <x:c r="F68" s="5" t="str">
        <x:v>1. 원문 SRC-001 컴포넌트 / 아이덴티티 / 운영기관 식별자 / 227-232쪽과 적용조건을 확인한다. 2. S01~S08 / 공통의 일반사용자·관리자 및 기본/오류/로딩/완료/모바일 상태 중 관련 범위를 열어 확인한다. 3. 정부서비스로 오인할 식별자·상위기관 로고 부재 확인. 4. 미검사 범위와 실제 환경·검사자·관찰·증빙을 기록한다.</x:v>
      </x:c>
      <x:c r="G68" s="5" t="str">
        <x:v>회사 샘플에 정부 운영기관 식별자를 사용하지 않음 구체화: 회사 정보는 일반 푸터로 표시; 공공 프로젝트 프로필에서만 운영기관 식별자 검토</x:v>
      </x:c>
      <x:c r="H68" s="5" t="str">
        <x:v>원문 검토 + 실제 브라우저/필요 AT. NVDA·TalkBack·VoiceOver는 확보한 실제 조합만 기록</x:v>
      </x:c>
      <x:c r="I68" s="5" t="str">
        <x:v>미실행</x:v>
      </x:c>
      <x:c r="J68" s="5" t="str">
        <x:v>사람의 평가/원문등급 판정을 자동 생성하지 않음</x:v>
      </x:c>
      <x:c r="K68" s="5" t="str"/>
      <x:c r="L68" s="5" t="str"/>
      <x:c r="M68" s="5" t="str"/>
    </x:row>
    <x:row r="69" ht="39.599998474121094" hidden="0" customHeight="1">
      <x:c r="A69" s="5" t="str">
        <x:v>MAN-UI-018</x:v>
      </x:c>
      <x:c r="B69" s="5" t="str">
        <x:v>수동</x:v>
      </x:c>
      <x:c r="C69" s="5" t="str"/>
      <x:c r="D69" s="5" t="str">
        <x:v>UI-018 헤더</x:v>
      </x:c>
      <x:c r="E69" s="5" t="str">
        <x:v>UI-018</x:v>
      </x:c>
      <x:c r="F69" s="5" t="str">
        <x:v>1. 원문 SRC-001 컴포넌트 / 아이덴티티 / 헤더 / 233-245쪽과 적용조건을 확인한다. 2. S01, S05의 일반사용자·관리자 및 기본/오류/로딩/완료/모바일 상태 중 관련 범위를 열어 확인한다. 3. 모든 경로의 헤더·키보드 메뉴·고정영역 가림 점검. 4. 미검사 범위와 실제 환경·검사자·관찰·증빙을 기록한다.</x:v>
      </x:c>
      <x:c r="G69" s="5" t="str">
        <x:v>일관된 탐색과 서비스 식별 제공 구체화: 회사 로고·주요 메뉴·검색·로그인 상태를 일관되게 배치하고 좁은 화면에서 축약</x:v>
      </x:c>
      <x:c r="H69" s="5" t="str">
        <x:v>원문 검토 + 실제 브라우저/필요 AT. NVDA·TalkBack·VoiceOver는 확보한 실제 조합만 기록</x:v>
      </x:c>
      <x:c r="I69" s="5" t="str">
        <x:v>미실행</x:v>
      </x:c>
      <x:c r="J69" s="5" t="str">
        <x:v>사람의 평가/원문등급 판정을 자동 생성하지 않음</x:v>
      </x:c>
      <x:c r="K69" s="5" t="str"/>
      <x:c r="L69" s="5" t="str"/>
      <x:c r="M69" s="5" t="str"/>
    </x:row>
    <x:row r="70" ht="39.599998474121094" hidden="0" customHeight="1">
      <x:c r="A70" s="5" t="str">
        <x:v>MAN-UI-019</x:v>
      </x:c>
      <x:c r="B70" s="5" t="str">
        <x:v>수동</x:v>
      </x:c>
      <x:c r="C70" s="5" t="str"/>
      <x:c r="D70" s="5" t="str">
        <x:v>UI-019 푸터</x:v>
      </x:c>
      <x:c r="E70" s="5" t="str">
        <x:v>UI-019</x:v>
      </x:c>
      <x:c r="F70" s="5" t="str">
        <x:v>1. 원문 SRC-001 컴포넌트 / 아이덴티티 / 푸터 / 246-253쪽과 적용조건을 확인한다. 2. S01~S08 / 공통의 일반사용자·관리자 및 기본/오류/로딩/완료/모바일 상태 중 관련 범위를 열어 확인한다. 3. 본문이 짧거나 긴 화면에서 위치·링크·보조기술 확인. 4. 미검사 범위와 실제 환경·검사자·관찰·증빙을 기록한다.</x:v>
      </x:c>
      <x:c r="G70" s="5" t="str">
        <x:v>운영·문의·정책 정보를 쉽게 찾게 함 구체화: footer 랜드마크에 회사 정보와 문의 링크, 시각적으로 구분한 개인정보 처리방침 제공</x:v>
      </x:c>
      <x:c r="H70" s="5" t="str">
        <x:v>원문 검토 + 실제 브라우저/필요 AT. NVDA·TalkBack·VoiceOver는 확보한 실제 조합만 기록</x:v>
      </x:c>
      <x:c r="I70" s="5" t="str">
        <x:v>미실행</x:v>
      </x:c>
      <x:c r="J70" s="5" t="str">
        <x:v>사람의 평가/원문등급 판정을 자동 생성하지 않음</x:v>
      </x:c>
      <x:c r="K70" s="5" t="str"/>
      <x:c r="L70" s="5" t="str"/>
      <x:c r="M70" s="5" t="str"/>
    </x:row>
    <x:row r="71" ht="39.599998474121094" hidden="0" customHeight="1">
      <x:c r="A71" s="5" t="str">
        <x:v>MAN-UI-020</x:v>
      </x:c>
      <x:c r="B71" s="5" t="str">
        <x:v>수동</x:v>
      </x:c>
      <x:c r="C71" s="5" t="str"/>
      <x:c r="D71" s="5" t="str">
        <x:v>UI-020 건너뛰기 링크</x:v>
      </x:c>
      <x:c r="E71" s="5" t="str">
        <x:v>UI-020</x:v>
      </x:c>
      <x:c r="F71" s="5" t="str">
        <x:v>1. 원문 SRC-001 컴포넌트 / 탐색 / 건너뛰기 링크 / 254-262쪽과 적용조건을 확인한다. 2. S01~S08 / 공통의 일반사용자·관리자 및 기본/오류/로딩/완료/모바일 상태 중 관련 범위를 열어 확인한다. 3. Tab 첫 진입과 Enter 후 실제 초점·스크롤 위치 확인. 4. 미검사 범위와 실제 환경·검사자·관찰·증빙을 기록한다.</x:v>
      </x:c>
      <x:c r="G71" s="5" t="str">
        <x:v>반복 영역을 건너 본문으로 이동 구체화: 문서 첫 포커스 위치에 본문 바로가기 제공하고 실행 시 main으로 초점 이동</x:v>
      </x:c>
      <x:c r="H71" s="5" t="str">
        <x:v>원문 검토 + 실제 브라우저/필요 AT. NVDA·TalkBack·VoiceOver는 확보한 실제 조합만 기록</x:v>
      </x:c>
      <x:c r="I71" s="5" t="str">
        <x:v>미실행</x:v>
      </x:c>
      <x:c r="J71" s="5" t="str">
        <x:v>사람의 평가/원문등급 판정을 자동 생성하지 않음</x:v>
      </x:c>
      <x:c r="K71" s="5" t="str"/>
      <x:c r="L71" s="5" t="str"/>
      <x:c r="M71" s="5" t="str"/>
    </x:row>
    <x:row r="72" ht="39.599998474121094" hidden="0" customHeight="1">
      <x:c r="A72" s="5" t="str">
        <x:v>MAN-UI-021</x:v>
      </x:c>
      <x:c r="B72" s="5" t="str">
        <x:v>수동</x:v>
      </x:c>
      <x:c r="C72" s="5" t="str"/>
      <x:c r="D72" s="5" t="str">
        <x:v>UI-021 메인 메뉴</x:v>
      </x:c>
      <x:c r="E72" s="5" t="str">
        <x:v>UI-021</x:v>
      </x:c>
      <x:c r="F72" s="5" t="str">
        <x:v>1. 원문 SRC-001 컴포넌트 / 탐색 / 메인 메뉴 / 263-279쪽과 적용조건을 확인한다. 2. S01~S08 / 공통의 일반사용자·관리자 및 기본/오류/로딩/완료/모바일 상태 중 관련 범위를 열어 확인한다. 3. Tab·Enter·Escape와 화면낭독기로 탐색 확인. 4. 미검사 범위와 실제 환경·검사자·관찰·증빙을 기록한다.</x:v>
      </x:c>
      <x:c r="G72" s="5" t="str">
        <x:v>직관적 레이블과 일관된 메뉴 구조 구체화: 업무요청·내 요청·관리·도움말로 구성하고 클릭/키보드로 열림 상태 관리</x:v>
      </x:c>
      <x:c r="H72" s="5" t="str">
        <x:v>원문 검토 + 실제 브라우저/필요 AT. NVDA·TalkBack·VoiceOver는 확보한 실제 조합만 기록</x:v>
      </x:c>
      <x:c r="I72" s="5" t="str">
        <x:v>미실행</x:v>
      </x:c>
      <x:c r="J72" s="5" t="str">
        <x:v>사람의 평가/원문등급 판정을 자동 생성하지 않음</x:v>
      </x:c>
      <x:c r="K72" s="5" t="str"/>
      <x:c r="L72" s="5" t="str"/>
      <x:c r="M72" s="5" t="str"/>
    </x:row>
    <x:row r="73" ht="39.599998474121094" hidden="0" customHeight="1">
      <x:c r="A73" s="5" t="str">
        <x:v>MAN-UI-022</x:v>
      </x:c>
      <x:c r="B73" s="5" t="str">
        <x:v>수동</x:v>
      </x:c>
      <x:c r="C73" s="5" t="str"/>
      <x:c r="D73" s="5" t="str">
        <x:v>UI-022 브레드크럼</x:v>
      </x:c>
      <x:c r="E73" s="5" t="str">
        <x:v>UI-022</x:v>
      </x:c>
      <x:c r="F73" s="5" t="str">
        <x:v>1. 원문 SRC-001 컴포넌트 / 탐색 / 브레드크럼 / 280-292쪽과 적용조건을 확인한다. 2. S03의 일반사용자·관리자 및 기본/오류/로딩/완료/모바일 상태 중 관련 범위를 열어 확인한다. 3. 상세화면의 경로·링크 이름·현재 위치 확인. 4. 미검사 범위와 실제 환경·검사자·관찰·증빙을 기록한다.</x:v>
      </x:c>
      <x:c r="G73" s="5" t="str">
        <x:v>현재 위치와 상위 경로 식별 구체화: 홈/업무요청/상세의 계층을 nav와 목록으로 표현하고 현재 위치 알림</x:v>
      </x:c>
      <x:c r="H73" s="5" t="str">
        <x:v>원문 검토 + 실제 브라우저/필요 AT. NVDA·TalkBack·VoiceOver는 확보한 실제 조합만 기록</x:v>
      </x:c>
      <x:c r="I73" s="5" t="str">
        <x:v>미실행</x:v>
      </x:c>
      <x:c r="J73" s="5" t="str">
        <x:v>사람의 평가/원문등급 판정을 자동 생성하지 않음</x:v>
      </x:c>
      <x:c r="K73" s="5" t="str"/>
      <x:c r="L73" s="5" t="str"/>
      <x:c r="M73" s="5" t="str"/>
    </x:row>
    <x:row r="74" ht="39.599998474121094" hidden="0" customHeight="1">
      <x:c r="A74" s="5" t="str">
        <x:v>MAN-UI-023</x:v>
      </x:c>
      <x:c r="B74" s="5" t="str">
        <x:v>수동</x:v>
      </x:c>
      <x:c r="C74" s="5" t="str"/>
      <x:c r="D74" s="5" t="str">
        <x:v>UI-023 사이드 메뉴</x:v>
      </x:c>
      <x:c r="E74" s="5" t="str">
        <x:v>UI-023</x:v>
      </x:c>
      <x:c r="F74" s="5" t="str">
        <x:v>1. 원문 SRC-001 컴포넌트 / 탐색 / 사이드 메뉴 / 293-307쪽과 적용조건을 확인한다. 2. S01, S04, S06의 일반사용자·관리자 및 기본/오류/로딩/완료/모바일 상태 중 관련 범위를 열어 확인한다. 3. 선택 상태와 키보드 순서, 작은 화면 대체 탐색 점검. 4. 미검사 범위와 실제 환경·검사자·관찰·증빙을 기록한다.</x:v>
      </x:c>
      <x:c r="G74" s="5" t="str">
        <x:v>관리 영역 하위 메뉴의 현재 위치 표시 구체화: 관리자 화면이 복수 섹션일 때 최대 2수준 메뉴와 현재 항목 표시</x:v>
      </x:c>
      <x:c r="H74" s="5" t="str">
        <x:v>원문 검토 + 실제 브라우저/필요 AT. NVDA·TalkBack·VoiceOver는 확보한 실제 조합만 기록</x:v>
      </x:c>
      <x:c r="I74" s="5" t="str">
        <x:v>미실행</x:v>
      </x:c>
      <x:c r="J74" s="5" t="str">
        <x:v>사람의 평가/원문등급 판정을 자동 생성하지 않음</x:v>
      </x:c>
      <x:c r="K74" s="5" t="str"/>
      <x:c r="L74" s="5" t="str"/>
      <x:c r="M74" s="5" t="str"/>
    </x:row>
    <x:row r="75" ht="39.599998474121094" hidden="0" customHeight="1">
      <x:c r="A75" s="5" t="str">
        <x:v>MAN-UI-024</x:v>
      </x:c>
      <x:c r="B75" s="5" t="str">
        <x:v>수동</x:v>
      </x:c>
      <x:c r="C75" s="5" t="str"/>
      <x:c r="D75" s="5" t="str">
        <x:v>UI-024 콘텐츠 내 탐색</x:v>
      </x:c>
      <x:c r="E75" s="5" t="str">
        <x:v>UI-024</x:v>
      </x:c>
      <x:c r="F75" s="5" t="str">
        <x:v>1. 원문 SRC-001 컴포넌트 / 탐색 / 콘텐츠 내 탐색 / 308-316쪽과 적용조건을 확인한다. 2. S01~S08 / 공통의 일반사용자·관리자 및 기본/오류/로딩/완료/모바일 상태 중 관련 범위를 열어 확인한다. 3. 목차 실행 시 목표 제목으로 초점 이동 확인. 4. 미검사 범위와 실제 환경·검사자·관찰·증빙을 기록한다.</x:v>
      </x:c>
      <x:c r="G75" s="5" t="str">
        <x:v>긴 문서의 섹션 탐색 제공 구체화: 장문의 도움말·정책 페이지에 제목과 일치하는 목차 링크 제공</x:v>
      </x:c>
      <x:c r="H75" s="5" t="str">
        <x:v>원문 검토 + 실제 브라우저/필요 AT. NVDA·TalkBack·VoiceOver는 확보한 실제 조합만 기록</x:v>
      </x:c>
      <x:c r="I75" s="5" t="str">
        <x:v>미실행</x:v>
      </x:c>
      <x:c r="J75" s="5" t="str">
        <x:v>사람의 평가/원문등급 판정을 자동 생성하지 않음</x:v>
      </x:c>
      <x:c r="K75" s="5" t="str"/>
      <x:c r="L75" s="5" t="str"/>
      <x:c r="M75" s="5" t="str"/>
    </x:row>
    <x:row r="76" ht="39.599998474121094" hidden="0" customHeight="1">
      <x:c r="A76" s="5" t="str">
        <x:v>MAN-UI-025</x:v>
      </x:c>
      <x:c r="B76" s="5" t="str">
        <x:v>수동</x:v>
      </x:c>
      <x:c r="C76" s="5" t="str"/>
      <x:c r="D76" s="5" t="str">
        <x:v>UI-025 페이지네이션</x:v>
      </x:c>
      <x:c r="E76" s="5" t="str">
        <x:v>UI-025</x:v>
      </x:c>
      <x:c r="F76" s="5" t="str">
        <x:v>1. 원문 SRC-001 컴포넌트 / 탐색 / 페이지네이션 / 317-338쪽과 적용조건을 확인한다. 2. S03의 일반사용자·관리자 및 기본/오류/로딩/완료/모바일 상태 중 관련 범위를 열어 확인한다. 3. 첫/중간/마지막 페이지의 이동·상태·초점 보존 확인. 4. 미검사 범위와 실제 환경·검사자·관찰·증빙을 기록한다.</x:v>
      </x:c>
      <x:c r="G76" s="5" t="str">
        <x:v>목록 범위와 이동수단 제공 구체화: 현재 페이지·전체 건수·이전/다음과 접근 가능한 페이지 이름 제공</x:v>
      </x:c>
      <x:c r="H76" s="5" t="str">
        <x:v>원문 검토 + 실제 브라우저/필요 AT. NVDA·TalkBack·VoiceOver는 확보한 실제 조합만 기록</x:v>
      </x:c>
      <x:c r="I76" s="5" t="str">
        <x:v>미실행</x:v>
      </x:c>
      <x:c r="J76" s="5" t="str">
        <x:v>사람의 평가/원문등급 판정을 자동 생성하지 않음</x:v>
      </x:c>
      <x:c r="K76" s="5" t="str"/>
      <x:c r="L76" s="5" t="str"/>
      <x:c r="M76" s="5" t="str"/>
    </x:row>
    <x:row r="77" ht="39.599998474121094" hidden="0" customHeight="1">
      <x:c r="A77" s="5" t="str">
        <x:v>MAN-UI-026</x:v>
      </x:c>
      <x:c r="B77" s="5" t="str">
        <x:v>수동</x:v>
      </x:c>
      <x:c r="C77" s="5" t="str"/>
      <x:c r="D77" s="5" t="str">
        <x:v>UI-026 탭바</x:v>
      </x:c>
      <x:c r="E77" s="5" t="str">
        <x:v>UI-026</x:v>
      </x:c>
      <x:c r="F77" s="5" t="str">
        <x:v>1. 원문 SRC-001 컴포넌트 / 탐색 / 탭바 / 339-352쪽과 적용조건을 확인한다. 2. S01~S08 / 공통의 일반사용자·관리자 및 기본/오류/로딩/완료/모바일 상태 중 관련 범위를 열어 확인한다. 3. 작은 화면에서 내용·초점이 하단바에 가리지 않는지 확인. 4. 미검사 범위와 실제 환경·검사자·관찰·증빙을 기록한다.</x:v>
      </x:c>
      <x:c r="G77" s="5" t="str">
        <x:v>모바일 주요 탐색을 일관되게 제공 구체화: 하단 탐색 채택 시 5개 이하 메뉴·아이콘과 텍스트·현재 메뉴를 제공</x:v>
      </x:c>
      <x:c r="H77" s="5" t="str">
        <x:v>원문 검토 + 실제 브라우저/필요 AT. NVDA·TalkBack·VoiceOver는 확보한 실제 조합만 기록</x:v>
      </x:c>
      <x:c r="I77" s="5" t="str">
        <x:v>미실행</x:v>
      </x:c>
      <x:c r="J77" s="5" t="str">
        <x:v>사람의 평가/원문등급 판정을 자동 생성하지 않음</x:v>
      </x:c>
      <x:c r="K77" s="5" t="str"/>
      <x:c r="L77" s="5" t="str"/>
      <x:c r="M77" s="5" t="str"/>
    </x:row>
    <x:row r="78" ht="39.599998474121094" hidden="0" customHeight="1">
      <x:c r="A78" s="5" t="str">
        <x:v>MAN-UI-027</x:v>
      </x:c>
      <x:c r="B78" s="5" t="str">
        <x:v>수동</x:v>
      </x:c>
      <x:c r="C78" s="5" t="str"/>
      <x:c r="D78" s="5" t="str">
        <x:v>UI-027 구조화 목록</x:v>
      </x:c>
      <x:c r="E78" s="5" t="str">
        <x:v>UI-027</x:v>
      </x:c>
      <x:c r="F78" s="5" t="str">
        <x:v>1. 원문 SRC-001 컴포넌트 / 레이아웃·표현 / 구조화 목록 / 353-359쪽과 적용조건을 확인한다. 2. S03의 일반사용자·관리자 및 기본/오류/로딩/완료/모바일 상태 중 관련 범위를 열어 확인한다. 3. 목록 항목과 제목·링크의 구조를 보조기술로 점검. 4. 미검사 범위와 실제 환경·검사자·관찰·증빙을 기록한다.</x:v>
      </x:c>
      <x:c r="G78" s="5" t="str">
        <x:v>동일 속성의 자료를 일정한 구조로 표현 구체화: 요청 카드마다 제목·상태·날짜·담당자 순서를 고정</x:v>
      </x:c>
      <x:c r="H78" s="5" t="str">
        <x:v>원문 검토 + 실제 브라우저/필요 AT. NVDA·TalkBack·VoiceOver는 확보한 실제 조합만 기록</x:v>
      </x:c>
      <x:c r="I78" s="5" t="str">
        <x:v>미실행</x:v>
      </x:c>
      <x:c r="J78" s="5" t="str">
        <x:v>사람의 평가/원문등급 판정을 자동 생성하지 않음</x:v>
      </x:c>
      <x:c r="K78" s="5" t="str"/>
      <x:c r="L78" s="5" t="str"/>
      <x:c r="M78" s="5" t="str"/>
    </x:row>
    <x:row r="79" ht="39.599998474121094" hidden="0" customHeight="1">
      <x:c r="A79" s="5" t="str">
        <x:v>MAN-UI-028</x:v>
      </x:c>
      <x:c r="B79" s="5" t="str">
        <x:v>수동</x:v>
      </x:c>
      <x:c r="C79" s="5" t="str"/>
      <x:c r="D79" s="5" t="str">
        <x:v>UI-028 긴급 공지</x:v>
      </x:c>
      <x:c r="E79" s="5" t="str">
        <x:v>UI-028</x:v>
      </x:c>
      <x:c r="F79" s="5" t="str">
        <x:v>1. 원문 SRC-001 컴포넌트 / 레이아웃·표현 / 긴급 공지 / 360-367쪽과 적용조건을 확인한다. 2. S01~S08 / 공통의 일반사용자·관리자 및 기본/오류/로딩/완료/모바일 상태 중 관련 범위를 열어 확인한다. 3. 반복 낭독이나 과도한 초점 강제 없이 인지 가능한지 확인. 4. 미검사 범위와 실제 환경·검사자·관찰·증빙을 기록한다.</x:v>
      </x:c>
      <x:c r="G79" s="5" t="str">
        <x:v>즉시 알아야 할 공지를 적절한 우선순위로 제공 구체화: 서비스 장애가 있을 때만 상단 공지, 일시·영향·대처 안내</x:v>
      </x:c>
      <x:c r="H79" s="5" t="str">
        <x:v>원문 검토 + 실제 브라우저/필요 AT. NVDA·TalkBack·VoiceOver는 확보한 실제 조합만 기록</x:v>
      </x:c>
      <x:c r="I79" s="5" t="str">
        <x:v>미실행</x:v>
      </x:c>
      <x:c r="J79" s="5" t="str">
        <x:v>사람의 평가/원문등급 판정을 자동 생성하지 않음</x:v>
      </x:c>
      <x:c r="K79" s="5" t="str"/>
      <x:c r="L79" s="5" t="str"/>
      <x:c r="M79" s="5" t="str"/>
    </x:row>
    <x:row r="80" ht="39.599998474121094" hidden="0" customHeight="1">
      <x:c r="A80" s="5" t="str">
        <x:v>MAN-UI-029</x:v>
      </x:c>
      <x:c r="B80" s="5" t="str">
        <x:v>수동</x:v>
      </x:c>
      <x:c r="C80" s="5" t="str"/>
      <x:c r="D80" s="5" t="str">
        <x:v>UI-029 달력</x:v>
      </x:c>
      <x:c r="E80" s="5" t="str">
        <x:v>UI-029</x:v>
      </x:c>
      <x:c r="F80" s="5" t="str">
        <x:v>1. 원문 SRC-001 컴포넌트 / 레이아웃·표현 / 달력 / 368-378쪽과 적용조건을 확인한다. 2. S05의 일반사용자·관리자 및 기본/오류/로딩/완료/모바일 상태 중 관련 범위를 열어 확인한다. 3. 날짜 이동·선택·닫기·초점 복귀와 날짜 형식 안내 확인. 4. 미검사 범위와 실제 환경·검사자·관찰·증빙을 기록한다.</x:v>
      </x:c>
      <x:c r="G80" s="5" t="str">
        <x:v>달력 선택과 직접 입력을 함께 지원 구체화: 사용 시 날짜 텍스트 입력을 기본으로 유지하고 팝업 달력에 키보드 조작 제공</x:v>
      </x:c>
      <x:c r="H80" s="5" t="str">
        <x:v>원문 검토 + 실제 브라우저/필요 AT. NVDA·TalkBack·VoiceOver는 확보한 실제 조합만 기록</x:v>
      </x:c>
      <x:c r="I80" s="5" t="str">
        <x:v>미실행</x:v>
      </x:c>
      <x:c r="J80" s="5" t="str">
        <x:v>사람의 평가/원문등급 판정을 자동 생성하지 않음</x:v>
      </x:c>
      <x:c r="K80" s="5" t="str"/>
      <x:c r="L80" s="5" t="str"/>
      <x:c r="M80" s="5" t="str"/>
    </x:row>
    <x:row r="81" ht="39.599998474121094" hidden="0" customHeight="1">
      <x:c r="A81" s="5" t="str">
        <x:v>MAN-UI-030</x:v>
      </x:c>
      <x:c r="B81" s="5" t="str">
        <x:v>수동</x:v>
      </x:c>
      <x:c r="C81" s="5" t="str"/>
      <x:c r="D81" s="5" t="str">
        <x:v>UI-030 디스클로저</x:v>
      </x:c>
      <x:c r="E81" s="5" t="str">
        <x:v>UI-030</x:v>
      </x:c>
      <x:c r="F81" s="5" t="str">
        <x:v>1. 원문 SRC-001 컴포넌트 / 레이아웃·표현 / 디스클로저 / 379-386쪽과 적용조건을 확인한다. 2. S01~S08 / 공통의 일반사용자·관리자 및 기본/오류/로딩/완료/모바일 상태 중 관련 범위를 열어 확인한다. 3. Enter/Space 작동, 펼침 상태와 숨긴 콘텐츠 접근 확인. 4. 미검사 범위와 실제 환경·검사자·관찰·증빙을 기록한다.</x:v>
      </x:c>
      <x:c r="G81" s="5" t="str">
        <x:v>추가 정보의 펼침 상태를 명확히 표현 구체화: 기본 details/summary 또는 버튼과 aria-expanded로 보충정보 표시</x:v>
      </x:c>
      <x:c r="H81" s="5" t="str">
        <x:v>원문 검토 + 실제 브라우저/필요 AT. NVDA·TalkBack·VoiceOver는 확보한 실제 조합만 기록</x:v>
      </x:c>
      <x:c r="I81" s="5" t="str">
        <x:v>미실행</x:v>
      </x:c>
      <x:c r="J81" s="5" t="str">
        <x:v>사람의 평가/원문등급 판정을 자동 생성하지 않음</x:v>
      </x:c>
      <x:c r="K81" s="5" t="str"/>
      <x:c r="L81" s="5" t="str"/>
      <x:c r="M81" s="5" t="str"/>
    </x:row>
    <x:row r="82" ht="39.599998474121094" hidden="0" customHeight="1">
      <x:c r="A82" s="5" t="str">
        <x:v>MAN-UI-031</x:v>
      </x:c>
      <x:c r="B82" s="5" t="str">
        <x:v>수동</x:v>
      </x:c>
      <x:c r="C82" s="5" t="str"/>
      <x:c r="D82" s="5" t="str">
        <x:v>UI-031 모달</x:v>
      </x:c>
      <x:c r="E82" s="5" t="str">
        <x:v>UI-031</x:v>
      </x:c>
      <x:c r="F82" s="5" t="str">
        <x:v>1. 원문 SRC-001 컴포넌트 / 레이아웃·표현 / 모달 / 387-398쪽과 적용조건을 확인한다. 2. S01~S08 / 공통의 일반사용자·관리자 및 기본/오류/로딩/완료/모바일 상태 중 관련 범위를 열어 확인한다. 3. 키보드 순환·Escape·스크린리더·배경 비활성 점검. 4. 미검사 범위와 실제 환경·검사자·관찰·증빙을 기록한다.</x:v>
      </x:c>
      <x:c r="G82" s="5" t="str">
        <x:v>모달 내 작업·닫기·초점 흐름 제공 구체화: 제목을 연결한 대화상자, 내부 포커스 유지, Escape·취소, 호출 버튼으로 복귀</x:v>
      </x:c>
      <x:c r="H82" s="5" t="str">
        <x:v>원문 검토 + 실제 브라우저/필요 AT. NVDA·TalkBack·VoiceOver는 확보한 실제 조합만 기록</x:v>
      </x:c>
      <x:c r="I82" s="5" t="str">
        <x:v>미실행</x:v>
      </x:c>
      <x:c r="J82" s="5" t="str">
        <x:v>사람의 평가/원문등급 판정을 자동 생성하지 않음</x:v>
      </x:c>
      <x:c r="K82" s="5" t="str"/>
      <x:c r="L82" s="5" t="str"/>
      <x:c r="M82" s="5" t="str"/>
    </x:row>
    <x:row r="83" ht="39.599998474121094" hidden="0" customHeight="1">
      <x:c r="A83" s="5" t="str">
        <x:v>MAN-UI-032</x:v>
      </x:c>
      <x:c r="B83" s="5" t="str">
        <x:v>수동</x:v>
      </x:c>
      <x:c r="C83" s="5" t="str"/>
      <x:c r="D83" s="5" t="str">
        <x:v>UI-032 배지</x:v>
      </x:c>
      <x:c r="E83" s="5" t="str">
        <x:v>UI-032</x:v>
      </x:c>
      <x:c r="F83" s="5" t="str">
        <x:v>1. 원문 SRC-001 컴포넌트 / 레이아웃·표현 / 배지 / 399-404쪽과 적용조건을 확인한다. 2. S05의 일반사용자·관리자 및 기본/오류/로딩/완료/모바일 상태 중 관련 범위를 열어 확인한다. 3. 색 제거 시에도 상태 구분 가능 여부 확인. 4. 미검사 범위와 실제 환경·검사자·관찰·증빙을 기록한다.</x:v>
      </x:c>
      <x:c r="G83" s="5" t="str">
        <x:v>상태를 텍스트와 시각 단서로 전달 구체화: 접수/처리중/완료 상태를 텍스트+색+필요시 아이콘으로 표현</x:v>
      </x:c>
      <x:c r="H83" s="5" t="str">
        <x:v>원문 검토 + 실제 브라우저/필요 AT. NVDA·TalkBack·VoiceOver는 확보한 실제 조합만 기록</x:v>
      </x:c>
      <x:c r="I83" s="5" t="str">
        <x:v>미실행</x:v>
      </x:c>
      <x:c r="J83" s="5" t="str">
        <x:v>사람의 평가/원문등급 판정을 자동 생성하지 않음</x:v>
      </x:c>
      <x:c r="K83" s="5" t="str"/>
      <x:c r="L83" s="5" t="str"/>
      <x:c r="M83" s="5" t="str"/>
    </x:row>
    <x:row r="84" ht="39.599998474121094" hidden="0" customHeight="1">
      <x:c r="A84" s="5" t="str">
        <x:v>MAN-UI-033</x:v>
      </x:c>
      <x:c r="B84" s="5" t="str">
        <x:v>수동</x:v>
      </x:c>
      <x:c r="C84" s="5" t="str"/>
      <x:c r="D84" s="5" t="str">
        <x:v>UI-033 아코디언</x:v>
      </x:c>
      <x:c r="E84" s="5" t="str">
        <x:v>UI-033</x:v>
      </x:c>
      <x:c r="F84" s="5" t="str">
        <x:v>1. 원문 SRC-001 컴포넌트 / 레이아웃·표현 / 아코디언 / 405-415쪽과 적용조건을 확인한다. 2. S01~S08 / 공통의 일반사용자·관리자 및 기본/오류/로딩/완료/모바일 상태 중 관련 범위를 열어 확인한다. 3. 각 제목의 실행·초점·확장 상태 확인. 4. 미검사 범위와 실제 환경·검사자·관찰·증빙을 기록한다.</x:v>
      </x:c>
      <x:c r="G84" s="5" t="str">
        <x:v>여러 설명 영역을 예측 가능하게 확장 구체화: FAQ에 제목 버튼과 연결 패널, 상태 속성 제공</x:v>
      </x:c>
      <x:c r="H84" s="5" t="str">
        <x:v>원문 검토 + 실제 브라우저/필요 AT. NVDA·TalkBack·VoiceOver는 확보한 실제 조합만 기록</x:v>
      </x:c>
      <x:c r="I84" s="5" t="str">
        <x:v>미실행</x:v>
      </x:c>
      <x:c r="J84" s="5" t="str">
        <x:v>사람의 평가/원문등급 판정을 자동 생성하지 않음</x:v>
      </x:c>
      <x:c r="K84" s="5" t="str"/>
      <x:c r="L84" s="5" t="str"/>
      <x:c r="M84" s="5" t="str"/>
    </x:row>
    <x:row r="85" ht="39.599998474121094" hidden="0" customHeight="1">
      <x:c r="A85" s="5" t="str">
        <x:v>MAN-UI-034</x:v>
      </x:c>
      <x:c r="B85" s="5" t="str">
        <x:v>수동</x:v>
      </x:c>
      <x:c r="C85" s="5" t="str"/>
      <x:c r="D85" s="5" t="str">
        <x:v>UI-034 이미지</x:v>
      </x:c>
      <x:c r="E85" s="5" t="str">
        <x:v>UI-034</x:v>
      </x:c>
      <x:c r="F85" s="5" t="str">
        <x:v>1. 원문 SRC-001 컴포넌트 / 레이아웃·표현 / 이미지 / 416-423쪽과 적용조건을 확인한다. 2. S04, S05의 일반사용자·관리자 및 기본/오류/로딩/완료/모바일 상태 중 관련 범위를 열어 확인한다. 3. 유의미한 이미지와 장식 이미지의 대체텍스트 검토. 4. 미검사 범위와 실제 환경·검사자·관찰·증빙을 기록한다.</x:v>
      </x:c>
      <x:c r="G85" s="5" t="str">
        <x:v>이미지 목적에 맞는 대체정보 제공 구체화: 첨부 이미지 미리보기에는 목적에 맞는 alt, 장식 이미지에는 빈 alt 제공</x:v>
      </x:c>
      <x:c r="H85" s="5" t="str">
        <x:v>원문 검토 + 실제 브라우저/필요 AT. NVDA·TalkBack·VoiceOver는 확보한 실제 조합만 기록</x:v>
      </x:c>
      <x:c r="I85" s="5" t="str">
        <x:v>미실행</x:v>
      </x:c>
      <x:c r="J85" s="5" t="str">
        <x:v>사람의 평가/원문등급 판정을 자동 생성하지 않음</x:v>
      </x:c>
      <x:c r="K85" s="5" t="str"/>
      <x:c r="L85" s="5" t="str"/>
      <x:c r="M85" s="5" t="str"/>
    </x:row>
    <x:row r="86" ht="39.599998474121094" hidden="0" customHeight="1">
      <x:c r="A86" s="5" t="str">
        <x:v>MAN-UI-035</x:v>
      </x:c>
      <x:c r="B86" s="5" t="str">
        <x:v>수동</x:v>
      </x:c>
      <x:c r="C86" s="5" t="str"/>
      <x:c r="D86" s="5" t="str">
        <x:v>UI-035 캐러셀</x:v>
      </x:c>
      <x:c r="E86" s="5" t="str">
        <x:v>UI-035</x:v>
      </x:c>
      <x:c r="F86" s="5" t="str">
        <x:v>1. 원문 SRC-001 컴포넌트 / 레이아웃·표현 / 캐러셀 / 424-444쪽과 적용조건을 확인한다. 2. S01~S08 / 공통의 일반사용자·관리자 및 기본/오류/로딩/완료/모바일 상태 중 관련 범위를 열어 확인한다. 3. 자동회전 중지·키보드·터치·대체 콘텐츠 검증. 4. 미검사 범위와 실제 환경·검사자·관찰·증빙을 기록한다.</x:v>
      </x:c>
      <x:c r="G86" s="5" t="str">
        <x:v>캐러셀 사용 시 사용자 제어를 보장 구체화: 기본 샘플에서는 미사용; 채택 시 이전/다음·정지·항목 상태를 제공</x:v>
      </x:c>
      <x:c r="H86" s="5" t="str">
        <x:v>원문 검토 + 실제 브라우저/필요 AT. NVDA·TalkBack·VoiceOver는 확보한 실제 조합만 기록</x:v>
      </x:c>
      <x:c r="I86" s="5" t="str">
        <x:v>미실행</x:v>
      </x:c>
      <x:c r="J86" s="5" t="str">
        <x:v>사람의 평가/원문등급 판정을 자동 생성하지 않음</x:v>
      </x:c>
      <x:c r="K86" s="5" t="str"/>
      <x:c r="L86" s="5" t="str"/>
      <x:c r="M86" s="5" t="str"/>
    </x:row>
    <x:row r="87" ht="39.599998474121094" hidden="0" customHeight="1">
      <x:c r="A87" s="5" t="str">
        <x:v>MAN-UI-036</x:v>
      </x:c>
      <x:c r="B87" s="5" t="str">
        <x:v>수동</x:v>
      </x:c>
      <x:c r="C87" s="5" t="str"/>
      <x:c r="D87" s="5" t="str">
        <x:v>UI-036 탭</x:v>
      </x:c>
      <x:c r="E87" s="5" t="str">
        <x:v>UI-036</x:v>
      </x:c>
      <x:c r="F87" s="5" t="str">
        <x:v>1. 원문 SRC-001 컴포넌트 / 레이아웃·표현 / 탭 / 445-458쪽과 적용조건을 확인한다. 2. S01~S08 / 공통의 일반사용자·관리자 및 기본/오류/로딩/완료/모바일 상태 중 관련 범위를 열어 확인한다. 3. 좌우 방향키·Home/End·선택 상태·패널 노출 확인. 4. 미검사 범위와 실제 환경·검사자·관찰·증빙을 기록한다.</x:v>
      </x:c>
      <x:c r="G87" s="5" t="str">
        <x:v>탭과 패널 관계·키보드 이동 제공 구체화: 상세의 정보/이력 패널에 tablist/tab/tabpanel을 정확히 연결</x:v>
      </x:c>
      <x:c r="H87" s="5" t="str">
        <x:v>원문 검토 + 실제 브라우저/필요 AT. NVDA·TalkBack·VoiceOver는 확보한 실제 조합만 기록</x:v>
      </x:c>
      <x:c r="I87" s="5" t="str">
        <x:v>미실행</x:v>
      </x:c>
      <x:c r="J87" s="5" t="str">
        <x:v>사람의 평가/원문등급 판정을 자동 생성하지 않음</x:v>
      </x:c>
      <x:c r="K87" s="5" t="str"/>
      <x:c r="L87" s="5" t="str"/>
      <x:c r="M87" s="5" t="str"/>
    </x:row>
    <x:row r="88" ht="39.599998474121094" hidden="0" customHeight="1">
      <x:c r="A88" s="5" t="str">
        <x:v>MAN-UI-037</x:v>
      </x:c>
      <x:c r="B88" s="5" t="str">
        <x:v>수동</x:v>
      </x:c>
      <x:c r="C88" s="5" t="str"/>
      <x:c r="D88" s="5" t="str">
        <x:v>UI-037 표</x:v>
      </x:c>
      <x:c r="E88" s="5" t="str">
        <x:v>UI-037</x:v>
      </x:c>
      <x:c r="F88" s="5" t="str">
        <x:v>1. 원문 SRC-001 컴포넌트 / 레이아웃·표현 / 표 / 459-470쪽과 적용조건을 확인한다. 2. S03의 일반사용자·관리자 및 기본/오류/로딩/완료/모바일 상태 중 관련 범위를 열어 확인한다. 3. 화면낭독기 표 탐색·정렬 상태·좁은 화면 스크롤 점검. 4. 미검사 범위와 실제 환경·검사자·관찰·증빙을 기록한다.</x:v>
      </x:c>
      <x:c r="G88" s="5" t="str">
        <x:v>데이터 구조와 정렬을 접근 가능하게 제공 구체화: caption·th/scope와 정렬 버튼·aria-sort 제공, 숫자는 우측 정렬</x:v>
      </x:c>
      <x:c r="H88" s="5" t="str">
        <x:v>원문 검토 + 실제 브라우저/필요 AT. NVDA·TalkBack·VoiceOver는 확보한 실제 조합만 기록</x:v>
      </x:c>
      <x:c r="I88" s="5" t="str">
        <x:v>미실행</x:v>
      </x:c>
      <x:c r="J88" s="5" t="str">
        <x:v>사람의 평가/원문등급 판정을 자동 생성하지 않음</x:v>
      </x:c>
      <x:c r="K88" s="5" t="str"/>
      <x:c r="L88" s="5" t="str"/>
      <x:c r="M88" s="5" t="str"/>
    </x:row>
    <x:row r="89" ht="39.599998474121094" hidden="0" customHeight="1">
      <x:c r="A89" s="5" t="str">
        <x:v>MAN-UI-038</x:v>
      </x:c>
      <x:c r="B89" s="5" t="str">
        <x:v>수동</x:v>
      </x:c>
      <x:c r="C89" s="5" t="str"/>
      <x:c r="D89" s="5" t="str">
        <x:v>UI-038 스플래시 스크린</x:v>
      </x:c>
      <x:c r="E89" s="5" t="str">
        <x:v>UI-038</x:v>
      </x:c>
      <x:c r="F89" s="5" t="str">
        <x:v>1. 원문 SRC-001 컴포넌트 / 레이아웃·표현 / 스플래시 스크린 / 471-483쪽과 적용조건을 확인한다. 2. S01~S08 / 공통의 일반사용자·관리자 및 기본/오류/로딩/완료/모바일 상태 중 관련 범위를 열어 확인한다. 3. 범위 변경 시 플랫폼 기본 시작화면·노출시간 재검토. 4. 미검사 범위와 실제 환경·검사자·관찰·증빙을 기록한다.</x:v>
      </x:c>
      <x:c r="G89" s="5" t="str">
        <x:v>네이티브 앱의 시작 화면 가이드 구체화: 이번 웹 샘플은 별도 스플래시 미구현; 향후 앱에서 중요한 정보 배치 금지</x:v>
      </x:c>
      <x:c r="H89" s="5" t="str">
        <x:v>원문 검토 + 실제 브라우저/필요 AT. NVDA·TalkBack·VoiceOver는 확보한 실제 조합만 기록</x:v>
      </x:c>
      <x:c r="I89" s="5" t="str">
        <x:v>미실행</x:v>
      </x:c>
      <x:c r="J89" s="5" t="str">
        <x:v>사람의 평가/원문등급 판정을 자동 생성하지 않음</x:v>
      </x:c>
      <x:c r="K89" s="5" t="str"/>
      <x:c r="L89" s="5" t="str"/>
      <x:c r="M89" s="5" t="str"/>
    </x:row>
    <x:row r="90" ht="39.599998474121094" hidden="0" customHeight="1">
      <x:c r="A90" s="5" t="str">
        <x:v>MAN-UI-039</x:v>
      </x:c>
      <x:c r="B90" s="5" t="str">
        <x:v>수동</x:v>
      </x:c>
      <x:c r="C90" s="5" t="str"/>
      <x:c r="D90" s="5" t="str">
        <x:v>UI-039 텍스트 목록</x:v>
      </x:c>
      <x:c r="E90" s="5" t="str">
        <x:v>UI-039</x:v>
      </x:c>
      <x:c r="F90" s="5" t="str">
        <x:v>1. 원문 SRC-001 컴포넌트 / 레이아웃·표현 / 텍스트 목록 / 484-494쪽과 적용조건을 확인한다. 2. S03의 일반사용자·관리자 및 기본/오류/로딩/완료/모바일 상태 중 관련 범위를 열어 확인한다. 3. 읽기 순서·항목 수·목록 인식 확인. 4. 미검사 범위와 실제 환경·검사자·관찰·증빙을 기록한다.</x:v>
      </x:c>
      <x:c r="G90" s="5" t="str">
        <x:v>의미에 맞는 목록 마크업 제공 구체화: 순서 있는 절차는 ol, 순서 없는 항목은 ul 사용</x:v>
      </x:c>
      <x:c r="H90" s="5" t="str">
        <x:v>원문 검토 + 실제 브라우저/필요 AT. NVDA·TalkBack·VoiceOver는 확보한 실제 조합만 기록</x:v>
      </x:c>
      <x:c r="I90" s="5" t="str">
        <x:v>미실행</x:v>
      </x:c>
      <x:c r="J90" s="5" t="str">
        <x:v>사람의 평가/원문등급 판정을 자동 생성하지 않음</x:v>
      </x:c>
      <x:c r="K90" s="5" t="str"/>
      <x:c r="L90" s="5" t="str"/>
      <x:c r="M90" s="5" t="str"/>
    </x:row>
    <x:row r="91" ht="39.599998474121094" hidden="0" customHeight="1">
      <x:c r="A91" s="5" t="str">
        <x:v>MAN-UI-040</x:v>
      </x:c>
      <x:c r="B91" s="5" t="str">
        <x:v>수동</x:v>
      </x:c>
      <x:c r="C91" s="5" t="str"/>
      <x:c r="D91" s="5" t="str">
        <x:v>UI-040 링크</x:v>
      </x:c>
      <x:c r="E91" s="5" t="str">
        <x:v>UI-040</x:v>
      </x:c>
      <x:c r="F91" s="5" t="str">
        <x:v>1. 원문 SRC-001 컴포넌트 / 액션 / 링크 / 495-509쪽과 적용조건을 확인한다. 2. S01~S08 / 공통의 일반사용자·관리자 및 기본/오류/로딩/완료/모바일 상태 중 관련 범위를 열어 확인한다. 3. 링크 목록 낭독 시 목적지 식별 및 실제 이동 확인. 4. 미검사 범위와 실제 환경·검사자·관찰·증빙을 기록한다.</x:v>
      </x:c>
      <x:c r="G91" s="5" t="str">
        <x:v>목적지를 예측할 수 있는 링크 제공 구체화: 이동은 a 요소로 구현, 의미 있는 링크명·새 창 사전 안내 제공</x:v>
      </x:c>
      <x:c r="H91" s="5" t="str">
        <x:v>원문 검토 + 실제 브라우저/필요 AT. NVDA·TalkBack·VoiceOver는 확보한 실제 조합만 기록</x:v>
      </x:c>
      <x:c r="I91" s="5" t="str">
        <x:v>미실행</x:v>
      </x:c>
      <x:c r="J91" s="5" t="str">
        <x:v>사람의 평가/원문등급 판정을 자동 생성하지 않음</x:v>
      </x:c>
      <x:c r="K91" s="5" t="str"/>
      <x:c r="L91" s="5" t="str"/>
      <x:c r="M91" s="5" t="str"/>
    </x:row>
    <x:row r="92" ht="39.599998474121094" hidden="0" customHeight="1">
      <x:c r="A92" s="5" t="str">
        <x:v>MAN-UI-041</x:v>
      </x:c>
      <x:c r="B92" s="5" t="str">
        <x:v>수동</x:v>
      </x:c>
      <x:c r="C92" s="5" t="str"/>
      <x:c r="D92" s="5" t="str">
        <x:v>UI-041 버튼</x:v>
      </x:c>
      <x:c r="E92" s="5" t="str">
        <x:v>UI-041</x:v>
      </x:c>
      <x:c r="F92" s="5" t="str">
        <x:v>1. 원문 SRC-001 컴포넌트 / 액션 / 버튼 / 510-522쪽과 적용조건을 확인한다. 2. S01~S08 / 공통의 일반사용자·관리자 및 기본/오류/로딩/완료/모바일 상태 중 관련 범위를 열어 확인한다. 3. Enter/Space·로딩·실패 후 재시도·이름 확인. 4. 미검사 범위와 실제 환경·검사자·관찰·증빙을 기록한다.</x:v>
      </x:c>
      <x:c r="G92" s="5" t="str">
        <x:v>행동의 결과가 분명한 버튼 제공 구체화: 동작은 button, 구체적 레이블·상태·중복실행 방지 적용</x:v>
      </x:c>
      <x:c r="H92" s="5" t="str">
        <x:v>원문 검토 + 실제 브라우저/필요 AT. NVDA·TalkBack·VoiceOver는 확보한 실제 조합만 기록</x:v>
      </x:c>
      <x:c r="I92" s="5" t="str">
        <x:v>미실행</x:v>
      </x:c>
      <x:c r="J92" s="5" t="str">
        <x:v>사람의 평가/원문등급 판정을 자동 생성하지 않음</x:v>
      </x:c>
      <x:c r="K92" s="5" t="str"/>
      <x:c r="L92" s="5" t="str"/>
      <x:c r="M92" s="5" t="str"/>
    </x:row>
    <x:row r="93" ht="39.599998474121094" hidden="0" customHeight="1">
      <x:c r="A93" s="5" t="str">
        <x:v>MAN-UI-042</x:v>
      </x:c>
      <x:c r="B93" s="5" t="str">
        <x:v>수동</x:v>
      </x:c>
      <x:c r="C93" s="5" t="str"/>
      <x:c r="D93" s="5" t="str">
        <x:v>UI-042 라디오 버튼</x:v>
      </x:c>
      <x:c r="E93" s="5" t="str">
        <x:v>UI-042</x:v>
      </x:c>
      <x:c r="F93" s="5" t="str">
        <x:v>1. 원문 SRC-001 컴포넌트 / 선택 / 라디오 버튼 / 523-537쪽과 적용조건을 확인한다. 2. S01~S08 / 공통의 일반사용자·관리자 및 기본/오류/로딩/완료/모바일 상태 중 관련 범위를 열어 확인한다. 3. 화살표 이동·선택·그룹 낭독 확인. 4. 미검사 범위와 실제 환경·검사자·관찰·증빙을 기록한다.</x:v>
      </x:c>
      <x:c r="G93" s="5" t="str">
        <x:v>단일 선택의 그룹과 이름 제공 구체화: 요청 유형 등 배타적 선택에 fieldset/legend와 native radio 사용</x:v>
      </x:c>
      <x:c r="H93" s="5" t="str">
        <x:v>원문 검토 + 실제 브라우저/필요 AT. NVDA·TalkBack·VoiceOver는 확보한 실제 조합만 기록</x:v>
      </x:c>
      <x:c r="I93" s="5" t="str">
        <x:v>미실행</x:v>
      </x:c>
      <x:c r="J93" s="5" t="str">
        <x:v>사람의 평가/원문등급 판정을 자동 생성하지 않음</x:v>
      </x:c>
      <x:c r="K93" s="5" t="str"/>
      <x:c r="L93" s="5" t="str"/>
      <x:c r="M93" s="5" t="str"/>
    </x:row>
    <x:row r="94" ht="39.599998474121094" hidden="0" customHeight="1">
      <x:c r="A94" s="5" t="str">
        <x:v>MAN-UI-043</x:v>
      </x:c>
      <x:c r="B94" s="5" t="str">
        <x:v>수동</x:v>
      </x:c>
      <x:c r="C94" s="5" t="str"/>
      <x:c r="D94" s="5" t="str">
        <x:v>UI-043 체크박스</x:v>
      </x:c>
      <x:c r="E94" s="5" t="str">
        <x:v>UI-043</x:v>
      </x:c>
      <x:c r="F94" s="5" t="str">
        <x:v>1. 원문 SRC-001 컴포넌트 / 선택 / 체크박스 / 538-550쪽과 적용조건을 확인한다. 2. S01~S08 / 공통의 일반사용자·관리자 및 기본/오류/로딩/완료/모바일 상태 중 관련 범위를 열어 확인한다. 3. 키보드·선택 상태·색 외 체크표시 확인. 4. 미검사 범위와 실제 환경·검사자·관찰·증빙을 기록한다.</x:v>
      </x:c>
      <x:c r="G94" s="5" t="str">
        <x:v>복수 선택과 중간 상태 표현 구체화: 선택 항목·약관에 명시적 label 제공, 전체 선택에는 mixed 상태 처리</x:v>
      </x:c>
      <x:c r="H94" s="5" t="str">
        <x:v>원문 검토 + 실제 브라우저/필요 AT. NVDA·TalkBack·VoiceOver는 확보한 실제 조합만 기록</x:v>
      </x:c>
      <x:c r="I94" s="5" t="str">
        <x:v>미실행</x:v>
      </x:c>
      <x:c r="J94" s="5" t="str">
        <x:v>사람의 평가/원문등급 판정을 자동 생성하지 않음</x:v>
      </x:c>
      <x:c r="K94" s="5" t="str"/>
      <x:c r="L94" s="5" t="str"/>
      <x:c r="M94" s="5" t="str"/>
    </x:row>
    <x:row r="95" ht="39.599998474121094" hidden="0" customHeight="1">
      <x:c r="A95" s="5" t="str">
        <x:v>MAN-UI-044</x:v>
      </x:c>
      <x:c r="B95" s="5" t="str">
        <x:v>수동</x:v>
      </x:c>
      <x:c r="C95" s="5" t="str"/>
      <x:c r="D95" s="5" t="str">
        <x:v>UI-044 셀렉트</x:v>
      </x:c>
      <x:c r="E95" s="5" t="str">
        <x:v>UI-044</x:v>
      </x:c>
      <x:c r="F95" s="5" t="str">
        <x:v>1. 원문 SRC-001 컴포넌트 / 선택 / 셀렉트 / 551-558쪽과 적용조건을 확인한다. 2. S03의 일반사용자·관리자 및 기본/오류/로딩/완료/모바일 상태 중 관련 범위를 열어 확인한다. 3. label·키보드·선택 변경 후 예상치 못한 이동 확인. 4. 미검사 범위와 실제 환경·검사자·관찰·증빙을 기록한다.</x:v>
      </x:c>
      <x:c r="G95" s="5" t="str">
        <x:v>선택 목적과 변경 결과를 예측 가능하게 함 구체화: 상태 필터와 담당자 선택에 native select 우선, 변경만으로 신청 제출 금지</x:v>
      </x:c>
      <x:c r="H95" s="5" t="str">
        <x:v>원문 검토 + 실제 브라우저/필요 AT. NVDA·TalkBack·VoiceOver는 확보한 실제 조합만 기록</x:v>
      </x:c>
      <x:c r="I95" s="5" t="str">
        <x:v>미실행</x:v>
      </x:c>
      <x:c r="J95" s="5" t="str">
        <x:v>사람의 평가/원문등급 판정을 자동 생성하지 않음</x:v>
      </x:c>
      <x:c r="K95" s="5" t="str"/>
      <x:c r="L95" s="5" t="str"/>
      <x:c r="M95" s="5" t="str"/>
    </x:row>
    <x:row r="96" ht="39.599998474121094" hidden="0" customHeight="1">
      <x:c r="A96" s="5" t="str">
        <x:v>MAN-UI-045</x:v>
      </x:c>
      <x:c r="B96" s="5" t="str">
        <x:v>수동</x:v>
      </x:c>
      <x:c r="C96" s="5" t="str"/>
      <x:c r="D96" s="5" t="str">
        <x:v>UI-045 태그</x:v>
      </x:c>
      <x:c r="E96" s="5" t="str">
        <x:v>UI-045</x:v>
      </x:c>
      <x:c r="F96" s="5" t="str">
        <x:v>1. 원문 SRC-001 컴포넌트 / 선택 / 태그 / 559-569쪽과 적용조건을 확인한다. 2. S01~S08 / 공통의 일반사용자·관리자 및 기본/오류/로딩/완료/모바일 상태 중 관련 범위를 열어 확인한다. 3. 태그 제거 후 조건·결과 수·초점 확인. 4. 미검사 범위와 실제 환경·검사자·관찰·증빙을 기록한다.</x:v>
      </x:c>
      <x:c r="G96" s="5" t="str">
        <x:v>필터 태그와 삭제 행동을 명확히 함 구체화: 선택된 조건을 텍스트 태그로 표시하고 각 삭제 버튼에 고유한 이름 부여</x:v>
      </x:c>
      <x:c r="H96" s="5" t="str">
        <x:v>원문 검토 + 실제 브라우저/필요 AT. NVDA·TalkBack·VoiceOver는 확보한 실제 조합만 기록</x:v>
      </x:c>
      <x:c r="I96" s="5" t="str">
        <x:v>미실행</x:v>
      </x:c>
      <x:c r="J96" s="5" t="str">
        <x:v>사람의 평가/원문등급 판정을 자동 생성하지 않음</x:v>
      </x:c>
      <x:c r="K96" s="5" t="str"/>
      <x:c r="L96" s="5" t="str"/>
      <x:c r="M96" s="5" t="str"/>
    </x:row>
    <x:row r="97" ht="39.599998474121094" hidden="0" customHeight="1">
      <x:c r="A97" s="5" t="str">
        <x:v>MAN-UI-046</x:v>
      </x:c>
      <x:c r="B97" s="5" t="str">
        <x:v>수동</x:v>
      </x:c>
      <x:c r="C97" s="5" t="str"/>
      <x:c r="D97" s="5" t="str">
        <x:v>UI-046 토글 스위치</x:v>
      </x:c>
      <x:c r="E97" s="5" t="str">
        <x:v>UI-046</x:v>
      </x:c>
      <x:c r="F97" s="5" t="str">
        <x:v>1. 원문 SRC-001 컴포넌트 / 선택 / 토글 스위치 / 570-581쪽과 적용조건을 확인한다. 2. S01~S08 / 공통의 일반사용자·관리자 및 기본/오류/로딩/완료/모바일 상태 중 관련 범위를 열어 확인한다. 3. 키보드 조작과 설정 상태·저장·복원 확인. 4. 미검사 범위와 실제 환경·검사자·관찰·증빙을 기록한다.</x:v>
      </x:c>
      <x:c r="G97" s="5" t="str">
        <x:v>즉시 적용되는 설정의 상태 제공 구체화: 선명한 화면·동작 줄이기 설정에 일관된 레이블과 checked 상태 제공</x:v>
      </x:c>
      <x:c r="H97" s="5" t="str">
        <x:v>원문 검토 + 실제 브라우저/필요 AT. NVDA·TalkBack·VoiceOver는 확보한 실제 조합만 기록</x:v>
      </x:c>
      <x:c r="I97" s="5" t="str">
        <x:v>미실행</x:v>
      </x:c>
      <x:c r="J97" s="5" t="str">
        <x:v>사람의 평가/원문등급 판정을 자동 생성하지 않음</x:v>
      </x:c>
      <x:c r="K97" s="5" t="str"/>
      <x:c r="L97" s="5" t="str"/>
      <x:c r="M97" s="5" t="str"/>
    </x:row>
    <x:row r="98" ht="39.599998474121094" hidden="0" customHeight="1">
      <x:c r="A98" s="5" t="str">
        <x:v>MAN-UI-047</x:v>
      </x:c>
      <x:c r="B98" s="5" t="str">
        <x:v>수동</x:v>
      </x:c>
      <x:c r="C98" s="5" t="str"/>
      <x:c r="D98" s="5" t="str">
        <x:v>UI-047 단계 표시기</x:v>
      </x:c>
      <x:c r="E98" s="5" t="str">
        <x:v>UI-047</x:v>
      </x:c>
      <x:c r="F98" s="5" t="str">
        <x:v>1. 원문 SRC-001 컴포넌트 / 피드백 / 단계 표시기 / 582-588쪽과 적용조건을 확인한다. 2. S04, S05의 일반사용자·관리자 및 기본/오류/로딩/완료/모바일 상태 중 관련 범위를 열어 확인한다. 3. 단계 전환·되돌아가기·보조기술 현재단계 확인. 4. 미검사 범위와 실제 환경·검사자·관찰·증빙을 기록한다.</x:v>
      </x:c>
      <x:c r="G98" s="5" t="str">
        <x:v>단계형 작성의 현재 위치를 안내 구체화: 기본정보/첨부/검토/완료의 단계와 현재 단계 텍스트 제공</x:v>
      </x:c>
      <x:c r="H98" s="5" t="str">
        <x:v>원문 검토 + 실제 브라우저/필요 AT. NVDA·TalkBack·VoiceOver는 확보한 실제 조합만 기록</x:v>
      </x:c>
      <x:c r="I98" s="5" t="str">
        <x:v>미실행</x:v>
      </x:c>
      <x:c r="J98" s="5" t="str">
        <x:v>사람의 평가/원문등급 판정을 자동 생성하지 않음</x:v>
      </x:c>
      <x:c r="K98" s="5" t="str"/>
      <x:c r="L98" s="5" t="str"/>
      <x:c r="M98" s="5" t="str"/>
    </x:row>
    <x:row r="99" ht="39.599998474121094" hidden="0" customHeight="1">
      <x:c r="A99" s="5" t="str">
        <x:v>MAN-UI-048</x:v>
      </x:c>
      <x:c r="B99" s="5" t="str">
        <x:v>수동</x:v>
      </x:c>
      <x:c r="C99" s="5" t="str"/>
      <x:c r="D99" s="5" t="str">
        <x:v>UI-048 스피너</x:v>
      </x:c>
      <x:c r="E99" s="5" t="str">
        <x:v>UI-048</x:v>
      </x:c>
      <x:c r="F99" s="5" t="str">
        <x:v>1. 원문 SRC-001 컴포넌트 / 피드백 / 스피너 / 589-597쪽과 적용조건을 확인한다. 2. S01~S08 / 공통의 일반사용자·관리자 및 기본/오류/로딩/완료/모바일 상태 중 관련 범위를 열어 확인한다. 3. 느린 네트워크에서 시작·완료 안내와 중복읽기 확인. 4. 미검사 범위와 실제 환경·검사자·관찰·증빙을 기록한다.</x:v>
      </x:c>
      <x:c r="G99" s="5" t="str">
        <x:v>처리중 상태를 시각·비시각으로 안내 구체화: 네트워크 요청에 상태 텍스트와 aria-busy/status를 제공</x:v>
      </x:c>
      <x:c r="H99" s="5" t="str">
        <x:v>원문 검토 + 실제 브라우저/필요 AT. NVDA·TalkBack·VoiceOver는 확보한 실제 조합만 기록</x:v>
      </x:c>
      <x:c r="I99" s="5" t="str">
        <x:v>미실행</x:v>
      </x:c>
      <x:c r="J99" s="5" t="str">
        <x:v>사람의 평가/원문등급 판정을 자동 생성하지 않음</x:v>
      </x:c>
      <x:c r="K99" s="5" t="str"/>
      <x:c r="L99" s="5" t="str"/>
      <x:c r="M99" s="5" t="str"/>
    </x:row>
    <x:row r="100" ht="39.599998474121094" hidden="0" customHeight="1">
      <x:c r="A100" s="5" t="str">
        <x:v>MAN-UI-049</x:v>
      </x:c>
      <x:c r="B100" s="5" t="str">
        <x:v>수동</x:v>
      </x:c>
      <x:c r="C100" s="5" t="str"/>
      <x:c r="D100" s="5" t="str">
        <x:v>UI-049 도움 패널</x:v>
      </x:c>
      <x:c r="E100" s="5" t="str">
        <x:v>UI-049</x:v>
      </x:c>
      <x:c r="F100" s="5" t="str">
        <x:v>1. 원문 SRC-001 컴포넌트 / 도움 / 도움 패널 / 598-610쪽과 적용조건을 확인한다. 2. S01~S08 / 공통의 일반사용자·관리자 및 기본/오류/로딩/완료/모바일 상태 중 관련 범위를 열어 확인한다. 3. 작업 중 도움 접근·닫기·원래 맥락 복귀 확인. 4. 미검사 범위와 실제 환경·검사자·관찰·증빙을 기록한다.</x:v>
      </x:c>
      <x:c r="G100" s="5" t="str">
        <x:v>도움 수단을 일관되게 제공 구체화: 도움말과 문의 경로를 공통 위치에 두고 필요 시 패널 제공</x:v>
      </x:c>
      <x:c r="H100" s="5" t="str">
        <x:v>원문 검토 + 실제 브라우저/필요 AT. NVDA·TalkBack·VoiceOver는 확보한 실제 조합만 기록</x:v>
      </x:c>
      <x:c r="I100" s="5" t="str">
        <x:v>미실행</x:v>
      </x:c>
      <x:c r="J100" s="5" t="str">
        <x:v>사람의 평가/원문등급 판정을 자동 생성하지 않음</x:v>
      </x:c>
      <x:c r="K100" s="5" t="str"/>
      <x:c r="L100" s="5" t="str"/>
      <x:c r="M100" s="5" t="str"/>
    </x:row>
    <x:row r="101" ht="39.599998474121094" hidden="0" customHeight="1">
      <x:c r="A101" s="5" t="str">
        <x:v>MAN-UI-050</x:v>
      </x:c>
      <x:c r="B101" s="5" t="str">
        <x:v>수동</x:v>
      </x:c>
      <x:c r="C101" s="5" t="str"/>
      <x:c r="D101" s="5" t="str">
        <x:v>UI-050 따라하기 패널</x:v>
      </x:c>
      <x:c r="E101" s="5" t="str">
        <x:v>UI-050</x:v>
      </x:c>
      <x:c r="F101" s="5" t="str">
        <x:v>1. 원문 SRC-001 컴포넌트 / 도움 / 따라하기 패널 / 611-619쪽과 적용조건을 확인한다. 2. S01~S08 / 공통의 일반사용자·관리자 및 기본/오류/로딩/완료/모바일 상태 중 관련 범위를 열어 확인한다. 3. 안내 없이도 핵심 업무 수행 가능한지 확인. 4. 미검사 범위와 실제 환경·검사자·관찰·증빙을 기록한다.</x:v>
      </x:c>
      <x:c r="G101" s="5" t="str">
        <x:v>선택적으로 단계별 학습을 제공 구체화: 신규 사용자 안내 채택 시 건너뛰기·종료·다시보기 제공</x:v>
      </x:c>
      <x:c r="H101" s="5" t="str">
        <x:v>원문 검토 + 실제 브라우저/필요 AT. NVDA·TalkBack·VoiceOver는 확보한 실제 조합만 기록</x:v>
      </x:c>
      <x:c r="I101" s="5" t="str">
        <x:v>미실행</x:v>
      </x:c>
      <x:c r="J101" s="5" t="str">
        <x:v>사람의 평가/원문등급 판정을 자동 생성하지 않음</x:v>
      </x:c>
      <x:c r="K101" s="5" t="str"/>
      <x:c r="L101" s="5" t="str"/>
      <x:c r="M101" s="5" t="str"/>
    </x:row>
    <x:row r="102" ht="39.599998474121094" hidden="0" customHeight="1">
      <x:c r="A102" s="5" t="str">
        <x:v>MAN-UI-051</x:v>
      </x:c>
      <x:c r="B102" s="5" t="str">
        <x:v>수동</x:v>
      </x:c>
      <x:c r="C102" s="5" t="str"/>
      <x:c r="D102" s="5" t="str">
        <x:v>UI-051 맥락적 도움말</x:v>
      </x:c>
      <x:c r="E102" s="5" t="str">
        <x:v>UI-051</x:v>
      </x:c>
      <x:c r="F102" s="5" t="str">
        <x:v>1. 원문 SRC-001 컴포넌트 / 도움 / 맥락적 도움말 / 620-635쪽과 적용조건을 확인한다. 2. S01~S08 / 공통의 일반사용자·관리자 및 기본/오류/로딩/완료/모바일 상태 중 관련 범위를 열어 확인한다. 3. hover/초점/터치·Escape·본문 가림 점검. 4. 미검사 범위와 실제 환경·검사자·관찰·증빙을 기록한다.</x:v>
      </x:c>
      <x:c r="G102" s="5" t="str">
        <x:v>현재 항목의 보충 설명을 접근 가능하게 제공 구체화: 필드 근처 설명은 항상 보이게 두고 부가정보만 팝오버에 제공</x:v>
      </x:c>
      <x:c r="H102" s="5" t="str">
        <x:v>원문 검토 + 실제 브라우저/필요 AT. NVDA·TalkBack·VoiceOver는 확보한 실제 조합만 기록</x:v>
      </x:c>
      <x:c r="I102" s="5" t="str">
        <x:v>미실행</x:v>
      </x:c>
      <x:c r="J102" s="5" t="str">
        <x:v>사람의 평가/원문등급 판정을 자동 생성하지 않음</x:v>
      </x:c>
      <x:c r="K102" s="5" t="str"/>
      <x:c r="L102" s="5" t="str"/>
      <x:c r="M102" s="5" t="str"/>
    </x:row>
    <x:row r="103" ht="39.599998474121094" hidden="0" customHeight="1">
      <x:c r="A103" s="5" t="str">
        <x:v>MAN-UI-052</x:v>
      </x:c>
      <x:c r="B103" s="5" t="str">
        <x:v>수동</x:v>
      </x:c>
      <x:c r="C103" s="5" t="str"/>
      <x:c r="D103" s="5" t="str">
        <x:v>UI-052 코치마크</x:v>
      </x:c>
      <x:c r="E103" s="5" t="str">
        <x:v>UI-052</x:v>
      </x:c>
      <x:c r="F103" s="5" t="str">
        <x:v>1. 원문 SRC-001 컴포넌트 / 도움 / 코치마크 / 636-648쪽과 적용조건을 확인한다. 2. S01~S08 / 공통의 일반사용자·관리자 및 기본/오류/로딩/완료/모바일 상태 중 관련 범위를 열어 확인한다. 3. 초점·순서·취소 후 과업 복귀 확인. 4. 미검사 범위와 실제 환경·검사자·관찰·증빙을 기록한다.</x:v>
      </x:c>
      <x:c r="G103" s="5" t="str">
        <x:v>안내 표시가 핵심 과업을 막지 않게 함 구체화: 선택적 온보딩에서만 사용하고 닫기·건너뛰기·재실행 제공</x:v>
      </x:c>
      <x:c r="H103" s="5" t="str">
        <x:v>원문 검토 + 실제 브라우저/필요 AT. NVDA·TalkBack·VoiceOver는 확보한 실제 조합만 기록</x:v>
      </x:c>
      <x:c r="I103" s="5" t="str">
        <x:v>미실행</x:v>
      </x:c>
      <x:c r="J103" s="5" t="str">
        <x:v>사람의 평가/원문등급 판정을 자동 생성하지 않음</x:v>
      </x:c>
      <x:c r="K103" s="5" t="str"/>
      <x:c r="L103" s="5" t="str"/>
      <x:c r="M103" s="5" t="str"/>
    </x:row>
    <x:row r="104" ht="39.599998474121094" hidden="0" customHeight="1">
      <x:c r="A104" s="5" t="str">
        <x:v>MAN-UI-053</x:v>
      </x:c>
      <x:c r="B104" s="5" t="str">
        <x:v>수동</x:v>
      </x:c>
      <x:c r="C104" s="5" t="str"/>
      <x:c r="D104" s="5" t="str">
        <x:v>UI-053 툴팁</x:v>
      </x:c>
      <x:c r="E104" s="5" t="str">
        <x:v>UI-053</x:v>
      </x:c>
      <x:c r="F104" s="5" t="str">
        <x:v>1. 원문 SRC-001 컴포넌트 / 도움 / 툴팁 / 649-663쪽과 적용조건을 확인한다. 2. S01~S08 / 공통의 일반사용자·관리자 및 기본/오류/로딩/완료/모바일 상태 중 관련 범위를 열어 확인한다. 3. 툴팁 지속·dismiss·포인터 이동 및 터치 대체 정보 확인. 4. 미검사 범위와 실제 환경·검사자·관찰·증빙을 기록한다.</x:v>
      </x:c>
      <x:c r="G104" s="5" t="str">
        <x:v>보충정보에 한정하고 모든 입력방식에서 접근 제공 구체화: 필수 설명은 본문에 표시하고 툴팁은 hover와 초점으로 열며 Escape로 닫기</x:v>
      </x:c>
      <x:c r="H104" s="5" t="str">
        <x:v>원문 검토 + 실제 브라우저/필요 AT. NVDA·TalkBack·VoiceOver는 확보한 실제 조합만 기록</x:v>
      </x:c>
      <x:c r="I104" s="5" t="str">
        <x:v>미실행</x:v>
      </x:c>
      <x:c r="J104" s="5" t="str">
        <x:v>사람의 평가/원문등급 판정을 자동 생성하지 않음</x:v>
      </x:c>
      <x:c r="K104" s="5" t="str"/>
      <x:c r="L104" s="5" t="str"/>
      <x:c r="M104" s="5" t="str"/>
    </x:row>
    <x:row r="105" ht="39.599998474121094" hidden="0" customHeight="1">
      <x:c r="A105" s="5" t="str">
        <x:v>MAN-UI-054</x:v>
      </x:c>
      <x:c r="B105" s="5" t="str">
        <x:v>수동</x:v>
      </x:c>
      <x:c r="C105" s="5" t="str"/>
      <x:c r="D105" s="5" t="str">
        <x:v>UI-054 날짜 입력 필드</x:v>
      </x:c>
      <x:c r="E105" s="5" t="str">
        <x:v>UI-054</x:v>
      </x:c>
      <x:c r="F105" s="5" t="str">
        <x:v>1. 원문 SRC-001 컴포넌트 / 입력 / 날짜 입력 필드 / 664-676쪽과 적용조건을 확인한다. 2. S05의 일반사용자·관리자 및 기본/오류/로딩/완료/모바일 상태 중 관련 범위를 열어 확인한다. 3. 키보드 직접입력·잘못된 날짜·모바일 입력 확인. 4. 미검사 범위와 실제 환경·검사자·관찰·증빙을 기록한다.</x:v>
      </x:c>
      <x:c r="G105" s="5" t="str">
        <x:v>날짜 형식·예시와 직접 입력 제공 구체화: 마감일 필드에 label·YYYY-MM-DD 안내와 검증 오류 연결</x:v>
      </x:c>
      <x:c r="H105" s="5" t="str">
        <x:v>원문 검토 + 실제 브라우저/필요 AT. NVDA·TalkBack·VoiceOver는 확보한 실제 조합만 기록</x:v>
      </x:c>
      <x:c r="I105" s="5" t="str">
        <x:v>미실행</x:v>
      </x:c>
      <x:c r="J105" s="5" t="str">
        <x:v>사람의 평가/원문등급 판정을 자동 생성하지 않음</x:v>
      </x:c>
      <x:c r="K105" s="5" t="str"/>
      <x:c r="L105" s="5" t="str"/>
      <x:c r="M105" s="5" t="str"/>
    </x:row>
    <x:row r="106" ht="39.599998474121094" hidden="0" customHeight="1">
      <x:c r="A106" s="5" t="str">
        <x:v>MAN-UI-055</x:v>
      </x:c>
      <x:c r="B106" s="5" t="str">
        <x:v>수동</x:v>
      </x:c>
      <x:c r="C106" s="5" t="str"/>
      <x:c r="D106" s="5" t="str">
        <x:v>UI-055 텍스트 영역</x:v>
      </x:c>
      <x:c r="E106" s="5" t="str">
        <x:v>UI-055</x:v>
      </x:c>
      <x:c r="F106" s="5" t="str">
        <x:v>1. 원문 SRC-001 컴포넌트 / 입력 / 텍스트 영역 / 677-685쪽과 적용조건을 확인한다. 2. S01~S08 / 공통의 일반사용자·관리자 및 기본/오류/로딩/완료/모바일 상태 중 관련 범위를 열어 확인한다. 3. 확대 시 입력과 레이블 유지, 오류·남은 글자수 확인. 4. 미검사 범위와 실제 환경·검사자·관찰·증빙을 기록한다.</x:v>
      </x:c>
      <x:c r="G106" s="5" t="str">
        <x:v>긴 입력의 레이블·제한·상태 제공 구체화: 요청 내용에 명시적 label·최대 길이·부담이 적은 글자수 안내 제공</x:v>
      </x:c>
      <x:c r="H106" s="5" t="str">
        <x:v>원문 검토 + 실제 브라우저/필요 AT. NVDA·TalkBack·VoiceOver는 확보한 실제 조합만 기록</x:v>
      </x:c>
      <x:c r="I106" s="5" t="str">
        <x:v>미실행</x:v>
      </x:c>
      <x:c r="J106" s="5" t="str">
        <x:v>사람의 평가/원문등급 판정을 자동 생성하지 않음</x:v>
      </x:c>
      <x:c r="K106" s="5" t="str"/>
      <x:c r="L106" s="5" t="str"/>
      <x:c r="M106" s="5" t="str"/>
    </x:row>
    <x:row r="107" ht="39.599998474121094" hidden="0" customHeight="1">
      <x:c r="A107" s="5" t="str">
        <x:v>MAN-UI-056</x:v>
      </x:c>
      <x:c r="B107" s="5" t="str">
        <x:v>수동</x:v>
      </x:c>
      <x:c r="C107" s="5" t="str"/>
      <x:c r="D107" s="5" t="str">
        <x:v>UI-056 텍스트 입력 필드</x:v>
      </x:c>
      <x:c r="E107" s="5" t="str">
        <x:v>UI-056</x:v>
      </x:c>
      <x:c r="F107" s="5" t="str">
        <x:v>1. 원문 SRC-001 컴포넌트 / 입력 / 텍스트 입력 필드 / 686-696쪽과 적용조건을 확인한다. 2. S05의 일반사용자·관리자 및 기본/오류/로딩/완료/모바일 상태 중 관련 범위를 열어 확인한다. 3. placeholder 제거 상태에서도 목적 이해·보조기술 확인. 4. 미검사 범위와 실제 환경·검사자·관찰·증빙을 기록한다.</x:v>
      </x:c>
      <x:c r="G107" s="5" t="str">
        <x:v>필드 목적과 입력 방법을 명확히 함 구체화: label·설명·예시·autocomplete/inputmode를 목적에 맞게 설정</x:v>
      </x:c>
      <x:c r="H107" s="5" t="str">
        <x:v>원문 검토 + 실제 브라우저/필요 AT. NVDA·TalkBack·VoiceOver는 확보한 실제 조합만 기록</x:v>
      </x:c>
      <x:c r="I107" s="5" t="str">
        <x:v>미실행</x:v>
      </x:c>
      <x:c r="J107" s="5" t="str">
        <x:v>사람의 평가/원문등급 판정을 자동 생성하지 않음</x:v>
      </x:c>
      <x:c r="K107" s="5" t="str"/>
      <x:c r="L107" s="5" t="str"/>
      <x:c r="M107" s="5" t="str"/>
    </x:row>
    <x:row r="108" ht="39.599998474121094" hidden="0" customHeight="1">
      <x:c r="A108" s="5" t="str">
        <x:v>MAN-UI-057</x:v>
      </x:c>
      <x:c r="B108" s="5" t="str">
        <x:v>수동</x:v>
      </x:c>
      <x:c r="C108" s="5" t="str"/>
      <x:c r="D108" s="5" t="str">
        <x:v>UI-057 파일 업로드</x:v>
      </x:c>
      <x:c r="E108" s="5" t="str">
        <x:v>UI-057</x:v>
      </x:c>
      <x:c r="F108" s="5" t="str">
        <x:v>1. 원문 SRC-001 컴포넌트 / 입력 / 파일 업로드 / 697-715쪽과 적용조건을 확인한다. 2. S04, S05의 일반사용자·관리자 및 기본/오류/로딩/완료/모바일 상태 중 관련 범위를 열어 확인한다. 3. 키보드 파일 선택·드래그 대체·실패 복구·진행상태 낭독. 4. 미검사 범위와 실제 환경·검사자·관찰·증빙을 기록한다.</x:v>
      </x:c>
      <x:c r="G108" s="5" t="str">
        <x:v>파일 선택·제약·상태·오류를 접근 가능하게 제공 구체화: native 파일 선택과 드롭 영역, 형식/크기/개수 안내, 삭제·재시도 제공</x:v>
      </x:c>
      <x:c r="H108" s="5" t="str">
        <x:v>원문 검토 + 실제 브라우저/필요 AT. NVDA·TalkBack·VoiceOver는 확보한 실제 조합만 기록</x:v>
      </x:c>
      <x:c r="I108" s="5" t="str">
        <x:v>미실행</x:v>
      </x:c>
      <x:c r="J108" s="5" t="str">
        <x:v>사람의 평가/원문등급 판정을 자동 생성하지 않음</x:v>
      </x:c>
      <x:c r="K108" s="5" t="str"/>
      <x:c r="L108" s="5" t="str"/>
      <x:c r="M108" s="5" t="str"/>
    </x:row>
    <x:row r="109" ht="39.599998474121094" hidden="0" customHeight="1">
      <x:c r="A109" s="5" t="str">
        <x:v>MAN-UI-058</x:v>
      </x:c>
      <x:c r="B109" s="5" t="str">
        <x:v>수동</x:v>
      </x:c>
      <x:c r="C109" s="5" t="str"/>
      <x:c r="D109" s="5" t="str">
        <x:v>UI-058 언어 변경</x:v>
      </x:c>
      <x:c r="E109" s="5" t="str">
        <x:v>UI-058</x:v>
      </x:c>
      <x:c r="F109" s="5" t="str">
        <x:v>1. 원문 SRC-001 컴포넌트 / 설정 / 언어 변경 / 716-726쪽과 적용조건을 확인한다. 2. S01~S08 / 공통의 일반사용자·관리자 및 기본/오류/로딩/완료/모바일 상태 중 관련 범위를 열어 확인한다. 3. 다국어 적용 시 링크 언어·숨긴 텍스트까지 변경 확인. 4. 미검사 범위와 실제 환경·검사자·관찰·증빙을 기록한다.</x:v>
      </x:c>
      <x:c r="G109" s="5" t="str">
        <x:v>언어 이름과 언어속성을 정확히 제공 구체화: 한국어 단일언어 샘플에서는 전환기 미사용; 다국어 확장 시 자국어 이름·lang 사용</x:v>
      </x:c>
      <x:c r="H109" s="5" t="str">
        <x:v>원문 검토 + 실제 브라우저/필요 AT. NVDA·TalkBack·VoiceOver는 확보한 실제 조합만 기록</x:v>
      </x:c>
      <x:c r="I109" s="5" t="str">
        <x:v>미실행</x:v>
      </x:c>
      <x:c r="J109" s="5" t="str">
        <x:v>사람의 평가/원문등급 판정을 자동 생성하지 않음</x:v>
      </x:c>
      <x:c r="K109" s="5" t="str"/>
      <x:c r="L109" s="5" t="str"/>
      <x:c r="M109" s="5" t="str"/>
    </x:row>
    <x:row r="110" ht="39.599998474121094" hidden="0" customHeight="1">
      <x:c r="A110" s="5" t="str">
        <x:v>MAN-UI-059</x:v>
      </x:c>
      <x:c r="B110" s="5" t="str">
        <x:v>수동</x:v>
      </x:c>
      <x:c r="C110" s="5" t="str"/>
      <x:c r="D110" s="5" t="str">
        <x:v>UI-059 화면 크기 조정</x:v>
      </x:c>
      <x:c r="E110" s="5" t="str">
        <x:v>UI-059</x:v>
      </x:c>
      <x:c r="F110" s="5" t="str">
        <x:v>1. 원문 SRC-001 컴포넌트 / 설정 / 화면 크기 조정 / 727-737쪽과 적용조건을 확인한다. 2. S01~S08 / 공통의 일반사용자·관리자 및 기본/오류/로딩/완료/모바일 상태 중 관련 범위를 열어 확인한다. 3. 200% 글자 확대와 400%/320 CSS px 재배치 점검. 4. 미검사 범위와 실제 환경·검사자·관찰·증빙을 기록한다.</x:v>
      </x:c>
      <x:c r="G110" s="5" t="str">
        <x:v>확대 후에도 정보·기능을 유지 구체화: 접근성 설정의 글자크기와 브라우저 확대가 함께 작동하도록 상대단위·반응형 구현</x:v>
      </x:c>
      <x:c r="H110" s="5" t="str">
        <x:v>원문 검토 + 실제 브라우저/필요 AT. NVDA·TalkBack·VoiceOver는 확보한 실제 조합만 기록</x:v>
      </x:c>
      <x:c r="I110" s="5" t="str">
        <x:v>미실행</x:v>
      </x:c>
      <x:c r="J110" s="5" t="str">
        <x:v>사람의 평가/원문등급 판정을 자동 생성하지 않음</x:v>
      </x:c>
      <x:c r="K110" s="5" t="str"/>
      <x:c r="L110" s="5" t="str"/>
      <x:c r="M110" s="5" t="str"/>
    </x:row>
    <x:row r="111" ht="39.599998474121094" hidden="0" customHeight="1">
      <x:c r="A111" s="5" t="str">
        <x:v>MAN-UI-060</x:v>
      </x:c>
      <x:c r="B111" s="5" t="str">
        <x:v>수동</x:v>
      </x:c>
      <x:c r="C111" s="5" t="str"/>
      <x:c r="D111" s="5" t="str">
        <x:v>UI-060 접근 가능한 미디어</x:v>
      </x:c>
      <x:c r="E111" s="5" t="str">
        <x:v>UI-060</x:v>
      </x:c>
      <x:c r="F111" s="5" t="str">
        <x:v>1. 원문 SRC-001 컴포넌트 / 콘텐츠 / 접근 가능한 미디어 / 738-746쪽과 적용조건을 확인한다. 2. S01~S08 / 공통의 일반사용자·관리자 및 기본/오류/로딩/완료/모바일 상태 중 관련 범위를 열어 확인한다. 3. 기능 추가 시 미디어 유형에 맞는 접근성 기준 재선정. 4. 미검사 범위와 실제 환경·검사자·관찰·증빙을 기록한다.</x:v>
      </x:c>
      <x:c r="G111" s="5" t="str">
        <x:v>미디어 대체정보를 계획·관리 구체화: 현재 동영상·오디오 미사용; 추가 시 자막·대본·화면해설 필요성별 제작</x:v>
      </x:c>
      <x:c r="H111" s="5" t="str">
        <x:v>원문 검토 + 실제 브라우저/필요 AT. NVDA·TalkBack·VoiceOver는 확보한 실제 조합만 기록</x:v>
      </x:c>
      <x:c r="I111" s="5" t="str">
        <x:v>미실행</x:v>
      </x:c>
      <x:c r="J111" s="5" t="str">
        <x:v>사람의 평가/원문등급 판정을 자동 생성하지 않음</x:v>
      </x:c>
      <x:c r="K111" s="5" t="str"/>
      <x:c r="L111" s="5" t="str"/>
      <x:c r="M111" s="5" t="str"/>
    </x:row>
    <x:row r="112" ht="39.599998474121094" hidden="0" customHeight="1">
      <x:c r="A112" s="5" t="str">
        <x:v>MAN-UI-061</x:v>
      </x:c>
      <x:c r="B112" s="5" t="str">
        <x:v>수동</x:v>
      </x:c>
      <x:c r="C112" s="5" t="str"/>
      <x:c r="D112" s="5" t="str">
        <x:v>UI-061 숨긴 콘텐츠</x:v>
      </x:c>
      <x:c r="E112" s="5" t="str">
        <x:v>UI-061</x:v>
      </x:c>
      <x:c r="F112" s="5" t="str">
        <x:v>1. 원문 SRC-001 컴포넌트 / 콘텐츠 / 숨긴 콘텐츠 / 747-753쪽과 적용조건을 확인한다. 2. S01~S08 / 공통의 일반사용자·관리자 및 기본/오류/로딩/완료/모바일 상태 중 관련 범위를 열어 확인한다. 3. 접근성 트리에서 이름 중복·내용 누락·포커스 실종 점검. 4. 미검사 범위와 실제 환경·검사자·관찰·증빙을 기록한다.</x:v>
      </x:c>
      <x:c r="G112" s="5" t="str">
        <x:v>보조기술용 정보가 의미와 동작을 보완 구체화: sr-only는 display:none을 사용하지 않으며 가능한 화면에도 설명 표시</x:v>
      </x:c>
      <x:c r="H112" s="5" t="str">
        <x:v>원문 검토 + 실제 브라우저/필요 AT. NVDA·TalkBack·VoiceOver는 확보한 실제 조합만 기록</x:v>
      </x:c>
      <x:c r="I112" s="5" t="str">
        <x:v>미실행</x:v>
      </x:c>
      <x:c r="J112" s="5" t="str">
        <x:v>사람의 평가/원문등급 판정을 자동 생성하지 않음</x:v>
      </x:c>
      <x:c r="K112" s="5" t="str"/>
      <x:c r="L112" s="5" t="str"/>
      <x:c r="M112" s="5" t="str"/>
    </x:row>
    <x:row r="113" ht="39.599998474121094" hidden="0" customHeight="1">
      <x:c r="A113" s="5" t="str">
        <x:v>MAN-UI-062</x:v>
      </x:c>
      <x:c r="B113" s="5" t="str">
        <x:v>수동</x:v>
      </x:c>
      <x:c r="C113" s="5" t="str"/>
      <x:c r="D113" s="5" t="str">
        <x:v>UI-062 개인 식별 정보 입력</x:v>
      </x:c>
      <x:c r="E113" s="5" t="str">
        <x:v>UI-062</x:v>
      </x:c>
      <x:c r="F113" s="5" t="str">
        <x:v>1. 원문 SRC-001 기본 패턴 / 패턴 / 개인 식별 정보 입력 / 754-773쪽과 적용조건을 확인한다. 2. S05의 일반사용자·관리자 및 기본/오류/로딩/완료/모바일 상태 중 관련 범위를 열어 확인한다. 3. 최소수집 검토와 다양한 이름·연락수단 입력 시나리오. 4. 미검사 범위와 실제 환경·검사자·관찰·증빙을 기록한다.</x:v>
      </x:c>
      <x:c r="G113" s="5" t="str">
        <x:v>최소한의 식별정보와 익숙한 입력방식 제공 구체화: 요청자 이름·연락수단만 목적에 따라 수집하고 이름 형식의 과도한 제한 제거</x:v>
      </x:c>
      <x:c r="H113" s="5" t="str">
        <x:v>원문 검토 + 실제 브라우저/필요 AT. NVDA·TalkBack·VoiceOver는 확보한 실제 조합만 기록</x:v>
      </x:c>
      <x:c r="I113" s="5" t="str">
        <x:v>미실행</x:v>
      </x:c>
      <x:c r="J113" s="5" t="str">
        <x:v>사람의 평가/원문등급 판정을 자동 생성하지 않음</x:v>
      </x:c>
      <x:c r="K113" s="5" t="str"/>
      <x:c r="L113" s="5" t="str"/>
      <x:c r="M113" s="5" t="str"/>
    </x:row>
    <x:row r="114" ht="39.599998474121094" hidden="0" customHeight="1">
      <x:c r="A114" s="5" t="str">
        <x:v>MAN-UI-063</x:v>
      </x:c>
      <x:c r="B114" s="5" t="str">
        <x:v>수동</x:v>
      </x:c>
      <x:c r="C114" s="5" t="str"/>
      <x:c r="D114" s="5" t="str">
        <x:v>UI-063 도움</x:v>
      </x:c>
      <x:c r="E114" s="5" t="str">
        <x:v>UI-063</x:v>
      </x:c>
      <x:c r="F114" s="5" t="str">
        <x:v>1. 원문 SRC-001 기본 패턴 / 패턴 / 도움 / 774-790쪽과 적용조건을 확인한다. 2. S01~S08 / 공통의 일반사용자·관리자 및 기본/오류/로딩/완료/모바일 상태 중 관련 범위를 열어 확인한다. 3. 주요 화면에서 도움수단 발견·실행 가능 여부. 4. 미검사 범위와 실제 환경·검사자·관찰·증빙을 기록한다.</x:v>
      </x:c>
      <x:c r="G114" s="5" t="str">
        <x:v>도움 요청과 문제해결 경로를 쉽게 찾게 함 구체화: 공통 도움말·FAQ·문의수단과 현재 맥락에 맞는 설명 제공</x:v>
      </x:c>
      <x:c r="H114" s="5" t="str">
        <x:v>원문 검토 + 실제 브라우저/필요 AT. NVDA·TalkBack·VoiceOver는 확보한 실제 조합만 기록</x:v>
      </x:c>
      <x:c r="I114" s="5" t="str">
        <x:v>미실행</x:v>
      </x:c>
      <x:c r="J114" s="5" t="str">
        <x:v>사람의 평가/원문등급 판정을 자동 생성하지 않음</x:v>
      </x:c>
      <x:c r="K114" s="5" t="str"/>
      <x:c r="L114" s="5" t="str"/>
      <x:c r="M114" s="5" t="str"/>
    </x:row>
    <x:row r="115" ht="39.599998474121094" hidden="0" customHeight="1">
      <x:c r="A115" s="5" t="str">
        <x:v>MAN-UI-064</x:v>
      </x:c>
      <x:c r="B115" s="5" t="str">
        <x:v>수동</x:v>
      </x:c>
      <x:c r="C115" s="5" t="str"/>
      <x:c r="D115" s="5" t="str">
        <x:v>UI-064 동의</x:v>
      </x:c>
      <x:c r="E115" s="5" t="str">
        <x:v>UI-064</x:v>
      </x:c>
      <x:c r="F115" s="5" t="str">
        <x:v>1. 원문 SRC-001 기본 패턴 / 패턴 / 동의 / 791-797쪽과 적용조건을 확인한다. 2. S01~S08 / 공통의 일반사용자·관리자 및 기본/오류/로딩/완료/모바일 상태 중 관련 범위를 열어 확인한다. 3. 동의 철회/선택거부·키보드·링크 접근 검토. 4. 미검사 범위와 실제 환경·검사자·관찰·증빙을 기록한다.</x:v>
      </x:c>
      <x:c r="G115" s="5" t="str">
        <x:v>필수·선택 동의를 분리하고 목적을 설명 구체화: 실제 동의가 필요한 처리만 분리하며 선택동의를 사전 체크하지 않음</x:v>
      </x:c>
      <x:c r="H115" s="5" t="str">
        <x:v>원문 검토 + 실제 브라우저/필요 AT. NVDA·TalkBack·VoiceOver는 확보한 실제 조합만 기록</x:v>
      </x:c>
      <x:c r="I115" s="5" t="str">
        <x:v>미실행</x:v>
      </x:c>
      <x:c r="J115" s="5" t="str">
        <x:v>사람의 평가/원문등급 판정을 자동 생성하지 않음</x:v>
      </x:c>
      <x:c r="K115" s="5" t="str"/>
      <x:c r="L115" s="5" t="str"/>
      <x:c r="M115" s="5" t="str"/>
    </x:row>
    <x:row r="116" ht="39.599998474121094" hidden="0" customHeight="1">
      <x:c r="A116" s="5" t="str">
        <x:v>MAN-UI-065</x:v>
      </x:c>
      <x:c r="B116" s="5" t="str">
        <x:v>수동</x:v>
      </x:c>
      <x:c r="C116" s="5" t="str"/>
      <x:c r="D116" s="5" t="str">
        <x:v>UI-065 목록 탐색</x:v>
      </x:c>
      <x:c r="E116" s="5" t="str">
        <x:v>UI-065</x:v>
      </x:c>
      <x:c r="F116" s="5" t="str">
        <x:v>1. 원문 SRC-001 기본 패턴 / 패턴 / 목록 탐색 / 798-802쪽과 적용조건을 확인한다. 2. S03의 일반사용자·관리자 및 기본/오류/로딩/완료/모바일 상태 중 관련 범위를 열어 확인한다. 3. 0건/1건/여러 페이지 데이터의 목록 탐색. 4. 미검사 범위와 실제 환경·검사자·관찰·증빙을 기록한다.</x:v>
      </x:c>
      <x:c r="G116" s="5" t="str">
        <x:v>목록 유형·총량·항목 상태를 일관되게 제공 구체화: 요청 목록·빈 결과·로딩·오류 상태를 별도 구현</x:v>
      </x:c>
      <x:c r="H116" s="5" t="str">
        <x:v>원문 검토 + 실제 브라우저/필요 AT. NVDA·TalkBack·VoiceOver는 확보한 실제 조합만 기록</x:v>
      </x:c>
      <x:c r="I116" s="5" t="str">
        <x:v>미실행</x:v>
      </x:c>
      <x:c r="J116" s="5" t="str">
        <x:v>사람의 평가/원문등급 판정을 자동 생성하지 않음</x:v>
      </x:c>
      <x:c r="K116" s="5" t="str"/>
      <x:c r="L116" s="5" t="str"/>
      <x:c r="M116" s="5" t="str"/>
    </x:row>
    <x:row r="117" ht="39.599998474121094" hidden="0" customHeight="1">
      <x:c r="A117" s="5" t="str">
        <x:v>MAN-UI-066</x:v>
      </x:c>
      <x:c r="B117" s="5" t="str">
        <x:v>수동</x:v>
      </x:c>
      <x:c r="C117" s="5" t="str"/>
      <x:c r="D117" s="5" t="str">
        <x:v>UI-066 사용자 피드백</x:v>
      </x:c>
      <x:c r="E117" s="5" t="str">
        <x:v>UI-066</x:v>
      </x:c>
      <x:c r="F117" s="5" t="str">
        <x:v>1. 원문 SRC-001 기본 패턴 / 패턴 / 사용자 피드백 / 803-812쪽과 적용조건을 확인한다. 2. S01~S08 / 공통의 일반사용자·관리자 및 기본/오류/로딩/완료/모바일 상태 중 관련 범위를 열어 확인한다. 3. 사용자 행동과 피드백 타이밍·과도한 낭독 점검. 4. 미검사 범위와 실제 환경·검사자·관찰·증빙을 기록한다.</x:v>
      </x:c>
      <x:c r="G117" s="5" t="str">
        <x:v>행동 결과를 시각·비시각 채널로 전달 구체화: 저장 성공·실패·진행 상태를 텍스트와 live-region으로 안내</x:v>
      </x:c>
      <x:c r="H117" s="5" t="str">
        <x:v>원문 검토 + 실제 브라우저/필요 AT. NVDA·TalkBack·VoiceOver는 확보한 실제 조합만 기록</x:v>
      </x:c>
      <x:c r="I117" s="5" t="str">
        <x:v>미실행</x:v>
      </x:c>
      <x:c r="J117" s="5" t="str">
        <x:v>사람의 평가/원문등급 판정을 자동 생성하지 않음</x:v>
      </x:c>
      <x:c r="K117" s="5" t="str"/>
      <x:c r="L117" s="5" t="str"/>
      <x:c r="M117" s="5" t="str"/>
    </x:row>
    <x:row r="118" ht="39.599998474121094" hidden="0" customHeight="1">
      <x:c r="A118" s="5" t="str">
        <x:v>MAN-UI-067</x:v>
      </x:c>
      <x:c r="B118" s="5" t="str">
        <x:v>수동</x:v>
      </x:c>
      <x:c r="C118" s="5" t="str"/>
      <x:c r="D118" s="5" t="str">
        <x:v>UI-067 상세 정보 확인</x:v>
      </x:c>
      <x:c r="E118" s="5" t="str">
        <x:v>UI-067</x:v>
      </x:c>
      <x:c r="F118" s="5" t="str">
        <x:v>1. 원문 SRC-001 기본 패턴 / 패턴 / 상세 정보 확인 / 813-826쪽과 적용조건을 확인한다. 2. S04, S05의 일반사용자·관리자 및 기본/오류/로딩/완료/모바일 상태 중 관련 범위를 열어 확인한다. 3. 목록 필터/페이지/스크롤 복원과 상세 제목 확인. 4. 미검사 범위와 실제 환경·검사자·관찰·증빙을 기록한다.</x:v>
      </x:c>
      <x:c r="G118" s="5" t="str">
        <x:v>목록에서 상세 확인 후 탐색 맥락 유지 구체화: 요청 상세에 정보 계층·첨부·이력·목록 복귀를 제공</x:v>
      </x:c>
      <x:c r="H118" s="5" t="str">
        <x:v>원문 검토 + 실제 브라우저/필요 AT. NVDA·TalkBack·VoiceOver는 확보한 실제 조합만 기록</x:v>
      </x:c>
      <x:c r="I118" s="5" t="str">
        <x:v>미실행</x:v>
      </x:c>
      <x:c r="J118" s="5" t="str">
        <x:v>사람의 평가/원문등급 판정을 자동 생성하지 않음</x:v>
      </x:c>
      <x:c r="K118" s="5" t="str"/>
      <x:c r="L118" s="5" t="str"/>
      <x:c r="M118" s="5" t="str"/>
    </x:row>
    <x:row r="119" ht="39.599998474121094" hidden="0" customHeight="1">
      <x:c r="A119" s="5" t="str">
        <x:v>MAN-UI-068</x:v>
      </x:c>
      <x:c r="B119" s="5" t="str">
        <x:v>수동</x:v>
      </x:c>
      <x:c r="C119" s="5" t="str"/>
      <x:c r="D119" s="5" t="str">
        <x:v>UI-068 오류</x:v>
      </x:c>
      <x:c r="E119" s="5" t="str">
        <x:v>UI-068</x:v>
      </x:c>
      <x:c r="F119" s="5" t="str">
        <x:v>1. 원문 SRC-001 기본 패턴 / 패턴 / 오류 / 827-831쪽과 적용조건을 확인한다. 2. S05의 일반사용자·관리자 및 기본/오류/로딩/완료/모바일 상태 중 관련 범위를 열어 확인한다. 3. 첫 오류 초점·재입력 최소화·복구 후 성공 점검. 4. 미검사 범위와 실제 환경·검사자·관찰·증빙을 기록한다.</x:v>
      </x:c>
      <x:c r="G119" s="5" t="str">
        <x:v>문제·위치·수정방법과 입력값 보존 구체화: 오류 요약 링크·필드 오류·서버 오류 코드를 사용자가 이해하는 문구로 표현</x:v>
      </x:c>
      <x:c r="H119" s="5" t="str">
        <x:v>원문 검토 + 실제 브라우저/필요 AT. NVDA·TalkBack·VoiceOver는 확보한 실제 조합만 기록</x:v>
      </x:c>
      <x:c r="I119" s="5" t="str">
        <x:v>미실행</x:v>
      </x:c>
      <x:c r="J119" s="5" t="str">
        <x:v>사람의 평가/원문등급 판정을 자동 생성하지 않음</x:v>
      </x:c>
      <x:c r="K119" s="5" t="str"/>
      <x:c r="L119" s="5" t="str"/>
      <x:c r="M119" s="5" t="str"/>
    </x:row>
    <x:row r="120" ht="39.599998474121094" hidden="0" customHeight="1">
      <x:c r="A120" s="5" t="str">
        <x:v>MAN-UI-069</x:v>
      </x:c>
      <x:c r="B120" s="5" t="str">
        <x:v>수동</x:v>
      </x:c>
      <x:c r="C120" s="5" t="str"/>
      <x:c r="D120" s="5" t="str">
        <x:v>UI-069 입력폼</x:v>
      </x:c>
      <x:c r="E120" s="5" t="str">
        <x:v>UI-069</x:v>
      </x:c>
      <x:c r="F120" s="5" t="str">
        <x:v>1. 원문 SRC-001 기본 패턴 / 패턴 / 입력폼 / 832-851쪽과 적용조건을 확인한다. 2. S05의 일반사용자·관리자 및 기본/오류/로딩/완료/모바일 상태 중 관련 범위를 열어 확인한다. 3. 키보드 전체 등록과 오류·뒤로가기·자동완성 시나리오. 4. 미검사 범위와 실제 환경·검사자·관찰·증빙을 기록한다.</x:v>
      </x:c>
      <x:c r="G120" s="5" t="str">
        <x:v>레이블·그룹·필수 구분·예측 가능한 진행 제공 구체화: 단일 열 중심 구성, fieldset/legend, 오류 연결, 단계 간 입력 보존</x:v>
      </x:c>
      <x:c r="H120" s="5" t="str">
        <x:v>원문 검토 + 실제 브라우저/필요 AT. NVDA·TalkBack·VoiceOver는 확보한 실제 조합만 기록</x:v>
      </x:c>
      <x:c r="I120" s="5" t="str">
        <x:v>미실행</x:v>
      </x:c>
      <x:c r="J120" s="5" t="str">
        <x:v>사람의 평가/원문등급 판정을 자동 생성하지 않음</x:v>
      </x:c>
      <x:c r="K120" s="5" t="str"/>
      <x:c r="L120" s="5" t="str"/>
      <x:c r="M120" s="5" t="str"/>
    </x:row>
    <x:row r="121" ht="39.599998474121094" hidden="0" customHeight="1">
      <x:c r="A121" s="5" t="str">
        <x:v>MAN-UI-070</x:v>
      </x:c>
      <x:c r="B121" s="5" t="str">
        <x:v>수동</x:v>
      </x:c>
      <x:c r="C121" s="5" t="str"/>
      <x:c r="D121" s="5" t="str">
        <x:v>UI-070 첨부파일</x:v>
      </x:c>
      <x:c r="E121" s="5" t="str">
        <x:v>UI-070</x:v>
      </x:c>
      <x:c r="F121" s="5" t="str">
        <x:v>1. 원문 SRC-001 기본 패턴 / 패턴 / 첨부파일 / 852-856쪽과 적용조건을 확인한다. 2. S04, S05의 일반사용자·관리자 및 기본/오류/로딩/완료/모바일 상태 중 관련 범위를 열어 확인한다. 3. 링크 이름·다운로드 권한·실제 파일 일치 확인. 4. 미검사 범위와 실제 환경·검사자·관찰·증빙을 기록한다.</x:v>
      </x:c>
      <x:c r="G121" s="5" t="str">
        <x:v>파일의 형식과 이용 방법을 미리 안내 구체화: 다운로드 링크에 파일명·형식·크기 표시, 문서 접근성 안내</x:v>
      </x:c>
      <x:c r="H121" s="5" t="str">
        <x:v>원문 검토 + 실제 브라우저/필요 AT. NVDA·TalkBack·VoiceOver는 확보한 실제 조합만 기록</x:v>
      </x:c>
      <x:c r="I121" s="5" t="str">
        <x:v>미실행</x:v>
      </x:c>
      <x:c r="J121" s="5" t="str">
        <x:v>사람의 평가/원문등급 판정을 자동 생성하지 않음</x:v>
      </x:c>
      <x:c r="K121" s="5" t="str"/>
      <x:c r="L121" s="5" t="str"/>
      <x:c r="M121" s="5" t="str"/>
    </x:row>
    <x:row r="122" ht="39.599998474121094" hidden="0" customHeight="1">
      <x:c r="A122" s="5" t="str">
        <x:v>MAN-UI-071</x:v>
      </x:c>
      <x:c r="B122" s="5" t="str">
        <x:v>수동</x:v>
      </x:c>
      <x:c r="C122" s="5" t="str"/>
      <x:c r="D122" s="5" t="str">
        <x:v>UI-071 필터링·정렬</x:v>
      </x:c>
      <x:c r="E122" s="5" t="str">
        <x:v>UI-071</x:v>
      </x:c>
      <x:c r="F122" s="5" t="str">
        <x:v>1. 원문 SRC-001 기본 패턴 / 패턴 / 필터링·정렬 / 857-877쪽과 적용조건을 확인한다. 2. S03의 일반사용자·관리자 및 기본/오류/로딩/완료/모바일 상태 중 관련 범위를 열어 확인한다. 3. 조합 필터·초기화·빈 결과·결과 수 낭독 확인. 4. 미검사 범위와 실제 환경·검사자·관찰·증빙을 기록한다.</x:v>
      </x:c>
      <x:c r="G122" s="5" t="str">
        <x:v>적용 조건과 결과 변화를 명확히 표시 구체화: 검색·상태·담당자 필터 및 정렬 상태를 URL/상태로 유지하고 초기화 제공</x:v>
      </x:c>
      <x:c r="H122" s="5" t="str">
        <x:v>원문 검토 + 실제 브라우저/필요 AT. NVDA·TalkBack·VoiceOver는 확보한 실제 조합만 기록</x:v>
      </x:c>
      <x:c r="I122" s="5" t="str">
        <x:v>미실행</x:v>
      </x:c>
      <x:c r="J122" s="5" t="str">
        <x:v>사람의 평가/원문등급 판정을 자동 생성하지 않음</x:v>
      </x:c>
      <x:c r="K122" s="5" t="str"/>
      <x:c r="L122" s="5" t="str"/>
      <x:c r="M122" s="5" t="str"/>
    </x:row>
    <x:row r="123" ht="39.599998474121094" hidden="0" customHeight="1">
      <x:c r="A123" s="5" t="str">
        <x:v>MAN-UI-072</x:v>
      </x:c>
      <x:c r="B123" s="5" t="str">
        <x:v>수동</x:v>
      </x:c>
      <x:c r="C123" s="5" t="str"/>
      <x:c r="D123" s="5" t="str">
        <x:v>UI-072 확인</x:v>
      </x:c>
      <x:c r="E123" s="5" t="str">
        <x:v>UI-072</x:v>
      </x:c>
      <x:c r="F123" s="5" t="str">
        <x:v>1. 원문 SRC-001 기본 패턴 / 패턴 / 확인 / 878-884쪽과 적용조건을 확인한다. 2. S01~S08 / 공통의 일반사용자·관리자 및 기본/오류/로딩/완료/모바일 상태 중 관련 범위를 열어 확인한다. 3. 실수 방지·취소·중복 제출·초점 복귀 확인. 4. 미검사 범위와 실제 환경·검사자·관찰·증빙을 기록한다.</x:v>
      </x:c>
      <x:c r="G123" s="5" t="str">
        <x:v>중요 행동 전에 결과를 검토·취소 가능하게 함 구체화: 요청 제출·삭제·상태변경 전 목적에 맞는 확인과 취소 경로 제공</x:v>
      </x:c>
      <x:c r="H123" s="5" t="str">
        <x:v>원문 검토 + 실제 브라우저/필요 AT. NVDA·TalkBack·VoiceOver는 확보한 실제 조합만 기록</x:v>
      </x:c>
      <x:c r="I123" s="5" t="str">
        <x:v>미실행</x:v>
      </x:c>
      <x:c r="J123" s="5" t="str">
        <x:v>사람의 평가/원문등급 판정을 자동 생성하지 않음</x:v>
      </x:c>
      <x:c r="K123" s="5" t="str"/>
      <x:c r="L123" s="5" t="str"/>
      <x:c r="M123" s="5" t="str"/>
    </x:row>
    <x:row r="124" ht="39.599998474121094" hidden="0" customHeight="1">
      <x:c r="A124" s="5" t="str">
        <x:v>MAN-UI-073</x:v>
      </x:c>
      <x:c r="B124" s="5" t="str">
        <x:v>수동</x:v>
      </x:c>
      <x:c r="C124" s="5" t="str"/>
      <x:c r="D124" s="5" t="str">
        <x:v>UI-073 방문</x:v>
      </x:c>
      <x:c r="E124" s="5" t="str">
        <x:v>UI-073</x:v>
      </x:c>
      <x:c r="F124" s="5" t="str">
        <x:v>1. 원문 SRC-001 서비스 패턴 / 방문 / 방문 / 888-898쪽과 적용조건을 확인한다. 2. S01~S08 / 공통의 일반사용자·관리자 및 기본/오류/로딩/완료/모바일 상태 중 관련 범위를 열어 확인한다. 3. 최초 방문자의 업무 시작 과업 점검. 4. 미검사 범위와 실제 환경·검사자·관찰·증빙을 기록한다.</x:v>
      </x:c>
      <x:c r="G124" s="5" t="str">
        <x:v>처음 방문해도 핵심 업무와 운영주체를 파악 구체화: 홈에 업무요청 시작·내 처리상태·도움말을 제공</x:v>
      </x:c>
      <x:c r="H124" s="5" t="str">
        <x:v>원문 검토 + 실제 브라우저/필요 AT. NVDA·TalkBack·VoiceOver는 확보한 실제 조합만 기록</x:v>
      </x:c>
      <x:c r="I124" s="5" t="str">
        <x:v>미실행</x:v>
      </x:c>
      <x:c r="J124" s="5" t="str">
        <x:v>사람의 평가/원문등급 판정을 자동 생성하지 않음</x:v>
      </x:c>
      <x:c r="K124" s="5" t="str"/>
      <x:c r="L124" s="5" t="str"/>
      <x:c r="M124" s="5" t="str"/>
    </x:row>
    <x:row r="125" ht="39.599998474121094" hidden="0" customHeight="1">
      <x:c r="A125" s="5" t="str">
        <x:v>MAN-UI-074</x:v>
      </x:c>
      <x:c r="B125" s="5" t="str">
        <x:v>수동</x:v>
      </x:c>
      <x:c r="C125" s="5" t="str"/>
      <x:c r="D125" s="5" t="str">
        <x:v>UI-074 검색 기능 찾기</x:v>
      </x:c>
      <x:c r="E125" s="5" t="str">
        <x:v>UI-074</x:v>
      </x:c>
      <x:c r="F125" s="5" t="str">
        <x:v>1. 원문 SRC-001 서비스 패턴 / 검색 / 검색 기능 찾기 / 904-912쪽과 적용조건을 확인한다. 2. S03의 일반사용자·관리자 및 기본/오류/로딩/완료/모바일 상태 중 관련 범위를 열어 확인한다. 3. 각 화면의 검색 접근 경로·레이블 점검. 4. 미검사 범위와 실제 환경·검사자·관찰·증빙을 기록한다.</x:v>
      </x:c>
      <x:c r="G125" s="5" t="str">
        <x:v>일관된 위치에서 검색을 시작 구체화: 헤더 또는 업무목록 상단에 검색을 배치</x:v>
      </x:c>
      <x:c r="H125" s="5" t="str">
        <x:v>원문 검토 + 실제 브라우저/필요 AT. NVDA·TalkBack·VoiceOver는 확보한 실제 조합만 기록</x:v>
      </x:c>
      <x:c r="I125" s="5" t="str">
        <x:v>미실행</x:v>
      </x:c>
      <x:c r="J125" s="5" t="str">
        <x:v>사람의 평가/원문등급 판정을 자동 생성하지 않음</x:v>
      </x:c>
      <x:c r="K125" s="5" t="str"/>
      <x:c r="L125" s="5" t="str"/>
      <x:c r="M125" s="5" t="str"/>
    </x:row>
    <x:row r="126" ht="39.599998474121094" hidden="0" customHeight="1">
      <x:c r="A126" s="5" t="str">
        <x:v>MAN-UI-075</x:v>
      </x:c>
      <x:c r="B126" s="5" t="str">
        <x:v>수동</x:v>
      </x:c>
      <x:c r="C126" s="5" t="str"/>
      <x:c r="D126" s="5" t="str">
        <x:v>UI-075 검색어 입력</x:v>
      </x:c>
      <x:c r="E126" s="5" t="str">
        <x:v>UI-075</x:v>
      </x:c>
      <x:c r="F126" s="5" t="str">
        <x:v>1. 원문 SRC-001 서비스 패턴 / 검색 / 검색어 입력 / 913-928쪽과 적용조건을 확인한다. 2. S03의 일반사용자·관리자 및 기본/오류/로딩/완료/모바일 상태 중 관련 범위를 열어 확인한다. 3. 키보드 입력·제출·지우기·한글 조합 확인. 4. 미검사 범위와 실제 환경·검사자·관찰·증빙을 기록한다.</x:v>
      </x:c>
      <x:c r="G126" s="5" t="str">
        <x:v>검색 범위·방법과 입력 상태 안내 구체화: 검색 label·예시·지우기·제출 버튼, 검색어 보존 제공</x:v>
      </x:c>
      <x:c r="H126" s="5" t="str">
        <x:v>원문 검토 + 실제 브라우저/필요 AT. NVDA·TalkBack·VoiceOver는 확보한 실제 조합만 기록</x:v>
      </x:c>
      <x:c r="I126" s="5" t="str">
        <x:v>미실행</x:v>
      </x:c>
      <x:c r="J126" s="5" t="str">
        <x:v>사람의 평가/원문등급 판정을 자동 생성하지 않음</x:v>
      </x:c>
      <x:c r="K126" s="5" t="str"/>
      <x:c r="L126" s="5" t="str"/>
      <x:c r="M126" s="5" t="str"/>
    </x:row>
    <x:row r="127" ht="39.599998474121094" hidden="0" customHeight="1">
      <x:c r="A127" s="5" t="str">
        <x:v>MAN-UI-076</x:v>
      </x:c>
      <x:c r="B127" s="5" t="str">
        <x:v>수동</x:v>
      </x:c>
      <x:c r="C127" s="5" t="str"/>
      <x:c r="D127" s="5" t="str">
        <x:v>UI-076 검색 결과 확인</x:v>
      </x:c>
      <x:c r="E127" s="5" t="str">
        <x:v>UI-076</x:v>
      </x:c>
      <x:c r="F127" s="5" t="str">
        <x:v>1. 원문 SRC-001 서비스 패턴 / 검색 / 검색 결과 확인 / 929-943쪽과 적용조건을 확인한다. 2. S03의 일반사용자·관리자 및 기본/오류/로딩/완료/모바일 상태 중 관련 범위를 열어 확인한다. 3. 결과 상태 낭독과 검색어 강조의 대비 확인. 4. 미검사 범위와 실제 환경·검사자·관찰·증빙을 기록한다.</x:v>
      </x:c>
      <x:c r="G127" s="5" t="str">
        <x:v>결과 수와 조건·빈 결과 안내 구체화: 검색어·총 결과 수·현재 필터·결과 없음 메시지 표시</x:v>
      </x:c>
      <x:c r="H127" s="5" t="str">
        <x:v>원문 검토 + 실제 브라우저/필요 AT. NVDA·TalkBack·VoiceOver는 확보한 실제 조합만 기록</x:v>
      </x:c>
      <x:c r="I127" s="5" t="str">
        <x:v>미실행</x:v>
      </x:c>
      <x:c r="J127" s="5" t="str">
        <x:v>사람의 평가/원문등급 판정을 자동 생성하지 않음</x:v>
      </x:c>
      <x:c r="K127" s="5" t="str"/>
      <x:c r="L127" s="5" t="str"/>
      <x:c r="M127" s="5" t="str"/>
    </x:row>
    <x:row r="128" ht="39.599998474121094" hidden="0" customHeight="1">
      <x:c r="A128" s="5" t="str">
        <x:v>MAN-UI-077</x:v>
      </x:c>
      <x:c r="B128" s="5" t="str">
        <x:v>수동</x:v>
      </x:c>
      <x:c r="C128" s="5" t="str"/>
      <x:c r="D128" s="5" t="str">
        <x:v>UI-077 상세 검색</x:v>
      </x:c>
      <x:c r="E128" s="5" t="str">
        <x:v>UI-077</x:v>
      </x:c>
      <x:c r="F128" s="5" t="str">
        <x:v>1. 원문 SRC-001 서비스 패턴 / 검색 / 상세 검색 / 944-955쪽과 적용조건을 확인한다. 2. S03의 일반사용자·관리자 및 기본/오류/로딩/완료/모바일 상태 중 관련 범위를 열어 확인한다. 3. 조건 변경 후 결과 수·초점·URL 상태 확인. 4. 미검사 범위와 실제 환경·검사자·관찰·증빙을 기록한다.</x:v>
      </x:c>
      <x:c r="G128" s="5" t="str">
        <x:v>추가 조건의 의미와 적용 상태 표시 구체화: 상태·기간·담당자 조건과 적용/초기화 버튼 제공</x:v>
      </x:c>
      <x:c r="H128" s="5" t="str">
        <x:v>원문 검토 + 실제 브라우저/필요 AT. NVDA·TalkBack·VoiceOver는 확보한 실제 조합만 기록</x:v>
      </x:c>
      <x:c r="I128" s="5" t="str">
        <x:v>미실행</x:v>
      </x:c>
      <x:c r="J128" s="5" t="str">
        <x:v>사람의 평가/원문등급 판정을 자동 생성하지 않음</x:v>
      </x:c>
      <x:c r="K128" s="5" t="str"/>
      <x:c r="L128" s="5" t="str"/>
      <x:c r="M128" s="5" t="str"/>
    </x:row>
    <x:row r="129" ht="39.599998474121094" hidden="0" customHeight="1">
      <x:c r="A129" s="5" t="str">
        <x:v>MAN-UI-078</x:v>
      </x:c>
      <x:c r="B129" s="5" t="str">
        <x:v>수동</x:v>
      </x:c>
      <x:c r="C129" s="5" t="str"/>
      <x:c r="D129" s="5" t="str">
        <x:v>UI-078 검색 결과 이용</x:v>
      </x:c>
      <x:c r="E129" s="5" t="str">
        <x:v>UI-078</x:v>
      </x:c>
      <x:c r="F129" s="5" t="str">
        <x:v>1. 원문 SRC-001 서비스 패턴 / 검색 / 검색 결과 이용 / 956-967쪽과 적용조건을 확인한다. 2. S03의 일반사용자·관리자 및 기본/오류/로딩/완료/모바일 상태 중 관련 범위를 열어 확인한다. 3. 링크명만 읽어도 대상 식별 가능 여부. 4. 미검사 범위와 실제 환경·검사자·관찰·증빙을 기록한다.</x:v>
      </x:c>
      <x:c r="G129" s="5" t="str">
        <x:v>결과의 핵심정보와 목적지 식별 구체화: 제목·상태·날짜·작성자를 보여주고 상세 링크 제공</x:v>
      </x:c>
      <x:c r="H129" s="5" t="str">
        <x:v>원문 검토 + 실제 브라우저/필요 AT. NVDA·TalkBack·VoiceOver는 확보한 실제 조합만 기록</x:v>
      </x:c>
      <x:c r="I129" s="5" t="str">
        <x:v>미실행</x:v>
      </x:c>
      <x:c r="J129" s="5" t="str">
        <x:v>사람의 평가/원문등급 판정을 자동 생성하지 않음</x:v>
      </x:c>
      <x:c r="K129" s="5" t="str"/>
      <x:c r="L129" s="5" t="str"/>
      <x:c r="M129" s="5" t="str"/>
    </x:row>
    <x:row r="130" ht="39.599998474121094" hidden="0" customHeight="1">
      <x:c r="A130" s="5" t="str">
        <x:v>MAN-UI-079</x:v>
      </x:c>
      <x:c r="B130" s="5" t="str">
        <x:v>수동</x:v>
      </x:c>
      <x:c r="C130" s="5" t="str"/>
      <x:c r="D130" s="5" t="str">
        <x:v>UI-079 재검색</x:v>
      </x:c>
      <x:c r="E130" s="5" t="str">
        <x:v>UI-079</x:v>
      </x:c>
      <x:c r="F130" s="5" t="str">
        <x:v>1. 원문 SRC-001 서비스 패턴 / 검색 / 재검색 / 968-972쪽과 적용조건을 확인한다. 2. S03의 일반사용자·관리자 및 기본/오류/로딩/완료/모바일 상태 중 관련 범위를 열어 확인한다. 3. 재검색 후 불필요한 값 초기화 여부 확인. 4. 미검사 범위와 실제 환경·검사자·관찰·증빙을 기록한다.</x:v>
      </x:c>
      <x:c r="G130" s="5" t="str">
        <x:v>이전 검색어와 조건을 수정 가능하게 유지 구체화: 검색 결과 위에서 검색어와 조건을 다시 편집</x:v>
      </x:c>
      <x:c r="H130" s="5" t="str">
        <x:v>원문 검토 + 실제 브라우저/필요 AT. NVDA·TalkBack·VoiceOver는 확보한 실제 조합만 기록</x:v>
      </x:c>
      <x:c r="I130" s="5" t="str">
        <x:v>미실행</x:v>
      </x:c>
      <x:c r="J130" s="5" t="str">
        <x:v>사람의 평가/원문등급 판정을 자동 생성하지 않음</x:v>
      </x:c>
      <x:c r="K130" s="5" t="str"/>
      <x:c r="L130" s="5" t="str"/>
      <x:c r="M130" s="5" t="str"/>
    </x:row>
    <x:row r="131" ht="39.599998474121094" hidden="0" customHeight="1">
      <x:c r="A131" s="5" t="str">
        <x:v>MAN-UI-080</x:v>
      </x:c>
      <x:c r="B131" s="5" t="str">
        <x:v>수동</x:v>
      </x:c>
      <x:c r="C131" s="5" t="str"/>
      <x:c r="D131" s="5" t="str">
        <x:v>UI-080 검색 종료</x:v>
      </x:c>
      <x:c r="E131" s="5" t="str">
        <x:v>UI-080</x:v>
      </x:c>
      <x:c r="F131" s="5" t="str">
        <x:v>1. 원문 SRC-001 서비스 패턴 / 검색 / 검색 종료 / 973-976쪽과 적용조건을 확인한다. 2. S03의 일반사용자·관리자 및 기본/오류/로딩/완료/모바일 상태 중 관련 범위를 열어 확인한다. 3. 목적 달성·결과 없음 상황의 다음 행동 확인. 4. 미검사 범위와 실제 환경·검사자·관찰·증빙을 기록한다.</x:v>
      </x:c>
      <x:c r="G131" s="5" t="str">
        <x:v>검색에서 다른 업무로 자연스럽게 이동 구체화: 검색 종료 후 목록·등록·도움말 등 관련 업무 이동수단 제공</x:v>
      </x:c>
      <x:c r="H131" s="5" t="str">
        <x:v>원문 검토 + 실제 브라우저/필요 AT. NVDA·TalkBack·VoiceOver는 확보한 실제 조합만 기록</x:v>
      </x:c>
      <x:c r="I131" s="5" t="str">
        <x:v>미실행</x:v>
      </x:c>
      <x:c r="J131" s="5" t="str">
        <x:v>사람의 평가/원문등급 판정을 자동 생성하지 않음</x:v>
      </x:c>
      <x:c r="K131" s="5" t="str"/>
      <x:c r="L131" s="5" t="str"/>
      <x:c r="M131" s="5" t="str"/>
    </x:row>
    <x:row r="132" ht="39.599998474121094" hidden="0" customHeight="1">
      <x:c r="A132" s="5" t="str">
        <x:v>MAN-UI-081</x:v>
      </x:c>
      <x:c r="B132" s="5" t="str">
        <x:v>수동</x:v>
      </x:c>
      <x:c r="C132" s="5" t="str"/>
      <x:c r="D132" s="5" t="str">
        <x:v>UI-081 로그인 기능 찾기</x:v>
      </x:c>
      <x:c r="E132" s="5" t="str">
        <x:v>UI-081</x:v>
      </x:c>
      <x:c r="F132" s="5" t="str">
        <x:v>1. 원문 SRC-001 서비스 패턴 / 로그인 / 로그인 기능 찾기 / 980-987쪽과 적용조건을 확인한다. 2. S01, S05의 일반사용자·관리자 및 기본/오류/로딩/완료/모바일 상태 중 관련 범위를 열어 확인한다. 3. 비로그인·로그인 상태의 진입수단 확인. 4. 미검사 범위와 실제 환경·검사자·관찰·증빙을 기록한다.</x:v>
      </x:c>
      <x:c r="G132" s="5" t="str">
        <x:v>로그인 진입을 일관되게 제공 구체화: 헤더 로그인/사용자 메뉴와 보호화면 진입 안내</x:v>
      </x:c>
      <x:c r="H132" s="5" t="str">
        <x:v>원문 검토 + 실제 브라우저/필요 AT. NVDA·TalkBack·VoiceOver는 확보한 실제 조합만 기록</x:v>
      </x:c>
      <x:c r="I132" s="5" t="str">
        <x:v>미실행</x:v>
      </x:c>
      <x:c r="J132" s="5" t="str">
        <x:v>사람의 평가/원문등급 판정을 자동 생성하지 않음</x:v>
      </x:c>
      <x:c r="K132" s="5" t="str"/>
      <x:c r="L132" s="5" t="str"/>
      <x:c r="M132" s="5" t="str"/>
    </x:row>
    <x:row r="133" ht="39.599998474121094" hidden="0" customHeight="1">
      <x:c r="A133" s="5" t="str">
        <x:v>MAN-UI-082</x:v>
      </x:c>
      <x:c r="B133" s="5" t="str">
        <x:v>수동</x:v>
      </x:c>
      <x:c r="C133" s="5" t="str"/>
      <x:c r="D133" s="5" t="str">
        <x:v>UI-082 로그인 안내</x:v>
      </x:c>
      <x:c r="E133" s="5" t="str">
        <x:v>UI-082</x:v>
      </x:c>
      <x:c r="F133" s="5" t="str">
        <x:v>1. 원문 SRC-001 서비스 패턴 / 로그인 / 로그인 안내 / 988-997쪽과 적용조건을 확인한다. 2. S01, S05의 일반사용자·관리자 및 기본/오류/로딩/완료/모바일 상태 중 관련 범위를 열어 확인한다. 3. 설명과 실제 권한 범위의 일치 검토. 4. 미검사 범위와 실제 환경·검사자·관찰·증빙을 기록한다.</x:v>
      </x:c>
      <x:c r="G133" s="5" t="str">
        <x:v>인증 목적과 이용 범위를 사전 안내 구체화: 데모 계정·역할·로그인이 필요한 기능을 명시</x:v>
      </x:c>
      <x:c r="H133" s="5" t="str">
        <x:v>원문 검토 + 실제 브라우저/필요 AT. NVDA·TalkBack·VoiceOver는 확보한 실제 조합만 기록</x:v>
      </x:c>
      <x:c r="I133" s="5" t="str">
        <x:v>미실행</x:v>
      </x:c>
      <x:c r="J133" s="5" t="str">
        <x:v>사람의 평가/원문등급 판정을 자동 생성하지 않음</x:v>
      </x:c>
      <x:c r="K133" s="5" t="str"/>
      <x:c r="L133" s="5" t="str"/>
      <x:c r="M133" s="5" t="str"/>
    </x:row>
    <x:row r="134" ht="39.599998474121094" hidden="0" customHeight="1">
      <x:c r="A134" s="5" t="str">
        <x:v>MAN-UI-083</x:v>
      </x:c>
      <x:c r="B134" s="5" t="str">
        <x:v>수동</x:v>
      </x:c>
      <x:c r="C134" s="5" t="str"/>
      <x:c r="D134" s="5" t="str">
        <x:v>UI-083 로그인 방식 확인·선택</x:v>
      </x:c>
      <x:c r="E134" s="5" t="str">
        <x:v>UI-083</x:v>
      </x:c>
      <x:c r="F134" s="5" t="str">
        <x:v>1. 원문 SRC-001 서비스 패턴 / 로그인 / 로그인 방식 확인·선택 / 998-1013쪽과 적용조건을 확인한다. 2. S01, S05의 일반사용자·관리자 및 기본/오류/로딩/완료/모바일 상태 중 관련 범위를 열어 확인한다. 3. 복수 인증 도입 시 방식별 제약·도움말·접근성 확인. 4. 미검사 범위와 실제 환경·검사자·관찰·증빙을 기록한다.</x:v>
      </x:c>
      <x:c r="G134" s="5" t="str">
        <x:v>인증방식을 사용자 용어로 설명 구체화: 기본 샘플은 로컬 계정 하나로 시작; 여러 방식 추가 시 목적·사용절차 기준으로 설명</x:v>
      </x:c>
      <x:c r="H134" s="5" t="str">
        <x:v>원문 검토 + 실제 브라우저/필요 AT. NVDA·TalkBack·VoiceOver는 확보한 실제 조합만 기록</x:v>
      </x:c>
      <x:c r="I134" s="5" t="str">
        <x:v>미실행</x:v>
      </x:c>
      <x:c r="J134" s="5" t="str">
        <x:v>사람의 평가/원문등급 판정을 자동 생성하지 않음</x:v>
      </x:c>
      <x:c r="K134" s="5" t="str"/>
      <x:c r="L134" s="5" t="str"/>
      <x:c r="M134" s="5" t="str"/>
    </x:row>
    <x:row r="135" ht="39.599998474121094" hidden="0" customHeight="1">
      <x:c r="A135" s="5" t="str">
        <x:v>MAN-UI-084</x:v>
      </x:c>
      <x:c r="B135" s="5" t="str">
        <x:v>수동</x:v>
      </x:c>
      <x:c r="C135" s="5" t="str"/>
      <x:c r="D135" s="5" t="str">
        <x:v>UI-084 로그인 정보 입력</x:v>
      </x:c>
      <x:c r="E135" s="5" t="str">
        <x:v>UI-084</x:v>
      </x:c>
      <x:c r="F135" s="5" t="str">
        <x:v>1. 원문 SRC-001 서비스 패턴 / 로그인 / 로그인 정보 입력 / 1014-1026쪽과 적용조건을 확인한다. 2. S01, S05의 일반사용자·관리자 및 기본/오류/로딩/완료/모바일 상태 중 관련 범위를 열어 확인한다. 3. 키보드·암호관리자·실패 메시지·재시도 확인. 4. 미검사 범위와 실제 환경·검사자·관찰·증빙을 기록한다.</x:v>
      </x:c>
      <x:c r="G135" s="5" t="str">
        <x:v>입력·붙여넣기·자동완성과 오류 안내 지원 구체화: 아이디/암호 label·자동완성·암호 표시 전환, 붙여넣기 허용</x:v>
      </x:c>
      <x:c r="H135" s="5" t="str">
        <x:v>원문 검토 + 실제 브라우저/필요 AT. NVDA·TalkBack·VoiceOver는 확보한 실제 조합만 기록</x:v>
      </x:c>
      <x:c r="I135" s="5" t="str">
        <x:v>미실행</x:v>
      </x:c>
      <x:c r="J135" s="5" t="str">
        <x:v>사람의 평가/원문등급 판정을 자동 생성하지 않음</x:v>
      </x:c>
      <x:c r="K135" s="5" t="str"/>
      <x:c r="L135" s="5" t="str"/>
      <x:c r="M135" s="5" t="str"/>
    </x:row>
    <x:row r="136" ht="39.599998474121094" hidden="0" customHeight="1">
      <x:c r="A136" s="5" t="str">
        <x:v>MAN-UI-085</x:v>
      </x:c>
      <x:c r="B136" s="5" t="str">
        <x:v>수동</x:v>
      </x:c>
      <x:c r="C136" s="5" t="str"/>
      <x:c r="D136" s="5" t="str">
        <x:v>UI-085 로그인 완료</x:v>
      </x:c>
      <x:c r="E136" s="5" t="str">
        <x:v>UI-085</x:v>
      </x:c>
      <x:c r="F136" s="5" t="str">
        <x:v>1. 원문 SRC-001 서비스 패턴 / 로그인 / 로그인 완료 / 1027-1033쪽과 적용조건을 확인한다. 2. S01, S05의 일반사용자·관리자 및 기본/오류/로딩/완료/모바일 상태 중 관련 범위를 열어 확인한다. 3. 리다이렉트·포커스·권한별 화면 확인. 4. 미검사 범위와 실제 환경·검사자·관찰·증빙을 기록한다.</x:v>
      </x:c>
      <x:c r="G136" s="5" t="str">
        <x:v>로그인 결과와 다음 이동을 분명히 함 구체화: 사용자·역할 상태를 알리고 원래 요청한 화면으로 이동</x:v>
      </x:c>
      <x:c r="H136" s="5" t="str">
        <x:v>원문 검토 + 실제 브라우저/필요 AT. NVDA·TalkBack·VoiceOver는 확보한 실제 조합만 기록</x:v>
      </x:c>
      <x:c r="I136" s="5" t="str">
        <x:v>미실행</x:v>
      </x:c>
      <x:c r="J136" s="5" t="str">
        <x:v>사람의 평가/원문등급 판정을 자동 생성하지 않음</x:v>
      </x:c>
      <x:c r="K136" s="5" t="str"/>
      <x:c r="L136" s="5" t="str"/>
      <x:c r="M136" s="5" t="str"/>
    </x:row>
    <x:row r="137" ht="39.599998474121094" hidden="0" customHeight="1">
      <x:c r="A137" s="5" t="str">
        <x:v>MAN-UI-086</x:v>
      </x:c>
      <x:c r="B137" s="5" t="str">
        <x:v>수동</x:v>
      </x:c>
      <x:c r="C137" s="5" t="str"/>
      <x:c r="D137" s="5" t="str">
        <x:v>UI-086 서비스 이용</x:v>
      </x:c>
      <x:c r="E137" s="5" t="str">
        <x:v>UI-086</x:v>
      </x:c>
      <x:c r="F137" s="5" t="str">
        <x:v>1. 원문 SRC-001 서비스 패턴 / 로그인 / 서비스 이용 / 1034-1042쪽과 적용조건을 확인한다. 2. S01, S05의 일반사용자·관리자 및 기본/오류/로딩/완료/모바일 상태 중 관련 범위를 열어 확인한다. 3. 타임아웃·연장·재로그인 후 작업 복구 확인. 4. 미검사 범위와 실제 환경·검사자·관찰·증빙을 기록한다.</x:v>
      </x:c>
      <x:c r="G137" s="5" t="str">
        <x:v>세션 상태와 만료·연장 안내 구체화: 세션 만료 전 경고·연장·입력 보존 계획 적용</x:v>
      </x:c>
      <x:c r="H137" s="5" t="str">
        <x:v>원문 검토 + 실제 브라우저/필요 AT. NVDA·TalkBack·VoiceOver는 확보한 실제 조합만 기록</x:v>
      </x:c>
      <x:c r="I137" s="5" t="str">
        <x:v>미실행</x:v>
      </x:c>
      <x:c r="J137" s="5" t="str">
        <x:v>사람의 평가/원문등급 판정을 자동 생성하지 않음</x:v>
      </x:c>
      <x:c r="K137" s="5" t="str"/>
      <x:c r="L137" s="5" t="str"/>
      <x:c r="M137" s="5" t="str"/>
    </x:row>
    <x:row r="138" ht="39.599998474121094" hidden="0" customHeight="1">
      <x:c r="A138" s="5" t="str">
        <x:v>MAN-UI-087</x:v>
      </x:c>
      <x:c r="B138" s="5" t="str">
        <x:v>수동</x:v>
      </x:c>
      <x:c r="C138" s="5" t="str"/>
      <x:c r="D138" s="5" t="str">
        <x:v>UI-087 로그아웃</x:v>
      </x:c>
      <x:c r="E138" s="5" t="str">
        <x:v>UI-087</x:v>
      </x:c>
      <x:c r="F138" s="5" t="str">
        <x:v>1. 원문 SRC-001 서비스 패턴 / 로그인 / 로그아웃 / 1043-1051쪽과 적용조건을 확인한다. 2. S01, S05의 일반사용자·관리자 및 기본/오류/로딩/완료/모바일 상태 중 관련 범위를 열어 확인한다. 3. 로그아웃 뒤 뒤로가기·API 재요청 시 권한 확인. 4. 미검사 범위와 실제 환경·검사자·관찰·증빙을 기록한다.</x:v>
      </x:c>
      <x:c r="G138" s="5" t="str">
        <x:v>명확한 종료와 보호 데이터 처리 구체화: 로그아웃 수단·완료안내, 서버 세션 종료 및 보호화면 접근 제한</x:v>
      </x:c>
      <x:c r="H138" s="5" t="str">
        <x:v>원문 검토 + 실제 브라우저/필요 AT. NVDA·TalkBack·VoiceOver는 확보한 실제 조합만 기록</x:v>
      </x:c>
      <x:c r="I138" s="5" t="str">
        <x:v>미실행</x:v>
      </x:c>
      <x:c r="J138" s="5" t="str">
        <x:v>사람의 평가/원문등급 판정을 자동 생성하지 않음</x:v>
      </x:c>
      <x:c r="K138" s="5" t="str"/>
      <x:c r="L138" s="5" t="str"/>
      <x:c r="M138" s="5" t="str"/>
    </x:row>
    <x:row r="139" ht="39.599998474121094" hidden="0" customHeight="1">
      <x:c r="A139" s="5" t="str">
        <x:v>MAN-UI-088</x:v>
      </x:c>
      <x:c r="B139" s="5" t="str">
        <x:v>수동</x:v>
      </x:c>
      <x:c r="C139" s="5" t="str"/>
      <x:c r="D139" s="5" t="str">
        <x:v>UI-088 신청 대상 탐색</x:v>
      </x:c>
      <x:c r="E139" s="5" t="str">
        <x:v>UI-088</x:v>
      </x:c>
      <x:c r="F139" s="5" t="str">
        <x:v>1. 원문 SRC-001 서비스 패턴 / 신청 / 신청 대상 탐색 / 1055-1068쪽과 적용조건을 확인한다. 2. S05의 일반사용자·관리자 및 기본/오류/로딩/완료/모바일 상태 중 관련 범위를 열어 확인한다. 3. 검색/목록에서 적합한 업무 선택 과업. 4. 미검사 범위와 실제 환경·검사자·관찰·증빙을 기록한다.</x:v>
      </x:c>
      <x:c r="G139" s="5" t="str">
        <x:v>적절한 요청 유형을 찾도록 안내 구체화: 업무 요청 유형·설명·대상·담당부서를 제시</x:v>
      </x:c>
      <x:c r="H139" s="5" t="str">
        <x:v>원문 검토 + 실제 브라우저/필요 AT. NVDA·TalkBack·VoiceOver는 확보한 실제 조합만 기록</x:v>
      </x:c>
      <x:c r="I139" s="5" t="str">
        <x:v>미실행</x:v>
      </x:c>
      <x:c r="J139" s="5" t="str">
        <x:v>사람의 평가/원문등급 판정을 자동 생성하지 않음</x:v>
      </x:c>
      <x:c r="K139" s="5" t="str"/>
      <x:c r="L139" s="5" t="str"/>
      <x:c r="M139" s="5" t="str"/>
    </x:row>
    <x:row r="140" ht="39.599998474121094" hidden="0" customHeight="1">
      <x:c r="A140" s="5" t="str">
        <x:v>MAN-UI-089</x:v>
      </x:c>
      <x:c r="B140" s="5" t="str">
        <x:v>수동</x:v>
      </x:c>
      <x:c r="C140" s="5" t="str"/>
      <x:c r="D140" s="5" t="str">
        <x:v>UI-089 서비스 정보 확인</x:v>
      </x:c>
      <x:c r="E140" s="5" t="str">
        <x:v>UI-089</x:v>
      </x:c>
      <x:c r="F140" s="5" t="str">
        <x:v>1. 원문 SRC-001 서비스 패턴 / 신청 / 서비스 정보 확인 / 1069-1087쪽과 적용조건을 확인한다. 2. S04, S05의 일반사용자·관리자 및 기본/오류/로딩/완료/모바일 상태 중 관련 범위를 열어 확인한다. 3. 실제 양식·제약과 안내문 일치 확인. 4. 미검사 범위와 실제 환경·검사자·관찰·증빙을 기록한다.</x:v>
      </x:c>
      <x:c r="G140" s="5" t="str">
        <x:v>신청 전에 절차·필요자료·처리정보 안내 구체화: 요청 작성 전 필수 입력·첨부 규격·처리흐름 안내</x:v>
      </x:c>
      <x:c r="H140" s="5" t="str">
        <x:v>원문 검토 + 실제 브라우저/필요 AT. NVDA·TalkBack·VoiceOver는 확보한 실제 조합만 기록</x:v>
      </x:c>
      <x:c r="I140" s="5" t="str">
        <x:v>미실행</x:v>
      </x:c>
      <x:c r="J140" s="5" t="str">
        <x:v>사람의 평가/원문등급 판정을 자동 생성하지 않음</x:v>
      </x:c>
      <x:c r="K140" s="5" t="str"/>
      <x:c r="L140" s="5" t="str"/>
      <x:c r="M140" s="5" t="str"/>
    </x:row>
    <x:row r="141" ht="39.599998474121094" hidden="0" customHeight="1">
      <x:c r="A141" s="5" t="str">
        <x:v>MAN-UI-090</x:v>
      </x:c>
      <x:c r="B141" s="5" t="str">
        <x:v>수동</x:v>
      </x:c>
      <x:c r="C141" s="5" t="str"/>
      <x:c r="D141" s="5" t="str">
        <x:v>UI-090 유의 사항·자격 확인</x:v>
      </x:c>
      <x:c r="E141" s="5" t="str">
        <x:v>UI-090</x:v>
      </x:c>
      <x:c r="F141" s="5" t="str">
        <x:v>1. 원문 SRC-001 서비스 패턴 / 신청 / 유의 사항·자격 확인 / 1088-1096쪽과 적용조건을 확인한다. 2. S01~S08 / 공통의 일반사용자·관리자 및 기본/오류/로딩/완료/모바일 상태 중 관련 범위를 열어 확인한다. 3. 권한 부족·누락 자료에서 이해 가능한 대안 제공. 4. 미검사 범위와 실제 환경·검사자·관찰·증빙을 기록한다.</x:v>
      </x:c>
      <x:c r="G141" s="5" t="str">
        <x:v>진행 가능 조건과 유의점을 먼저 확인 구체화: 역할별 요청 가능 범위와 필수 자료를 사전 표시</x:v>
      </x:c>
      <x:c r="H141" s="5" t="str">
        <x:v>원문 검토 + 실제 브라우저/필요 AT. NVDA·TalkBack·VoiceOver는 확보한 실제 조합만 기록</x:v>
      </x:c>
      <x:c r="I141" s="5" t="str">
        <x:v>미실행</x:v>
      </x:c>
      <x:c r="J141" s="5" t="str">
        <x:v>사람의 평가/원문등급 판정을 자동 생성하지 않음</x:v>
      </x:c>
      <x:c r="K141" s="5" t="str"/>
      <x:c r="L141" s="5" t="str"/>
      <x:c r="M141" s="5" t="str"/>
    </x:row>
    <x:row r="142" ht="39.599998474121094" hidden="0" customHeight="1">
      <x:c r="A142" s="5" t="str">
        <x:v>MAN-UI-091</x:v>
      </x:c>
      <x:c r="B142" s="5" t="str">
        <x:v>수동</x:v>
      </x:c>
      <x:c r="C142" s="5" t="str"/>
      <x:c r="D142" s="5" t="str">
        <x:v>UI-091 신청서 작성</x:v>
      </x:c>
      <x:c r="E142" s="5" t="str">
        <x:v>UI-091</x:v>
      </x:c>
      <x:c r="F142" s="5" t="str">
        <x:v>1. 원문 SRC-001 서비스 패턴 / 신청 / 신청서 작성 / 1097-1111쪽과 적용조건을 확인한다. 2. S04, S05의 일반사용자·관리자 및 기본/오류/로딩/완료/모바일 상태 중 관련 범위를 열어 확인한다. 3. 등록/수정·뒤로가기·네트워크 실패 복구 테스트. 4. 미검사 범위와 실제 환경·검사자·관찰·증빙을 기록한다.</x:v>
      </x:c>
      <x:c r="G142" s="5" t="str">
        <x:v>입력과 단계 이동을 안정적으로 수행 구체화: 기본정보·첨부·검토 단계, 입력 보존·오류 수정 제공</x:v>
      </x:c>
      <x:c r="H142" s="5" t="str">
        <x:v>원문 검토 + 실제 브라우저/필요 AT. NVDA·TalkBack·VoiceOver는 확보한 실제 조합만 기록</x:v>
      </x:c>
      <x:c r="I142" s="5" t="str">
        <x:v>미실행</x:v>
      </x:c>
      <x:c r="J142" s="5" t="str">
        <x:v>사람의 평가/원문등급 판정을 자동 생성하지 않음</x:v>
      </x:c>
      <x:c r="K142" s="5" t="str"/>
      <x:c r="L142" s="5" t="str"/>
      <x:c r="M142" s="5" t="str"/>
    </x:row>
    <x:row r="143" ht="39.599998474121094" hidden="0" customHeight="1">
      <x:c r="A143" s="5" t="str">
        <x:v>MAN-UI-092</x:v>
      </x:c>
      <x:c r="B143" s="5" t="str">
        <x:v>수동</x:v>
      </x:c>
      <x:c r="C143" s="5" t="str"/>
      <x:c r="D143" s="5" t="str">
        <x:v>UI-092 확인·확정</x:v>
      </x:c>
      <x:c r="E143" s="5" t="str">
        <x:v>UI-092</x:v>
      </x:c>
      <x:c r="F143" s="5" t="str">
        <x:v>1. 원문 SRC-001 서비스 패턴 / 신청 / 확인·확정 / 1112-1120쪽과 적용조건을 확인한다. 2. S05의 일반사용자·관리자 및 기본/오류/로딩/완료/모바일 상태 중 관련 범위를 열어 확인한다. 3. 중복 제출·수정 복귀·취소·접근 가능한 검토 확인. 4. 미검사 범위와 실제 환경·검사자·관찰·증빙을 기록한다.</x:v>
      </x:c>
      <x:c r="G143" s="5" t="str">
        <x:v>제출 전에 입력 내용을 확인·수정 구체화: 최종 검토 화면에 항목별 수정 링크와 제출/취소 제공</x:v>
      </x:c>
      <x:c r="H143" s="5" t="str">
        <x:v>원문 검토 + 실제 브라우저/필요 AT. NVDA·TalkBack·VoiceOver는 확보한 실제 조합만 기록</x:v>
      </x:c>
      <x:c r="I143" s="5" t="str">
        <x:v>미실행</x:v>
      </x:c>
      <x:c r="J143" s="5" t="str">
        <x:v>사람의 평가/원문등급 판정을 자동 생성하지 않음</x:v>
      </x:c>
      <x:c r="K143" s="5" t="str"/>
      <x:c r="L143" s="5" t="str"/>
      <x:c r="M143" s="5" t="str"/>
    </x:row>
    <x:row r="144" ht="39.599998474121094" hidden="0" customHeight="1">
      <x:c r="A144" s="5" t="str">
        <x:v>MAN-UI-093</x:v>
      </x:c>
      <x:c r="B144" s="5" t="str">
        <x:v>수동</x:v>
      </x:c>
      <x:c r="C144" s="5" t="str"/>
      <x:c r="D144" s="5" t="str">
        <x:v>UI-093 완료</x:v>
      </x:c>
      <x:c r="E144" s="5" t="str">
        <x:v>UI-093</x:v>
      </x:c>
      <x:c r="F144" s="5" t="str">
        <x:v>1. 원문 SRC-001 서비스 패턴 / 신청 / 완료 / 1121-1128쪽과 적용조건을 확인한다. 2. S05의 일반사용자·관리자 및 기본/오류/로딩/완료/모바일 상태 중 관련 범위를 열어 확인한다. 3. 실제 저장값과 안내 일치·새로고침 중복 방지 확인. 4. 미검사 범위와 실제 환경·검사자·관찰·증빙을 기록한다.</x:v>
      </x:c>
      <x:c r="G144" s="5" t="str">
        <x:v>처리 완료 여부와 후속 행동 안내 구체화: 접수번호·접수시각·현재상태·내 요청 보기 제공</x:v>
      </x:c>
      <x:c r="H144" s="5" t="str">
        <x:v>원문 검토 + 실제 브라우저/필요 AT. NVDA·TalkBack·VoiceOver는 확보한 실제 조합만 기록</x:v>
      </x:c>
      <x:c r="I144" s="5" t="str">
        <x:v>미실행</x:v>
      </x:c>
      <x:c r="J144" s="5" t="str">
        <x:v>사람의 평가/원문등급 판정을 자동 생성하지 않음</x:v>
      </x:c>
      <x:c r="K144" s="5" t="str"/>
      <x:c r="L144" s="5" t="str"/>
      <x:c r="M144" s="5" t="str"/>
    </x:row>
    <x:row r="145" ht="39.599998474121094" hidden="0" customHeight="1">
      <x:c r="A145" s="5" t="str">
        <x:v>MAN-UI-094</x:v>
      </x:c>
      <x:c r="B145" s="5" t="str">
        <x:v>수동</x:v>
      </x:c>
      <x:c r="C145" s="5" t="str"/>
      <x:c r="D145" s="5" t="str">
        <x:v>UI-094 신청 결과 확인</x:v>
      </x:c>
      <x:c r="E145" s="5" t="str">
        <x:v>UI-094</x:v>
      </x:c>
      <x:c r="F145" s="5" t="str">
        <x:v>1. 원문 SRC-001 서비스 패턴 / 신청 / 신청 결과 확인 / 1129-1142쪽과 적용조건을 확인한다. 2. S05의 일반사용자·관리자 및 기본/오류/로딩/완료/모바일 상태 중 관련 범위를 열어 확인한다. 3. 권한별 목록·상세·상태변경 반영 테스트. 4. 미검사 범위와 실제 환경·검사자·관찰·증빙을 기록한다.</x:v>
      </x:c>
      <x:c r="G145" s="5" t="str">
        <x:v>접수 후 상태와 이력을 확인 구체화: 내 요청·상세에서 처리상태·담당자·상태 변경 이력 제공</x:v>
      </x:c>
      <x:c r="H145" s="5" t="str">
        <x:v>원문 검토 + 실제 브라우저/필요 AT. NVDA·TalkBack·VoiceOver는 확보한 실제 조합만 기록</x:v>
      </x:c>
      <x:c r="I145" s="5" t="str">
        <x:v>미실행</x:v>
      </x:c>
      <x:c r="J145" s="5" t="str">
        <x:v>사람의 평가/원문등급 판정을 자동 생성하지 않음</x:v>
      </x:c>
      <x:c r="K145" s="5" t="str"/>
      <x:c r="L145" s="5" t="str"/>
      <x:c r="M145" s="5" t="str"/>
    </x:row>
    <x:row r="146" ht="39.599998474121094" hidden="0" customHeight="1">
      <x:c r="A146" s="5" t="str">
        <x:v>MAN-UI-095</x:v>
      </x:c>
      <x:c r="B146" s="5" t="str">
        <x:v>수동</x:v>
      </x:c>
      <x:c r="C146" s="5" t="str"/>
      <x:c r="D146" s="5" t="str">
        <x:v>UI-095 정책 탐색</x:v>
      </x:c>
      <x:c r="E146" s="5" t="str">
        <x:v>UI-095</x:v>
      </x:c>
      <x:c r="F146" s="5" t="str">
        <x:v>1. 원문 SRC-001 서비스 패턴 / 정책 정보 확인 / 정책 탐색 / 1146-1154쪽과 적용조건을 확인한다. 2. S01~S08 / 공통의 일반사용자·관리자 및 기본/오류/로딩/완료/모바일 상태 중 관련 범위를 열어 확인한다. 3. 정책 기능 추가 시 탐색·분류·최신성 점검. 4. 미검사 범위와 실제 환경·검사자·관찰·증빙을 기록한다.</x:v>
      </x:c>
      <x:c r="G146" s="5" t="str">
        <x:v>정책 또는 처리기준의 탐색 경로 제공 구체화: 샘플은 도움말/업무 처리기준 콘텐츠에 패턴을 참고</x:v>
      </x:c>
      <x:c r="H146" s="5" t="str">
        <x:v>원문 검토 + 실제 브라우저/필요 AT. NVDA·TalkBack·VoiceOver는 확보한 실제 조합만 기록</x:v>
      </x:c>
      <x:c r="I146" s="5" t="str">
        <x:v>미실행</x:v>
      </x:c>
      <x:c r="J146" s="5" t="str">
        <x:v>사람의 평가/원문등급 판정을 자동 생성하지 않음</x:v>
      </x:c>
      <x:c r="K146" s="5" t="str"/>
      <x:c r="L146" s="5" t="str"/>
      <x:c r="M146" s="5" t="str"/>
    </x:row>
    <x:row r="147" ht="39.599998474121094" hidden="0" customHeight="1">
      <x:c r="A147" s="5" t="str">
        <x:v>MAN-UI-096</x:v>
      </x:c>
      <x:c r="B147" s="5" t="str">
        <x:v>수동</x:v>
      </x:c>
      <x:c r="C147" s="5" t="str"/>
      <x:c r="D147" s="5" t="str">
        <x:v>UI-096 정보 확인</x:v>
      </x:c>
      <x:c r="E147" s="5" t="str">
        <x:v>UI-096</x:v>
      </x:c>
      <x:c r="F147" s="5" t="str">
        <x:v>1. 원문 SRC-001 서비스 패턴 / 정책 정보 확인 / 정보 확인 / 1155-1164쪽과 적용조건을 확인한다. 2. S01~S08 / 공통의 일반사용자·관리자 및 기본/오류/로딩/완료/모바일 상태 중 관련 범위를 열어 확인한다. 3. 개정 이력·정확성·읽기 쉬운 설명 점검. 4. 미검사 범위와 실제 환경·검사자·관찰·증빙을 기록한다.</x:v>
      </x:c>
      <x:c r="G147" s="5" t="str">
        <x:v>정책 내용의 정확성과 이해도 관리 구체화: 적용 대상·시행일·담당자·문의수단을 구조화</x:v>
      </x:c>
      <x:c r="H147" s="5" t="str">
        <x:v>원문 검토 + 실제 브라우저/필요 AT. NVDA·TalkBack·VoiceOver는 확보한 실제 조합만 기록</x:v>
      </x:c>
      <x:c r="I147" s="5" t="str">
        <x:v>미실행</x:v>
      </x:c>
      <x:c r="J147" s="5" t="str">
        <x:v>사람의 평가/원문등급 판정을 자동 생성하지 않음</x:v>
      </x:c>
      <x:c r="K147" s="5" t="str"/>
      <x:c r="L147" s="5" t="str"/>
      <x:c r="M147" s="5" t="str"/>
    </x:row>
    <x:row r="148" ht="39.599998474121094" hidden="0" customHeight="1">
      <x:c r="A148" s="5" t="str">
        <x:v>MAN-UI-097</x:v>
      </x:c>
      <x:c r="B148" s="5" t="str">
        <x:v>수동</x:v>
      </x:c>
      <x:c r="C148" s="5" t="str"/>
      <x:c r="D148" s="5" t="str">
        <x:v>UI-097 정책 자료 탐색</x:v>
      </x:c>
      <x:c r="E148" s="5" t="str">
        <x:v>UI-097</x:v>
      </x:c>
      <x:c r="F148" s="5" t="str">
        <x:v>1. 원문 SRC-001 서비스 패턴 / 정책 정보 확인 / 정책 자료 탐색 / 1165-1173쪽과 적용조건을 확인한다. 2. S01~S08 / 공통의 일반사용자·관리자 및 기본/오류/로딩/완료/모바일 상태 중 관련 범위를 열어 확인한다. 3. 파일 다운로드·문서 접근성·대체내용 점검. 4. 미검사 범위와 실제 환경·검사자·관찰·증빙을 기록한다.</x:v>
      </x:c>
      <x:c r="G148" s="5" t="str">
        <x:v>관련 자료의 형식과 접근 경로 제공 구체화: 파일명·형식·크기와 HTML 대체내용을 함께 제공</x:v>
      </x:c>
      <x:c r="H148" s="5" t="str">
        <x:v>원문 검토 + 실제 브라우저/필요 AT. NVDA·TalkBack·VoiceOver는 확보한 실제 조합만 기록</x:v>
      </x:c>
      <x:c r="I148" s="5" t="str">
        <x:v>미실행</x:v>
      </x:c>
      <x:c r="J148" s="5" t="str">
        <x:v>사람의 평가/원문등급 판정을 자동 생성하지 않음</x:v>
      </x:c>
      <x:c r="K148" s="5" t="str"/>
      <x:c r="L148" s="5" t="str"/>
      <x:c r="M148" s="5" t="str"/>
    </x:row>
    <x:row r="149" ht="39.599998474121094" hidden="0" customHeight="1">
      <x:c r="A149" s="5" t="str">
        <x:v>MAN-UI-098</x:v>
      </x:c>
      <x:c r="B149" s="5" t="str">
        <x:v>수동</x:v>
      </x:c>
      <x:c r="C149" s="5" t="str"/>
      <x:c r="D149" s="5" t="str">
        <x:v>UI-098 타이포그래피</x:v>
      </x:c>
      <x:c r="E149" s="5" t="str">
        <x:v>UI-098</x:v>
      </x:c>
      <x:c r="F149" s="5" t="str">
        <x:v>1. 원문 SRC-001 디자인 스타일 / 스타일 / 타이포그래피 / 122쪽과 적용조건을 확인한다. 2. S01~S08 / 공통의 일반사용자·관리자 및 기본/오류/로딩/완료/모바일 상태 중 관련 범위를 열어 확인한다. 3. 대비 측정값과 화면·토큰 ID 저장. 4. 미검사 범위와 실제 환경·검사자·관찰·증빙을 기록한다.</x:v>
      </x:c>
      <x:c r="G149" s="5" t="str">
        <x:v>일반 텍스트4.5:1·큰 텍스트3:1 대비 보장 구체화: 일반/hover/focus/selected 등 실제 상태별 토큰 조합을 측정</x:v>
      </x:c>
      <x:c r="H149" s="5" t="str">
        <x:v>원문 검토 + 실제 브라우저/필요 AT. NVDA·TalkBack·VoiceOver는 확보한 실제 조합만 기록</x:v>
      </x:c>
      <x:c r="I149" s="5" t="str">
        <x:v>미실행</x:v>
      </x:c>
      <x:c r="J149" s="5" t="str">
        <x:v>사람의 평가/원문등급 판정을 자동 생성하지 않음</x:v>
      </x:c>
      <x:c r="K149" s="5" t="str"/>
      <x:c r="L149" s="5" t="str"/>
      <x:c r="M149" s="5" t="str"/>
    </x:row>
    <x:row r="150" ht="39.599998474121094" hidden="0" customHeight="1">
      <x:c r="A150" s="5" t="str">
        <x:v>MAN-UI-099</x:v>
      </x:c>
      <x:c r="B150" s="5" t="str">
        <x:v>수동</x:v>
      </x:c>
      <x:c r="C150" s="5" t="str"/>
      <x:c r="D150" s="5" t="str">
        <x:v>UI-099 타이포그래피</x:v>
      </x:c>
      <x:c r="E150" s="5" t="str">
        <x:v>UI-099</x:v>
      </x:c>
      <x:c r="F150" s="5" t="str">
        <x:v>1. 원문 SRC-001 디자인 스타일 / 스타일 / 타이포그래피 / 123쪽과 적용조건을 확인한다. 2. S01~S08 / 공통의 일반사용자·관리자 및 기본/오류/로딩/완료/모바일 상태 중 관련 범위를 열어 확인한다. 3. 기본모드와 선명한 모드의 대비 결과표 작성. 4. 미검사 범위와 실제 환경·검사자·관찰·증빙을 기록한다.</x:v>
      </x:c>
      <x:c r="G150" s="5" t="str">
        <x:v>선명한 모드의 역할별 강화 대비 적용 구체화: 본문15:1, 헤딩·레이블·아이콘7:1, 시각 보조4.5:1을 별도 검증</x:v>
      </x:c>
      <x:c r="H150" s="5" t="str">
        <x:v>원문 검토 + 실제 브라우저/필요 AT. NVDA·TalkBack·VoiceOver는 확보한 실제 조합만 기록</x:v>
      </x:c>
      <x:c r="I150" s="5" t="str">
        <x:v>미실행</x:v>
      </x:c>
      <x:c r="J150" s="5" t="str">
        <x:v>사람의 평가/원문등급 판정을 자동 생성하지 않음</x:v>
      </x:c>
      <x:c r="K150" s="5" t="str"/>
      <x:c r="L150" s="5" t="str"/>
      <x:c r="M150" s="5" t="str"/>
    </x:row>
    <x:row r="151" ht="39.599998474121094" hidden="0" customHeight="1">
      <x:c r="A151" s="5" t="str">
        <x:v>MAN-UI-100</x:v>
      </x:c>
      <x:c r="B151" s="5" t="str">
        <x:v>수동</x:v>
      </x:c>
      <x:c r="C151" s="5" t="str"/>
      <x:c r="D151" s="5" t="str">
        <x:v>UI-100 선명한 화면 모드</x:v>
      </x:c>
      <x:c r="E151" s="5" t="str">
        <x:v>UI-100</x:v>
      </x:c>
      <x:c r="F151" s="5" t="str">
        <x:v>1. 원문 SRC-001 디자인 스타일 / 스타일 / 선명한 화면 모드 / 204쪽과 적용조건을 확인한다. 2. S01~S08 / 공통의 일반사용자·관리자 및 기본/오류/로딩/완료/모바일 상태 중 관련 범위를 열어 확인한다. 3. 각 주요 화면에서 정상·선명한 모드 비교. 4. 미검사 범위와 실제 환경·검사자·관찰·증빙을 기록한다.</x:v>
      </x:c>
      <x:c r="G151" s="5" t="str">
        <x:v>테마 변경으로 콘텐츠·기능이 사라지지 않음 구체화: 이미지·SVG·테두리·포커스·상태색의 테마별 가시성 유지</x:v>
      </x:c>
      <x:c r="H151" s="5" t="str">
        <x:v>원문 검토 + 실제 브라우저/필요 AT. NVDA·TalkBack·VoiceOver는 확보한 실제 조합만 기록</x:v>
      </x:c>
      <x:c r="I151" s="5" t="str">
        <x:v>미실행</x:v>
      </x:c>
      <x:c r="J151" s="5" t="str">
        <x:v>사람의 평가/원문등급 판정을 자동 생성하지 않음</x:v>
      </x:c>
      <x:c r="K151" s="5" t="str"/>
      <x:c r="L151" s="5" t="str"/>
      <x:c r="M151" s="5" t="str"/>
    </x:row>
    <x:row r="152" ht="39.599998474121094" hidden="0" customHeight="1">
      <x:c r="A152" s="5" t="str">
        <x:v>MAN-UI-101</x:v>
      </x:c>
      <x:c r="B152" s="5" t="str">
        <x:v>수동</x:v>
      </x:c>
      <x:c r="C152" s="5" t="str"/>
      <x:c r="D152" s="5" t="str">
        <x:v>UI-101 헤더</x:v>
      </x:c>
      <x:c r="E152" s="5" t="str">
        <x:v>UI-101</x:v>
      </x:c>
      <x:c r="F152" s="5" t="str">
        <x:v>1. 원문 SRC-001 컴포넌트 / 아이덴티티 / 헤더 / 239쪽과 적용조건을 확인한다. 2. S01~S08 / 공통의 일반사용자·관리자 및 기본/오류/로딩/완료/모바일 상태 중 관련 범위를 열어 확인한다. 3. 국가와 언어의 혼동·화면낭독 발음 점검. 4. 미검사 범위와 실제 환경·검사자·관찰·증빙을 기록한다.</x:v>
      </x:c>
      <x:c r="G152" s="5" t="str">
        <x:v>언어 선택에 국기 대신 언어 이름 사용 구체화: 다국어 전환기 도입 시 한국어/English 등 자국어명을 사용</x:v>
      </x:c>
      <x:c r="H152" s="5" t="str">
        <x:v>원문 검토 + 실제 브라우저/필요 AT. NVDA·TalkBack·VoiceOver는 확보한 실제 조합만 기록</x:v>
      </x:c>
      <x:c r="I152" s="5" t="str">
        <x:v>미실행</x:v>
      </x:c>
      <x:c r="J152" s="5" t="str">
        <x:v>사람의 평가/원문등급 판정을 자동 생성하지 않음</x:v>
      </x:c>
      <x:c r="K152" s="5" t="str"/>
      <x:c r="L152" s="5" t="str"/>
      <x:c r="M152" s="5" t="str"/>
    </x:row>
    <x:row r="153" ht="39.599998474121094" hidden="0" customHeight="1">
      <x:c r="A153" s="5" t="str">
        <x:v>MAN-UI-102</x:v>
      </x:c>
      <x:c r="B153" s="5" t="str">
        <x:v>수동</x:v>
      </x:c>
      <x:c r="C153" s="5" t="str"/>
      <x:c r="D153" s="5" t="str">
        <x:v>UI-102 건너뛰기 링크</x:v>
      </x:c>
      <x:c r="E153" s="5" t="str">
        <x:v>UI-102</x:v>
      </x:c>
      <x:c r="F153" s="5" t="str">
        <x:v>1. 원문 SRC-001 컴포넌트 / 탐색 / 건너뛰기 링크 / 261쪽과 적용조건을 확인한다. 2. S01~S08 / 공통의 일반사용자·관리자 및 기본/오류/로딩/완료/모바일 상태 중 관련 범위를 열어 확인한다. 3. Enter 후 activeElement와 다음 Tab 순서 확인. 4. 미검사 범위와 실제 환경·검사자·관찰·증빙을 기록한다.</x:v>
      </x:c>
      <x:c r="G153" s="5" t="str">
        <x:v>건너뛰기 목적지에 실제 키보드 초점 이동 구체화: main 또는 주제목에 초점을 옮기고 다음 Tab이 본문에서 시작</x:v>
      </x:c>
      <x:c r="H153" s="5" t="str">
        <x:v>원문 검토 + 실제 브라우저/필요 AT. NVDA·TalkBack·VoiceOver는 확보한 실제 조합만 기록</x:v>
      </x:c>
      <x:c r="I153" s="5" t="str">
        <x:v>미실행</x:v>
      </x:c>
      <x:c r="J153" s="5" t="str">
        <x:v>사람의 평가/원문등급 판정을 자동 생성하지 않음</x:v>
      </x:c>
      <x:c r="K153" s="5" t="str"/>
      <x:c r="L153" s="5" t="str"/>
      <x:c r="M153" s="5" t="str"/>
    </x:row>
    <x:row r="154" ht="39.599998474121094" hidden="0" customHeight="1">
      <x:c r="A154" s="5" t="str">
        <x:v>MAN-UI-103</x:v>
      </x:c>
      <x:c r="B154" s="5" t="str">
        <x:v>수동</x:v>
      </x:c>
      <x:c r="C154" s="5" t="str"/>
      <x:c r="D154" s="5" t="str">
        <x:v>UI-103 메인 메뉴</x:v>
      </x:c>
      <x:c r="E154" s="5" t="str">
        <x:v>UI-103</x:v>
      </x:c>
      <x:c r="F154" s="5" t="str">
        <x:v>1. 원문 SRC-001 컴포넌트 / 탐색 / 메인 메뉴 / 275쪽과 적용조건을 확인한다. 2. S01~S08 / 공통의 일반사용자·관리자 및 기본/오류/로딩/완료/모바일 상태 중 관련 범위를 열어 확인한다. 3. 포인터·키보드·터치로 동일 기능 수행. 4. 미검사 범위와 실제 환경·검사자·관찰·증빙을 기록한다.</x:v>
      </x:c>
      <x:c r="G154" s="5" t="str">
        <x:v>드롭다운 메뉴를 마우스오버만으로 열지 않음 구체화: 명시적 버튼·클릭/키보드 조작·aria-expanded 사용</x:v>
      </x:c>
      <x:c r="H154" s="5" t="str">
        <x:v>원문 검토 + 실제 브라우저/필요 AT. NVDA·TalkBack·VoiceOver는 확보한 실제 조합만 기록</x:v>
      </x:c>
      <x:c r="I154" s="5" t="str">
        <x:v>미실행</x:v>
      </x:c>
      <x:c r="J154" s="5" t="str">
        <x:v>사람의 평가/원문등급 판정을 자동 생성하지 않음</x:v>
      </x:c>
      <x:c r="K154" s="5" t="str"/>
      <x:c r="L154" s="5" t="str"/>
      <x:c r="M154" s="5" t="str"/>
    </x:row>
    <x:row r="155" ht="39.599998474121094" hidden="0" customHeight="1">
      <x:c r="A155" s="5" t="str">
        <x:v>MAN-UI-104</x:v>
      </x:c>
      <x:c r="B155" s="5" t="str">
        <x:v>수동</x:v>
      </x:c>
      <x:c r="C155" s="5" t="str"/>
      <x:c r="D155" s="5" t="str">
        <x:v>UI-104 모달</x:v>
      </x:c>
      <x:c r="E155" s="5" t="str">
        <x:v>UI-104</x:v>
      </x:c>
      <x:c r="F155" s="5" t="str">
        <x:v>1. 원문 SRC-001 컴포넌트 / 레이아웃·표현 / 모달 / 397쪽과 적용조건을 확인한다. 2. S01~S08 / 공통의 일반사용자·관리자 및 기본/오류/로딩/완료/모바일 상태 중 관련 범위를 열어 확인한다. 3. 화면낭독 순서·Tab 순서·초점복귀 확인. 4. 미검사 범위와 실제 환경·검사자·관찰·증빙을 기록한다.</x:v>
      </x:c>
      <x:c r="G155" s="5" t="str">
        <x:v>대화상자 닫기 버튼의 논리적 DOM 순서 유지 구체화: 제목·본문·액션 이후 닫기 컨트롤을 마크업하고 시각적 위치는 스타일로 조정</x:v>
      </x:c>
      <x:c r="H155" s="5" t="str">
        <x:v>원문 검토 + 실제 브라우저/필요 AT. NVDA·TalkBack·VoiceOver는 확보한 실제 조합만 기록</x:v>
      </x:c>
      <x:c r="I155" s="5" t="str">
        <x:v>미실행</x:v>
      </x:c>
      <x:c r="J155" s="5" t="str">
        <x:v>사람의 평가/원문등급 판정을 자동 생성하지 않음</x:v>
      </x:c>
      <x:c r="K155" s="5" t="str"/>
      <x:c r="L155" s="5" t="str"/>
      <x:c r="M155" s="5" t="str"/>
    </x:row>
    <x:row r="156" ht="39.599998474121094" hidden="0" customHeight="1">
      <x:c r="A156" s="5" t="str">
        <x:v>MAN-UI-105</x:v>
      </x:c>
      <x:c r="B156" s="5" t="str">
        <x:v>수동</x:v>
      </x:c>
      <x:c r="C156" s="5" t="str"/>
      <x:c r="D156" s="5" t="str">
        <x:v>UI-105 모달</x:v>
      </x:c>
      <x:c r="E156" s="5" t="str">
        <x:v>UI-105</x:v>
      </x:c>
      <x:c r="F156" s="5" t="str">
        <x:v>1. 원문 SRC-001 컴포넌트 / 레이아웃·표현 / 모달 / 398쪽과 적용조건을 확인한다. 2. S01~S08 / 공통의 일반사용자·관리자 및 기본/오류/로딩/완료/모바일 상태 중 관련 범위를 열어 확인한다. 3. 대화상자 E2E와 스크린리더 수동 시험. 4. 미검사 범위와 실제 환경·검사자·관찰·증빙을 기록한다.</x:v>
      </x:c>
      <x:c r="G156" s="5" t="str">
        <x:v>모달 키보드 상호작용과 초점 복귀 구현 구체화: 배경 inert, 내부 Tab 순환, Escape 닫기, 열기 버튼 복귀</x:v>
      </x:c>
      <x:c r="H156" s="5" t="str">
        <x:v>원문 검토 + 실제 브라우저/필요 AT. NVDA·TalkBack·VoiceOver는 확보한 실제 조합만 기록</x:v>
      </x:c>
      <x:c r="I156" s="5" t="str">
        <x:v>미실행</x:v>
      </x:c>
      <x:c r="J156" s="5" t="str">
        <x:v>사람의 평가/원문등급 판정을 자동 생성하지 않음</x:v>
      </x:c>
      <x:c r="K156" s="5" t="str"/>
      <x:c r="L156" s="5" t="str"/>
      <x:c r="M156" s="5" t="str"/>
    </x:row>
    <x:row r="157" ht="39.599998474121094" hidden="0" customHeight="1">
      <x:c r="A157" s="5" t="str">
        <x:v>MAN-UI-106</x:v>
      </x:c>
      <x:c r="B157" s="5" t="str">
        <x:v>수동</x:v>
      </x:c>
      <x:c r="C157" s="5" t="str"/>
      <x:c r="D157" s="5" t="str">
        <x:v>UI-106 표</x:v>
      </x:c>
      <x:c r="E157" s="5" t="str">
        <x:v>UI-106</x:v>
      </x:c>
      <x:c r="F157" s="5" t="str">
        <x:v>1. 원문 SRC-001 컴포넌트 / 레이아웃·표현 / 표 / 469쪽과 적용조건을 확인한다. 2. S01~S08 / 공통의 일반사용자·관리자 및 기본/오류/로딩/완료/모바일 상태 중 관련 범위를 열어 확인한다. 3. 표 탐색 시 각 데이터의 제목 관계 낭독. 4. 미검사 범위와 실제 환경·검사자·관찰·증빙을 기록한다.</x:v>
      </x:c>
      <x:c r="G157" s="5" t="str">
        <x:v>표의 제목과 행·열 제목 관계 제공 구체화: caption·th/scope 또는 복잡표 headers/id를 구현</x:v>
      </x:c>
      <x:c r="H157" s="5" t="str">
        <x:v>원문 검토 + 실제 브라우저/필요 AT. NVDA·TalkBack·VoiceOver는 확보한 실제 조합만 기록</x:v>
      </x:c>
      <x:c r="I157" s="5" t="str">
        <x:v>미실행</x:v>
      </x:c>
      <x:c r="J157" s="5" t="str">
        <x:v>사람의 평가/원문등급 판정을 자동 생성하지 않음</x:v>
      </x:c>
      <x:c r="K157" s="5" t="str"/>
      <x:c r="L157" s="5" t="str"/>
      <x:c r="M157" s="5" t="str"/>
    </x:row>
    <x:row r="158" ht="39.599998474121094" hidden="0" customHeight="1">
      <x:c r="A158" s="5" t="str">
        <x:v>MAN-UI-107</x:v>
      </x:c>
      <x:c r="B158" s="5" t="str">
        <x:v>수동</x:v>
      </x:c>
      <x:c r="C158" s="5" t="str"/>
      <x:c r="D158" s="5" t="str">
        <x:v>UI-107 체크박스</x:v>
      </x:c>
      <x:c r="E158" s="5" t="str">
        <x:v>UI-107</x:v>
      </x:c>
      <x:c r="F158" s="5" t="str">
        <x:v>1. 원문 SRC-001 컴포넌트 / 선택 / 체크박스 / 547쪽과 적용조건을 확인한다. 2. S01~S08 / 공통의 일반사용자·관리자 및 기본/오류/로딩/완료/모바일 상태 중 관련 범위를 열어 확인한다. 3. 색상 제거와 보조기술 상태 확인. 4. 미검사 범위와 실제 환경·검사자·관찰·증빙을 기록한다.</x:v>
      </x:c>
      <x:c r="G158" s="5" t="str">
        <x:v>체크 상태를 색상만으로 표현하지 않음 구체화: 체크표시·mixed 표시와 checked 상태를 함께 제공</x:v>
      </x:c>
      <x:c r="H158" s="5" t="str">
        <x:v>원문 검토 + 실제 브라우저/필요 AT. NVDA·TalkBack·VoiceOver는 확보한 실제 조합만 기록</x:v>
      </x:c>
      <x:c r="I158" s="5" t="str">
        <x:v>미실행</x:v>
      </x:c>
      <x:c r="J158" s="5" t="str">
        <x:v>사람의 평가/원문등급 판정을 자동 생성하지 않음</x:v>
      </x:c>
      <x:c r="K158" s="5" t="str"/>
      <x:c r="L158" s="5" t="str"/>
      <x:c r="M158" s="5" t="str"/>
    </x:row>
    <x:row r="159" ht="39.599998474121094" hidden="0" customHeight="1">
      <x:c r="A159" s="5" t="str">
        <x:v>MAN-UI-108</x:v>
      </x:c>
      <x:c r="B159" s="5" t="str">
        <x:v>수동</x:v>
      </x:c>
      <x:c r="C159" s="5" t="str"/>
      <x:c r="D159" s="5" t="str">
        <x:v>UI-108 셀렉트</x:v>
      </x:c>
      <x:c r="E159" s="5" t="str">
        <x:v>UI-108</x:v>
      </x:c>
      <x:c r="F159" s="5" t="str">
        <x:v>1. 원문 SRC-001 컴포넌트 / 선택 / 셀렉트 / 555쪽과 적용조건을 확인한다. 2. S05의 일반사용자·관리자 및 기본/오류/로딩/완료/모바일 상태 중 관련 범위를 열어 확인한다. 3. 값 변경 시 의도하지 않은 이동·제출 부재 확인. 4. 미검사 범위와 실제 환경·검사자·관찰·증빙을 기록한다.</x:v>
      </x:c>
      <x:c r="G159" s="5" t="str">
        <x:v>선택값 변경만으로 폼을 자동 제출하지 않음 구체화: 신청 제출은 별도 버튼으로 확정</x:v>
      </x:c>
      <x:c r="H159" s="5" t="str">
        <x:v>원문 검토 + 실제 브라우저/필요 AT. NVDA·TalkBack·VoiceOver는 확보한 실제 조합만 기록</x:v>
      </x:c>
      <x:c r="I159" s="5" t="str">
        <x:v>미실행</x:v>
      </x:c>
      <x:c r="J159" s="5" t="str">
        <x:v>사람의 평가/원문등급 판정을 자동 생성하지 않음</x:v>
      </x:c>
      <x:c r="K159" s="5" t="str"/>
      <x:c r="L159" s="5" t="str"/>
      <x:c r="M159" s="5" t="str"/>
    </x:row>
    <x:row r="160" ht="39.599998474121094" hidden="0" customHeight="1">
      <x:c r="A160" s="5" t="str">
        <x:v>MAN-UI-109</x:v>
      </x:c>
      <x:c r="B160" s="5" t="str">
        <x:v>수동</x:v>
      </x:c>
      <x:c r="C160" s="5" t="str"/>
      <x:c r="D160" s="5" t="str">
        <x:v>UI-109 토글 스위치</x:v>
      </x:c>
      <x:c r="E160" s="5" t="str">
        <x:v>UI-109</x:v>
      </x:c>
      <x:c r="F160" s="5" t="str">
        <x:v>1. 원문 SRC-001 컴포넌트 / 선택 / 토글 스위치 / 578쪽과 적용조건을 확인한다. 2. S01~S08 / 공통의 일반사용자·관리자 및 기본/오류/로딩/완료/모바일 상태 중 관련 범위를 열어 확인한다. 3. Tab/Space·checked와 포커스링 확인. 4. 미검사 범위와 실제 환경·검사자·관찰·증빙을 기록한다.</x:v>
      </x:c>
      <x:c r="G160" s="5" t="str">
        <x:v>스위치의 상태와 키보드 초점 표시 구체화: 키보드 접근 가능한 실제 컨트롤에 상태·포커스 스타일 적용</x:v>
      </x:c>
      <x:c r="H160" s="5" t="str">
        <x:v>원문 검토 + 실제 브라우저/필요 AT. NVDA·TalkBack·VoiceOver는 확보한 실제 조합만 기록</x:v>
      </x:c>
      <x:c r="I160" s="5" t="str">
        <x:v>미실행</x:v>
      </x:c>
      <x:c r="J160" s="5" t="str">
        <x:v>사람의 평가/원문등급 판정을 자동 생성하지 않음</x:v>
      </x:c>
      <x:c r="K160" s="5" t="str"/>
      <x:c r="L160" s="5" t="str"/>
      <x:c r="M160" s="5" t="str"/>
    </x:row>
    <x:row r="161" ht="39.599998474121094" hidden="0" customHeight="1">
      <x:c r="A161" s="5" t="str">
        <x:v>MAN-UI-110</x:v>
      </x:c>
      <x:c r="B161" s="5" t="str">
        <x:v>수동</x:v>
      </x:c>
      <x:c r="C161" s="5" t="str"/>
      <x:c r="D161" s="5" t="str">
        <x:v>UI-110 툴팁</x:v>
      </x:c>
      <x:c r="E161" s="5" t="str">
        <x:v>UI-110</x:v>
      </x:c>
      <x:c r="F161" s="5" t="str">
        <x:v>1. 원문 SRC-001 컴포넌트 / 도움 / 툴팁 / 652쪽과 적용조건을 확인한다. 2. S05의 일반사용자·관리자 및 기본/오류/로딩/완료/모바일 상태 중 관련 범위를 열어 확인한다. 3. 터치·확대·보조기술에서도 필수 내용 확인. 4. 미검사 범위와 실제 환경·검사자·관찰·증빙을 기록한다.</x:v>
      </x:c>
      <x:c r="G161" s="5" t="str">
        <x:v>툴팁에 필수 설명을 독점 배치하지 않음 구체화: 필수 입력 안내·오류는 화면 본문에 항상 제공</x:v>
      </x:c>
      <x:c r="H161" s="5" t="str">
        <x:v>원문 검토 + 실제 브라우저/필요 AT. NVDA·TalkBack·VoiceOver는 확보한 실제 조합만 기록</x:v>
      </x:c>
      <x:c r="I161" s="5" t="str">
        <x:v>미실행</x:v>
      </x:c>
      <x:c r="J161" s="5" t="str">
        <x:v>사람의 평가/원문등급 판정을 자동 생성하지 않음</x:v>
      </x:c>
      <x:c r="K161" s="5" t="str"/>
      <x:c r="L161" s="5" t="str"/>
      <x:c r="M161" s="5" t="str"/>
    </x:row>
    <x:row r="162" ht="39.599998474121094" hidden="0" customHeight="1">
      <x:c r="A162" s="5" t="str">
        <x:v>MAN-UI-111</x:v>
      </x:c>
      <x:c r="B162" s="5" t="str">
        <x:v>수동</x:v>
      </x:c>
      <x:c r="C162" s="5" t="str"/>
      <x:c r="D162" s="5" t="str">
        <x:v>UI-111 파일 업로드</x:v>
      </x:c>
      <x:c r="E162" s="5" t="str">
        <x:v>UI-111</x:v>
      </x:c>
      <x:c r="F162" s="5" t="str">
        <x:v>1. 원문 SRC-001 컴포넌트 / 입력 / 파일 업로드 / 701쪽과 적용조건을 확인한다. 2. S04, S05의 일반사용자·관리자 및 기본/오류/로딩/완료/모바일 상태 중 관련 범위를 열어 확인한다. 3. 허용·금지 확장자, 위장 MIME, 초과크기·개수 검증. 4. 미검사 범위와 실제 환경·검사자·관찰·증빙을 기록한다.</x:v>
      </x:c>
      <x:c r="G162" s="5" t="str">
        <x:v>첨부 유형·크기·개수의 제약을 사전 안내 구체화: 업무·보안상 필요한 파일 허용목록과 제한을 명시하고 서버에서도 동일 검증</x:v>
      </x:c>
      <x:c r="H162" s="5" t="str">
        <x:v>원문 검토 + 실제 브라우저/필요 AT. NVDA·TalkBack·VoiceOver는 확보한 실제 조합만 기록</x:v>
      </x:c>
      <x:c r="I162" s="5" t="str">
        <x:v>미실행</x:v>
      </x:c>
      <x:c r="J162" s="5" t="str">
        <x:v>사람의 평가/원문등급 판정을 자동 생성하지 않음</x:v>
      </x:c>
      <x:c r="K162" s="5" t="str"/>
      <x:c r="L162" s="5" t="str"/>
      <x:c r="M162" s="5" t="str"/>
    </x:row>
    <x:row r="163" ht="39.599998474121094" hidden="0" customHeight="1">
      <x:c r="A163" s="5" t="str">
        <x:v>MAN-UI-112</x:v>
      </x:c>
      <x:c r="B163" s="5" t="str">
        <x:v>수동</x:v>
      </x:c>
      <x:c r="C163" s="5" t="str"/>
      <x:c r="D163" s="5" t="str">
        <x:v>UI-112 파일 업로드</x:v>
      </x:c>
      <x:c r="E163" s="5" t="str">
        <x:v>UI-112</x:v>
      </x:c>
      <x:c r="F163" s="5" t="str">
        <x:v>1. 원문 SRC-001 컴포넌트 / 입력 / 파일 업로드 / 708쪽과 적용조건을 확인한다. 2. S04, S05의 일반사용자·관리자 및 기본/오류/로딩/완료/모바일 상태 중 관련 범위를 열어 확인한다. 3. 파일 선택 후 확인 가능한 상태와 취소 경로 확인. 4. 미검사 범위와 실제 환경·검사자·관찰·증빙을 기록한다.</x:v>
      </x:c>
      <x:c r="G163" s="5" t="str">
        <x:v>파일 선택만으로 업무를 자동 제출하지 않음 구체화: 선택·업로드 준비와 최종 업무 제출을 분리</x:v>
      </x:c>
      <x:c r="H163" s="5" t="str">
        <x:v>원문 검토 + 실제 브라우저/필요 AT. NVDA·TalkBack·VoiceOver는 확보한 실제 조합만 기록</x:v>
      </x:c>
      <x:c r="I163" s="5" t="str">
        <x:v>미실행</x:v>
      </x:c>
      <x:c r="J163" s="5" t="str">
        <x:v>사람의 평가/원문등급 판정을 자동 생성하지 않음</x:v>
      </x:c>
      <x:c r="K163" s="5" t="str"/>
      <x:c r="L163" s="5" t="str"/>
      <x:c r="M163" s="5" t="str"/>
    </x:row>
    <x:row r="164" ht="39.599998474121094" hidden="0" customHeight="1">
      <x:c r="A164" s="5" t="str">
        <x:v>MAN-UI-113</x:v>
      </x:c>
      <x:c r="B164" s="5" t="str">
        <x:v>수동</x:v>
      </x:c>
      <x:c r="C164" s="5" t="str"/>
      <x:c r="D164" s="5" t="str">
        <x:v>UI-113 파일 업로드</x:v>
      </x:c>
      <x:c r="E164" s="5" t="str">
        <x:v>UI-113</x:v>
      </x:c>
      <x:c r="F164" s="5" t="str">
        <x:v>1. 원문 SRC-001 컴포넌트 / 입력 / 파일 업로드 / 711쪽과 적용조건을 확인한다. 2. S04, S05의 일반사용자·관리자 및 기본/오류/로딩/완료/모바일 상태 중 관련 범위를 열어 확인한다. 3. 키보드만으로 선택·삭제·재시도 완료. 4. 미검사 범위와 실제 환경·검사자·관찰·증빙을 기록한다.</x:v>
      </x:c>
      <x:c r="G164" s="5" t="str">
        <x:v>드래그앤드롭 외에 파일 선택 대안 제공 구체화: 브라우저 기본 file input과 label/버튼으로 동일 첨부 기능 제공</x:v>
      </x:c>
      <x:c r="H164" s="5" t="str">
        <x:v>원문 검토 + 실제 브라우저/필요 AT. NVDA·TalkBack·VoiceOver는 확보한 실제 조합만 기록</x:v>
      </x:c>
      <x:c r="I164" s="5" t="str">
        <x:v>미실행</x:v>
      </x:c>
      <x:c r="J164" s="5" t="str">
        <x:v>사람의 평가/원문등급 판정을 자동 생성하지 않음</x:v>
      </x:c>
      <x:c r="K164" s="5" t="str"/>
      <x:c r="L164" s="5" t="str"/>
      <x:c r="M164" s="5" t="str"/>
    </x:row>
    <x:row r="165" ht="39.599998474121094" hidden="0" customHeight="1">
      <x:c r="A165" s="5" t="str">
        <x:v>MAN-UI-114</x:v>
      </x:c>
      <x:c r="B165" s="5" t="str">
        <x:v>수동</x:v>
      </x:c>
      <x:c r="C165" s="5" t="str"/>
      <x:c r="D165" s="5" t="str">
        <x:v>UI-114 파일 업로드</x:v>
      </x:c>
      <x:c r="E165" s="5" t="str">
        <x:v>UI-114</x:v>
      </x:c>
      <x:c r="F165" s="5" t="str">
        <x:v>1. 원문 SRC-001 컴포넌트 / 입력 / 파일 업로드 / 712쪽과 적용조건을 확인한다. 2. S04, S05의 일반사용자·관리자 및 기본/오류/로딩/완료/모바일 상태 중 관련 범위를 열어 확인한다. 3. 진행 낭독 과다 여부와 성공/실패 알림 확인. 4. 미검사 범위와 실제 환경·검사자·관찰·증빙을 기록한다.</x:v>
      </x:c>
      <x:c r="G165" s="5" t="str">
        <x:v>파일 상태를 스크린리더로 확인 가능하게 함 구체화: 파일명·크기·진행·오류와 고유한 삭제 이름 제공</x:v>
      </x:c>
      <x:c r="H165" s="5" t="str">
        <x:v>원문 검토 + 실제 브라우저/필요 AT. NVDA·TalkBack·VoiceOver는 확보한 실제 조합만 기록</x:v>
      </x:c>
      <x:c r="I165" s="5" t="str">
        <x:v>미실행</x:v>
      </x:c>
      <x:c r="J165" s="5" t="str">
        <x:v>사람의 평가/원문등급 판정을 자동 생성하지 않음</x:v>
      </x:c>
      <x:c r="K165" s="5" t="str"/>
      <x:c r="L165" s="5" t="str"/>
      <x:c r="M165" s="5" t="str"/>
    </x:row>
    <x:row r="166" ht="39.599998474121094" hidden="0" customHeight="1">
      <x:c r="A166" s="5" t="str">
        <x:v>MAN-UI-115</x:v>
      </x:c>
      <x:c r="B166" s="5" t="str">
        <x:v>수동</x:v>
      </x:c>
      <x:c r="C166" s="5" t="str"/>
      <x:c r="D166" s="5" t="str">
        <x:v>UI-115 숨긴 콘텐츠</x:v>
      </x:c>
      <x:c r="E166" s="5" t="str">
        <x:v>UI-115</x:v>
      </x:c>
      <x:c r="F166" s="5" t="str">
        <x:v>1. 원문 SRC-001 컴포넌트 / 콘텐츠 / 숨긴 콘텐츠 / 749쪽과 적용조건을 확인한다. 2. S01~S08 / 공통의 일반사용자·관리자 및 기본/오류/로딩/완료/모바일 상태 중 관련 범위를 열어 확인한다. 3. 접근성 트리의 설명 존재와 시각적 포커스 확인. 4. 미검사 범위와 실제 환경·검사자·관찰·증빙을 기록한다.</x:v>
      </x:c>
      <x:c r="G166" s="5" t="str">
        <x:v>보조기술 설명을 display:none으로 숨기지 않음 구체화: 검증된 visually-hidden 스타일 적용, aria-hidden과 혼용 방지</x:v>
      </x:c>
      <x:c r="H166" s="5" t="str">
        <x:v>원문 검토 + 실제 브라우저/필요 AT. NVDA·TalkBack·VoiceOver는 확보한 실제 조합만 기록</x:v>
      </x:c>
      <x:c r="I166" s="5" t="str">
        <x:v>미실행</x:v>
      </x:c>
      <x:c r="J166" s="5" t="str">
        <x:v>사람의 평가/원문등급 판정을 자동 생성하지 않음</x:v>
      </x:c>
      <x:c r="K166" s="5" t="str"/>
      <x:c r="L166" s="5" t="str"/>
      <x:c r="M166" s="5" t="str"/>
    </x:row>
    <x:row r="167" ht="39.599998474121094" hidden="0" customHeight="1">
      <x:c r="A167" s="5" t="str">
        <x:v>MAN-UI-116</x:v>
      </x:c>
      <x:c r="B167" s="5" t="str">
        <x:v>수동</x:v>
      </x:c>
      <x:c r="C167" s="5" t="str"/>
      <x:c r="D167" s="5" t="str">
        <x:v>UI-116 오류</x:v>
      </x:c>
      <x:c r="E167" s="5" t="str">
        <x:v>UI-116</x:v>
      </x:c>
      <x:c r="F167" s="5" t="str">
        <x:v>1. 원문 SRC-001 기본 패턴 / 패턴 / 오류 / 831쪽과 적용조건을 확인한다. 2. S05의 일반사용자·관리자 및 기본/오류/로딩/완료/모바일 상태 중 관련 범위를 열어 확인한다. 3. 서버 검증 실패 후 기존 입력과 첨부 유지 확인. 4. 미검사 범위와 실제 환경·검사자·관찰·증빙을 기록한다.</x:v>
      </x:c>
      <x:c r="G167" s="5" t="str">
        <x:v>오류 발생 후 입력값을 보존 구체화: 안전하게 보존 가능한 필드값을 유지하고 오류 수정에 필요한 초점 제공</x:v>
      </x:c>
      <x:c r="H167" s="5" t="str">
        <x:v>원문 검토 + 실제 브라우저/필요 AT. NVDA·TalkBack·VoiceOver는 확보한 실제 조합만 기록</x:v>
      </x:c>
      <x:c r="I167" s="5" t="str">
        <x:v>미실행</x:v>
      </x:c>
      <x:c r="J167" s="5" t="str">
        <x:v>사람의 평가/원문등급 판정을 자동 생성하지 않음</x:v>
      </x:c>
      <x:c r="K167" s="5" t="str"/>
      <x:c r="L167" s="5" t="str"/>
      <x:c r="M167" s="5" t="str"/>
    </x:row>
    <x:row r="168" ht="39.599998474121094" hidden="0" customHeight="1">
      <x:c r="A168" s="5" t="str">
        <x:v>MAN-UI-117</x:v>
      </x:c>
      <x:c r="B168" s="5" t="str">
        <x:v>수동</x:v>
      </x:c>
      <x:c r="C168" s="5" t="str"/>
      <x:c r="D168" s="5" t="str">
        <x:v>UI-117 입력폼</x:v>
      </x:c>
      <x:c r="E168" s="5" t="str">
        <x:v>UI-117</x:v>
      </x:c>
      <x:c r="F168" s="5" t="str">
        <x:v>1. 원문 SRC-001 기본 패턴 / 패턴 / 입력폼 / 847쪽과 적용조건을 확인한다. 2. S05의 일반사용자·관리자 및 기본/오류/로딩/완료/모바일 상태 중 관련 범위를 열어 확인한다. 3. 이름·역할·설명·필수여부를 스크린리더로 확인. 4. 미검사 범위와 실제 환경·검사자·관찰·증빙을 기록한다.</x:v>
      </x:c>
      <x:c r="G168" s="5" t="str">
        <x:v>각 필드와 그룹에 접근 가능한 이름 제공 구체화: label-for/id·fieldset/legend와 aria-describedby로 연결</x:v>
      </x:c>
      <x:c r="H168" s="5" t="str">
        <x:v>원문 검토 + 실제 브라우저/필요 AT. NVDA·TalkBack·VoiceOver는 확보한 실제 조합만 기록</x:v>
      </x:c>
      <x:c r="I168" s="5" t="str">
        <x:v>미실행</x:v>
      </x:c>
      <x:c r="J168" s="5" t="str">
        <x:v>사람의 평가/원문등급 판정을 자동 생성하지 않음</x:v>
      </x:c>
      <x:c r="K168" s="5" t="str"/>
      <x:c r="L168" s="5" t="str"/>
      <x:c r="M168" s="5" t="str"/>
    </x:row>
    <x:row r="169" ht="39.599998474121094" hidden="0" customHeight="1">
      <x:c r="A169" s="5" t="str">
        <x:v>MAN-UI-118</x:v>
      </x:c>
      <x:c r="B169" s="5" t="str">
        <x:v>수동</x:v>
      </x:c>
      <x:c r="C169" s="5" t="str"/>
      <x:c r="D169" s="5" t="str">
        <x:v>UI-118 입력폼</x:v>
      </x:c>
      <x:c r="E169" s="5" t="str">
        <x:v>UI-118</x:v>
      </x:c>
      <x:c r="F169" s="5" t="str">
        <x:v>1. 원문 SRC-001 기본 패턴 / 패턴 / 입력폼 / 848쪽과 적용조건을 확인한다. 2. S05의 일반사용자·관리자 및 기본/오류/로딩/완료/모바일 상태 중 관련 범위를 열어 확인한다. 3. 오류 요약에서 필드 이동 후 수정 성공 확인. 4. 미검사 범위와 실제 환경·검사자·관찰·증빙을 기록한다.</x:v>
      </x:c>
      <x:c r="G169" s="5" t="str">
        <x:v>오류가 있는 항목과 수정방법을 특정 구체화: 오류 요약의 링크를 필드에 연결하고 aria-invalid 설정</x:v>
      </x:c>
      <x:c r="H169" s="5" t="str">
        <x:v>원문 검토 + 실제 브라우저/필요 AT. NVDA·TalkBack·VoiceOver는 확보한 실제 조합만 기록</x:v>
      </x:c>
      <x:c r="I169" s="5" t="str">
        <x:v>미실행</x:v>
      </x:c>
      <x:c r="J169" s="5" t="str">
        <x:v>사람의 평가/원문등급 판정을 자동 생성하지 않음</x:v>
      </x:c>
      <x:c r="K169" s="5" t="str"/>
      <x:c r="L169" s="5" t="str"/>
      <x:c r="M169" s="5" t="str"/>
    </x:row>
    <x:row r="170" ht="39.599998474121094" hidden="0" customHeight="1">
      <x:c r="A170" s="5" t="str">
        <x:v>MAN-UI-119</x:v>
      </x:c>
      <x:c r="B170" s="5" t="str">
        <x:v>수동</x:v>
      </x:c>
      <x:c r="C170" s="5" t="str"/>
      <x:c r="D170" s="5" t="str">
        <x:v>UI-119 입력폼</x:v>
      </x:c>
      <x:c r="E170" s="5" t="str">
        <x:v>UI-119</x:v>
      </x:c>
      <x:c r="F170" s="5" t="str">
        <x:v>1. 원문 SRC-001 기본 패턴 / 패턴 / 입력폼 / 849쪽과 적용조건을 확인한다. 2. S05의 일반사용자·관리자 및 기본/오류/로딩/완료/모바일 상태 중 관련 범위를 열어 확인한다. 3. 단계 왕복 시 불필요한 재입력 요구 부재 확인. 4. 미검사 범위와 실제 환경·검사자·관찰·증빙을 기록한다.</x:v>
      </x:c>
      <x:c r="G170" s="5" t="str">
        <x:v>반복 입력 데이터의 재입력을 최소화 구체화: 같은 정보는 자동 채움·동일 정보 선택·수정 방식으로 제공</x:v>
      </x:c>
      <x:c r="H170" s="5" t="str">
        <x:v>원문 검토 + 실제 브라우저/필요 AT. NVDA·TalkBack·VoiceOver는 확보한 실제 조합만 기록</x:v>
      </x:c>
      <x:c r="I170" s="5" t="str">
        <x:v>미실행</x:v>
      </x:c>
      <x:c r="J170" s="5" t="str">
        <x:v>사람의 평가/원문등급 판정을 자동 생성하지 않음</x:v>
      </x:c>
      <x:c r="K170" s="5" t="str"/>
      <x:c r="L170" s="5" t="str"/>
      <x:c r="M170" s="5" t="str"/>
    </x:row>
    <x:row r="171" ht="39.599998474121094" hidden="0" customHeight="1">
      <x:c r="A171" s="5" t="str">
        <x:v>MAN-UI-120</x:v>
      </x:c>
      <x:c r="B171" s="5" t="str">
        <x:v>수동</x:v>
      </x:c>
      <x:c r="C171" s="5" t="str"/>
      <x:c r="D171" s="5" t="str">
        <x:v>UI-120 상세 검색</x:v>
      </x:c>
      <x:c r="E171" s="5" t="str">
        <x:v>UI-120</x:v>
      </x:c>
      <x:c r="F171" s="5" t="str">
        <x:v>1. 원문 SRC-001 서비스 패턴 / 검색 / 상세 검색 / 954쪽과 적용조건을 확인한다. 2. S03의 일반사용자·관리자 및 기본/오류/로딩/완료/모바일 상태 중 관련 범위를 열어 확인한다. 3. 키보드 초점을 옮기지 않고 결과 수 안내 확인. 4. 미검사 범위와 실제 환경·검사자·관찰·증빙을 기록한다.</x:v>
      </x:c>
      <x:c r="G171" s="5" t="str">
        <x:v>검색 조건 변경 결과를 비시각적으로 안내 구체화: 결과 수 영역에 polite live-region을 적용</x:v>
      </x:c>
      <x:c r="H171" s="5" t="str">
        <x:v>원문 검토 + 실제 브라우저/필요 AT. NVDA·TalkBack·VoiceOver는 확보한 실제 조합만 기록</x:v>
      </x:c>
      <x:c r="I171" s="5" t="str">
        <x:v>미실행</x:v>
      </x:c>
      <x:c r="J171" s="5" t="str">
        <x:v>사람의 평가/원문등급 판정을 자동 생성하지 않음</x:v>
      </x:c>
      <x:c r="K171" s="5" t="str"/>
      <x:c r="L171" s="5" t="str"/>
      <x:c r="M171" s="5" t="str"/>
    </x:row>
    <x:row r="172" ht="39.599998474121094" hidden="0" customHeight="1">
      <x:c r="A172" s="5" t="str">
        <x:v>MAN-UI-121</x:v>
      </x:c>
      <x:c r="B172" s="5" t="str">
        <x:v>수동</x:v>
      </x:c>
      <x:c r="C172" s="5" t="str"/>
      <x:c r="D172" s="5" t="str">
        <x:v>UI-121 로그인 방식 확인·선택</x:v>
      </x:c>
      <x:c r="E172" s="5" t="str">
        <x:v>UI-121</x:v>
      </x:c>
      <x:c r="F172" s="5" t="str">
        <x:v>1. 원문 SRC-001 서비스 패턴 / 로그인 / 로그인 방식 확인·선택 / 1012쪽과 적용조건을 확인한다. 2. S01, S05의 일반사용자·관리자 및 기본/오류/로딩/완료/모바일 상태 중 관련 범위를 열어 확인한다. 3. 인증 경로의 대체수단과 붙여넣기 실제 동작 확인. 4. 미검사 범위와 실제 환경·검사자·관찰·증빙을 기록한다.</x:v>
      </x:c>
      <x:c r="G172" s="5" t="str">
        <x:v>인지시험에 의존하지 않는 인증 제공 구체화: 비밀번호 관리자·붙여넣기 허용, 퍼즐·기억력 시험을 유일 인증으로 사용하지 않음</x:v>
      </x:c>
      <x:c r="H172" s="5" t="str">
        <x:v>원문 검토 + 실제 브라우저/필요 AT. NVDA·TalkBack·VoiceOver는 확보한 실제 조합만 기록</x:v>
      </x:c>
      <x:c r="I172" s="5" t="str">
        <x:v>미실행</x:v>
      </x:c>
      <x:c r="J172" s="5" t="str">
        <x:v>사람의 평가/원문등급 판정을 자동 생성하지 않음</x:v>
      </x:c>
      <x:c r="K172" s="5" t="str"/>
      <x:c r="L172" s="5" t="str"/>
      <x:c r="M172" s="5" t="str"/>
    </x:row>
    <x:row r="173" ht="39.599998474121094" hidden="0" customHeight="1">
      <x:c r="A173" s="5" t="str">
        <x:v>MAN-UI-122</x:v>
      </x:c>
      <x:c r="B173" s="5" t="str">
        <x:v>수동</x:v>
      </x:c>
      <x:c r="C173" s="5" t="str"/>
      <x:c r="D173" s="5" t="str">
        <x:v>UI-122 로그인 정보 입력</x:v>
      </x:c>
      <x:c r="E173" s="5" t="str">
        <x:v>UI-122</x:v>
      </x:c>
      <x:c r="F173" s="5" t="str">
        <x:v>1. 원문 SRC-001 서비스 패턴 / 로그인 / 로그인 정보 입력 / 1014-1026쪽과 적용조건을 확인한다. 2. S01, S05의 일반사용자·관리자 및 기본/오류/로딩/완료/모바일 상태 중 관련 범위를 열어 확인한다. 3. 존재/비존재 계정의 실패 응답과 정보노출 검토. 4. 미검사 범위와 실제 환경·검사자·관찰·증빙을 기록한다.</x:v>
      </x:c>
      <x:c r="G173" s="5" t="str">
        <x:v>오류 메시지가 민감한 인증정보를 노출하지 않음 구체화: 사용자에게 해결방법을 안내하면서 인증실패 원인을 과도하게 노출하지 않음</x:v>
      </x:c>
      <x:c r="H173" s="5" t="str">
        <x:v>원문 검토 + 실제 브라우저/필요 AT. NVDA·TalkBack·VoiceOver는 확보한 실제 조합만 기록</x:v>
      </x:c>
      <x:c r="I173" s="5" t="str">
        <x:v>미실행</x:v>
      </x:c>
      <x:c r="J173" s="5" t="str">
        <x:v>사람의 평가/원문등급 판정을 자동 생성하지 않음</x:v>
      </x:c>
      <x:c r="K173" s="5" t="str"/>
      <x:c r="L173" s="5" t="str"/>
      <x:c r="M173" s="5" t="str"/>
    </x:row>
    <x:row r="174" ht="39.599998474121094" hidden="0" customHeight="1">
      <x:c r="A174" s="5" t="str">
        <x:v>MAN-UI-123</x:v>
      </x:c>
      <x:c r="B174" s="5" t="str">
        <x:v>수동</x:v>
      </x:c>
      <x:c r="C174" s="5" t="str"/>
      <x:c r="D174" s="5" t="str">
        <x:v>UI-123 서비스 이용</x:v>
      </x:c>
      <x:c r="E174" s="5" t="str">
        <x:v>UI-123</x:v>
      </x:c>
      <x:c r="F174" s="5" t="str">
        <x:v>1. 원문 SRC-001 서비스 패턴 / 로그인 / 서비스 이용 / 1039-1041쪽과 적용조건을 확인한다. 2. S01~S08 / 공통의 일반사용자·관리자 및 기본/오류/로딩/완료/모바일 상태 중 관련 범위를 열어 확인한다. 3. 시간 조정·경고 초점·보조기술·연장횟수·복구 시험. 4. 미검사 범위와 실제 환경·검사자·관찰·증빙을 기록한다.</x:v>
      </x:c>
      <x:c r="G174" s="5" t="str">
        <x:v>세션 만료 최소20초 전 안내와 연장수단 제공 구체화: 만료 경고·시간연장·로그아웃 버튼, 최소10회 연장과 경고창 임의 키 연장 동작을 보안정책과 검토 후 구현</x:v>
      </x:c>
      <x:c r="H174" s="5" t="str">
        <x:v>원문 검토 + 실제 브라우저/필요 AT. NVDA·TalkBack·VoiceOver는 확보한 실제 조합만 기록</x:v>
      </x:c>
      <x:c r="I174" s="5" t="str">
        <x:v>미실행</x:v>
      </x:c>
      <x:c r="J174" s="5" t="str">
        <x:v>사람의 평가/원문등급 판정을 자동 생성하지 않음</x:v>
      </x:c>
      <x:c r="K174" s="5" t="str"/>
      <x:c r="L174" s="5" t="str"/>
      <x:c r="M174" s="5" t="str"/>
    </x:row>
    <x:row r="175" ht="39.599998474121094" hidden="0" customHeight="1">
      <x:c r="A175" s="5" t="str">
        <x:v>MAN-UI-124</x:v>
      </x:c>
      <x:c r="B175" s="5" t="str">
        <x:v>수동</x:v>
      </x:c>
      <x:c r="C175" s="5" t="str"/>
      <x:c r="D175" s="5" t="str">
        <x:v>UI-124 확인·확정</x:v>
      </x:c>
      <x:c r="E175" s="5" t="str">
        <x:v>UI-124</x:v>
      </x:c>
      <x:c r="F175" s="5" t="str">
        <x:v>1. 원문 SRC-001 서비스 패턴 / 신청 / 확인·확정 / 1119쪽과 적용조건을 확인한다. 2. S05의 일반사용자·관리자 및 기본/오류/로딩/완료/모바일 상태 중 관련 범위를 열어 확인한다. 3. 취소 후 상태·데이터·초점 확인. 4. 미검사 범위와 실제 환경·검사자·관찰·증빙을 기록한다.</x:v>
      </x:c>
      <x:c r="G175" s="5" t="str">
        <x:v>중요 행동의 확정과 취소를 모두 제공 구체화: 제출/취소를 명시하고 이전 단계로 돌아가도 입력 보존</x:v>
      </x:c>
      <x:c r="H175" s="5" t="str">
        <x:v>원문 검토 + 실제 브라우저/필요 AT. NVDA·TalkBack·VoiceOver는 확보한 실제 조합만 기록</x:v>
      </x:c>
      <x:c r="I175" s="5" t="str">
        <x:v>미실행</x:v>
      </x:c>
      <x:c r="J175" s="5" t="str">
        <x:v>사람의 평가/원문등급 판정을 자동 생성하지 않음</x:v>
      </x:c>
      <x:c r="K175" s="5" t="str"/>
      <x:c r="L175" s="5" t="str"/>
      <x:c r="M175" s="5" t="str"/>
    </x:row>
    <x:row r="176" ht="39.599998474121094" hidden="0" customHeight="1">
      <x:c r="A176" s="5" t="str">
        <x:v>MAN-UI-125</x:v>
      </x:c>
      <x:c r="B176" s="5" t="str">
        <x:v>수동</x:v>
      </x:c>
      <x:c r="C176" s="5" t="str"/>
      <x:c r="D176" s="5" t="str">
        <x:v>UI-125 푸터</x:v>
      </x:c>
      <x:c r="E176" s="5" t="str">
        <x:v>UI-125</x:v>
      </x:c>
      <x:c r="F176" s="5" t="str">
        <x:v>1. 원문 SRC-001 컴포넌트 / 아이덴티티 / 푸터 / 249쪽과 적용조건을 확인한다. 2. S01~S08 / 공통의 일반사용자·관리자 및 기본/오류/로딩/완료/모바일 상태 중 관련 범위를 열어 확인한다. 3. 링크 텍스트·대비·최신 페이지·문서 제목 확인. 4. 미검사 범위와 실제 환경·검사자·관찰·증빙을 기록한다.</x:v>
      </x:c>
      <x:c r="G176" s="5" t="str">
        <x:v>개인정보 처리방침 명칭과 가시성 유지 구체화: ‘개인정보 처리방침’ 명칭을 쓰고 굵기·색 등으로 다른 정책링크와 구분</x:v>
      </x:c>
      <x:c r="H176" s="5" t="str">
        <x:v>원문 검토 + 실제 브라우저/필요 AT. NVDA·TalkBack·VoiceOver는 확보한 실제 조합만 기록</x:v>
      </x:c>
      <x:c r="I176" s="5" t="str">
        <x:v>미실행</x:v>
      </x:c>
      <x:c r="J176" s="5" t="str">
        <x:v>사람의 평가/원문등급 판정을 자동 생성하지 않음</x:v>
      </x:c>
      <x:c r="K176" s="5" t="str"/>
      <x:c r="L176" s="5" t="str"/>
      <x:c r="M176" s="5" t="str"/>
    </x:row>
    <x:row r="177" ht="39.599998474121094" hidden="0" customHeight="1">
      <x:c r="A177" s="5" t="str">
        <x:v>MAN-UI-126</x:v>
      </x:c>
      <x:c r="B177" s="5" t="str">
        <x:v>수동</x:v>
      </x:c>
      <x:c r="C177" s="5" t="str"/>
      <x:c r="D177" s="5" t="str">
        <x:v>UI-126 운영기관 식별자</x:v>
      </x:c>
      <x:c r="E177" s="5" t="str">
        <x:v>UI-126</x:v>
      </x:c>
      <x:c r="F177" s="5" t="str">
        <x:v>1. 원문 SRC-002 컴포넌트 / 아이덴티티 / 운영기관 식별자 / 변경 대비표 p1; 본문 p229-231쪽과 적용조건을 확인한다. 2. S01~S08 / 공통의 일반사용자·관리자 및 기본/오류/로딩/완료/모바일 상태 중 관련 범위를 열어 확인한다. 3. 구버전 상위기관 계층 로고·문구 잔존 점검. 4. 미검사 범위와 실제 환경·검사자·관찰·증빙을 기록한다.</x:v>
      </x:c>
      <x:c r="G177" s="5" t="str">
        <x:v>운영기관 로고·안내로 변경하고 상위기관 계층 나열 삭제 구체화: 공공 프로젝트 프로필에서 운영기관 기준으로 구성; 회사 샘플은 해당없음</x:v>
      </x:c>
      <x:c r="H177" s="5" t="str">
        <x:v>원문 검토 + 실제 브라우저/필요 AT. NVDA·TalkBack·VoiceOver는 확보한 실제 조합만 기록</x:v>
      </x:c>
      <x:c r="I177" s="5" t="str">
        <x:v>미실행</x:v>
      </x:c>
      <x:c r="J177" s="5" t="str">
        <x:v>사람의 평가/원문등급 판정을 자동 생성하지 않음</x:v>
      </x:c>
      <x:c r="K177" s="5" t="str"/>
      <x:c r="L177" s="5" t="str"/>
      <x:c r="M177" s="5" t="str"/>
    </x:row>
    <x:row r="178" ht="39.599998474121094" hidden="0" customHeight="1">
      <x:c r="A178" s="5" t="str">
        <x:v>MAN-UI-127</x:v>
      </x:c>
      <x:c r="B178" s="5" t="str">
        <x:v>수동</x:v>
      </x:c>
      <x:c r="C178" s="5" t="str"/>
      <x:c r="D178" s="5" t="str">
        <x:v>UI-127 푸터</x:v>
      </x:c>
      <x:c r="E178" s="5" t="str">
        <x:v>UI-127</x:v>
      </x:c>
      <x:c r="F178" s="5" t="str">
        <x:v>1. 원문 SRC-002 컴포넌트 / 아이덴티티 / 푸터 / 변경 대비표 p2; 본문 p249쪽과 적용조건을 확인한다. 2. S01~S08 / 공통의 일반사용자·관리자 및 기본/오류/로딩/완료/모바일 상태 중 관련 범위를 열어 확인한다. 3. 디자인·접근성·실제 정책내용 합동 점검. 4. 미검사 범위와 실제 환경·검사자·관찰·증빙을 기록한다.</x:v>
      </x:c>
      <x:c r="G178" s="5" t="str">
        <x:v>개인정보 처리방침 명칭·시각 구분을 강화 구체화: 정책 링크의 정확한 명칭·굵기/색과 현재 내용을 적용</x:v>
      </x:c>
      <x:c r="H178" s="5" t="str">
        <x:v>원문 검토 + 실제 브라우저/필요 AT. NVDA·TalkBack·VoiceOver는 확보한 실제 조합만 기록</x:v>
      </x:c>
      <x:c r="I178" s="5" t="str">
        <x:v>미실행</x:v>
      </x:c>
      <x:c r="J178" s="5" t="str">
        <x:v>사람의 평가/원문등급 판정을 자동 생성하지 않음</x:v>
      </x:c>
      <x:c r="K178" s="5" t="str"/>
      <x:c r="L178" s="5" t="str"/>
      <x:c r="M178" s="5" t="str"/>
    </x:row>
    <x:row r="179" ht="39.599998474121094" hidden="0" customHeight="1">
      <x:c r="A179" s="5" t="str">
        <x:v>MAN-UI-128</x:v>
      </x:c>
      <x:c r="B179" s="5" t="str">
        <x:v>수동</x:v>
      </x:c>
      <x:c r="C179" s="5" t="str"/>
      <x:c r="D179" s="5" t="str">
        <x:v>UI-128 로그인 방식 확인·선택</x:v>
      </x:c>
      <x:c r="E179" s="5" t="str">
        <x:v>UI-128</x:v>
      </x:c>
      <x:c r="F179" s="5" t="str">
        <x:v>1. 원문 SRC-002 서비스 패턴 / 로그인 / 로그인 방식 확인·선택 / 변경 대비표 p2; 본문 p1007쪽과 적용조건을 확인한다. 2. S01, S05의 일반사용자·관리자 및 기본/오류/로딩/완료/모바일 상태 중 관련 범위를 열어 확인한다. 3. 인증방식 비교·선택·키보드 이동·작은 화면 점검. 4. 미검사 범위와 실제 환경·검사자·관찰·증빙을 기록한다.</x:v>
      </x:c>
      <x:c r="G179" s="5" t="str">
        <x:v>로그인 방식 목록은 화면 구성을 고려하여 배치 가능 구체화: 복수 인증 시 사용자 관점의 분류를 유지하면서 반응형 목록 배치</x:v>
      </x:c>
      <x:c r="H179" s="5" t="str">
        <x:v>원문 검토 + 실제 브라우저/필요 AT. NVDA·TalkBack·VoiceOver는 확보한 실제 조합만 기록</x:v>
      </x:c>
      <x:c r="I179" s="5" t="str">
        <x:v>미실행</x:v>
      </x:c>
      <x:c r="J179" s="5" t="str">
        <x:v>사람의 평가/원문등급 판정을 자동 생성하지 않음</x:v>
      </x:c>
      <x:c r="K179" s="5" t="str"/>
      <x:c r="L179" s="5" t="str"/>
      <x:c r="M179" s="5" t="str"/>
    </x:row>
    <x:row r="180" ht="39.599998474121094" hidden="0" customHeight="1">
      <x:c r="A180" s="5" t="str">
        <x:v>MAN-KWA-001</x:v>
      </x:c>
      <x:c r="B180" s="5" t="str">
        <x:v>수동</x:v>
      </x:c>
      <x:c r="C180" s="5" t="str"/>
      <x:c r="D180" s="5" t="str">
        <x:v>KWA-001 적절한 대체 텍스트 제공</x:v>
      </x:c>
      <x:c r="E180" s="5" t="str">
        <x:v>KWA-001</x:v>
      </x:c>
      <x:c r="F180" s="5" t="str">
        <x:v>1. 원문 SRC-004 5.1.1 / 쪽과 적용조건을 확인한다. 2. S01~S08 / 해당 기능의 모든 화면·상태의 일반사용자·관리자 및 기본/오류/로딩/완료/모바일 상태 중 관련 범위를 열어 확인한다. 3. 자동 검사 + 화면낭독기로 정보 등가성 수동 확인. 4. 미검사 범위와 실제 환경·검사자·관찰·증빙을 기록한다.</x:v>
      </x:c>
      <x:c r="G180" s="5" t="str">
        <x:v>비텍스트 의미 전달 구체화: 업무 첨부 이미지 설명 입력, 기능 아이콘 이름, 장식 alt=""</x:v>
      </x:c>
      <x:c r="H180" s="5" t="str">
        <x:v>원문 검토 + 실제 브라우저/필요 AT. NVDA·TalkBack·VoiceOver는 확보한 실제 조합만 기록</x:v>
      </x:c>
      <x:c r="I180" s="5" t="str">
        <x:v>미실행</x:v>
      </x:c>
      <x:c r="J180" s="5" t="str">
        <x:v>사람의 평가/원문등급 판정을 자동 생성하지 않음</x:v>
      </x:c>
      <x:c r="K180" s="5" t="str"/>
      <x:c r="L180" s="5" t="str"/>
      <x:c r="M180" s="5" t="str"/>
    </x:row>
    <x:row r="181" ht="39.599998474121094" hidden="0" customHeight="1">
      <x:c r="A181" s="5" t="str">
        <x:v>MAN-KWA-002</x:v>
      </x:c>
      <x:c r="B181" s="5" t="str">
        <x:v>수동</x:v>
      </x:c>
      <x:c r="C181" s="5" t="str"/>
      <x:c r="D181" s="5" t="str">
        <x:v>KWA-002 자막 제공</x:v>
      </x:c>
      <x:c r="E181" s="5" t="str">
        <x:v>KWA-002</x:v>
      </x:c>
      <x:c r="F181" s="5" t="str">
        <x:v>1. 원문 SRC-004 5.2.1 / 쪽과 적용조건을 확인한다. 2. S01~S08 / 해당 기능의 모든 화면·상태의 일반사용자·관리자 및 기본/오류/로딩/완료/모바일 상태 중 관련 범위를 열어 확인한다. 3. 미디어 존재 확인 후 자막 내용·동기 수동 검토. 4. 미검사 범위와 실제 환경·검사자·관찰·증빙을 기록한다.</x:v>
      </x:c>
      <x:c r="G181" s="5" t="str">
        <x:v>미디어 대체수단 구체화: 영상 추가 시 동기화 자막·대본·필요한 음성해설을 별도 설계</x:v>
      </x:c>
      <x:c r="H181" s="5" t="str">
        <x:v>원문 검토 + 실제 브라우저/필요 AT. NVDA·TalkBack·VoiceOver는 확보한 실제 조합만 기록</x:v>
      </x:c>
      <x:c r="I181" s="5" t="str">
        <x:v>미실행</x:v>
      </x:c>
      <x:c r="J181" s="5" t="str">
        <x:v>사람의 평가/원문등급 판정을 자동 생성하지 않음</x:v>
      </x:c>
      <x:c r="K181" s="5" t="str"/>
      <x:c r="L181" s="5" t="str"/>
      <x:c r="M181" s="5" t="str"/>
    </x:row>
    <x:row r="182" ht="39.599998474121094" hidden="0" customHeight="1">
      <x:c r="A182" s="5" t="str">
        <x:v>MAN-KWA-003</x:v>
      </x:c>
      <x:c r="B182" s="5" t="str">
        <x:v>수동</x:v>
      </x:c>
      <x:c r="C182" s="5" t="str"/>
      <x:c r="D182" s="5" t="str">
        <x:v>KWA-003 표의 구성</x:v>
      </x:c>
      <x:c r="E182" s="5" t="str">
        <x:v>KWA-003</x:v>
      </x:c>
      <x:c r="F182" s="5" t="str">
        <x:v>1. 원문 SRC-004 5.3.1 / 쪽과 적용조건을 확인한다. 2. S01~S08 / 해당 기능의 모든 화면·상태의 일반사용자·관리자 및 기본/오류/로딩/완료/모바일 상태 중 관련 범위를 열어 확인한다. 3. DOM 자동 검사 + NVDA 행·열 탐색. 4. 미검사 범위와 실제 환경·검사자·관찰·증빙을 기록한다.</x:v>
      </x:c>
      <x:c r="G182" s="5" t="str">
        <x:v>표 구조 전달 구체화: 요청 목록 table에 caption, th, scope 제공. 복합 표는 구조 단순화</x:v>
      </x:c>
      <x:c r="H182" s="5" t="str">
        <x:v>원문 검토 + 실제 브라우저/필요 AT. NVDA·TalkBack·VoiceOver는 확보한 실제 조합만 기록</x:v>
      </x:c>
      <x:c r="I182" s="5" t="str">
        <x:v>미실행</x:v>
      </x:c>
      <x:c r="J182" s="5" t="str">
        <x:v>사람의 평가/원문등급 판정을 자동 생성하지 않음</x:v>
      </x:c>
      <x:c r="K182" s="5" t="str"/>
      <x:c r="L182" s="5" t="str"/>
      <x:c r="M182" s="5" t="str"/>
    </x:row>
    <x:row r="183" ht="39.599998474121094" hidden="0" customHeight="1">
      <x:c r="A183" s="5" t="str">
        <x:v>MAN-KWA-004</x:v>
      </x:c>
      <x:c r="B183" s="5" t="str">
        <x:v>수동</x:v>
      </x:c>
      <x:c r="C183" s="5" t="str"/>
      <x:c r="D183" s="5" t="str">
        <x:v>KWA-004 콘텐츠의 선형구조</x:v>
      </x:c>
      <x:c r="E183" s="5" t="str">
        <x:v>KWA-004</x:v>
      </x:c>
      <x:c r="F183" s="5" t="str">
        <x:v>1. 원문 SRC-004 5.3.2 / 쪽과 적용조건을 확인한다. 2. S01~S08 / 해당 기능의 모든 화면·상태의 일반사용자·관리자 및 기본/오류/로딩/완료/모바일 상태 중 관련 범위를 열어 확인한다. 3. CSS 비활성/화면낭독기 순서 수동 확인. 4. 미검사 범위와 실제 환경·검사자·관찰·증빙을 기록한다.</x:v>
      </x:c>
      <x:c r="G183" s="5" t="str">
        <x:v>논리적인 읽기순서 구체화: DOM 순서와 화면 읽기순서 일치, CSS order로 핵심순서 역전 금지</x:v>
      </x:c>
      <x:c r="H183" s="5" t="str">
        <x:v>원문 검토 + 실제 브라우저/필요 AT. NVDA·TalkBack·VoiceOver는 확보한 실제 조합만 기록</x:v>
      </x:c>
      <x:c r="I183" s="5" t="str">
        <x:v>미실행</x:v>
      </x:c>
      <x:c r="J183" s="5" t="str">
        <x:v>사람의 평가/원문등급 판정을 자동 생성하지 않음</x:v>
      </x:c>
      <x:c r="K183" s="5" t="str"/>
      <x:c r="L183" s="5" t="str"/>
      <x:c r="M183" s="5" t="str"/>
    </x:row>
    <x:row r="184" ht="39.599998474121094" hidden="0" customHeight="1">
      <x:c r="A184" s="5" t="str">
        <x:v>MAN-KWA-005</x:v>
      </x:c>
      <x:c r="B184" s="5" t="str">
        <x:v>수동</x:v>
      </x:c>
      <x:c r="C184" s="5" t="str"/>
      <x:c r="D184" s="5" t="str">
        <x:v>KWA-005 명확한 지시사항 제공</x:v>
      </x:c>
      <x:c r="E184" s="5" t="str">
        <x:v>KWA-005</x:v>
      </x:c>
      <x:c r="F184" s="5" t="str">
        <x:v>1. 원문 SRC-004 5.3.3 / 쪽과 적용조건을 확인한다. 2. S01~S08 / 해당 기능의 모든 화면·상태의 일반사용자·관리자 및 기본/오류/로딩/완료/모바일 상태 중 관련 범위를 열어 확인한다. 3. 문구 수동 검토. 4. 미검사 범위와 실제 환경·검사자·관찰·증빙을 기록한다.</x:v>
      </x:c>
      <x:c r="G184" s="5" t="str">
        <x:v>감각에 독립적인 안내 구체화: “오른쪽 파란 버튼” 대신 “요청 등록 버튼”으로 지시</x:v>
      </x:c>
      <x:c r="H184" s="5" t="str">
        <x:v>원문 검토 + 실제 브라우저/필요 AT. NVDA·TalkBack·VoiceOver는 확보한 실제 조합만 기록</x:v>
      </x:c>
      <x:c r="I184" s="5" t="str">
        <x:v>미실행</x:v>
      </x:c>
      <x:c r="J184" s="5" t="str">
        <x:v>사람의 평가/원문등급 판정을 자동 생성하지 않음</x:v>
      </x:c>
      <x:c r="K184" s="5" t="str"/>
      <x:c r="L184" s="5" t="str"/>
      <x:c r="M184" s="5" t="str"/>
    </x:row>
    <x:row r="185" ht="39.599998474121094" hidden="0" customHeight="1">
      <x:c r="A185" s="5" t="str">
        <x:v>MAN-KWA-006</x:v>
      </x:c>
      <x:c r="B185" s="5" t="str">
        <x:v>수동</x:v>
      </x:c>
      <x:c r="C185" s="5" t="str"/>
      <x:c r="D185" s="5" t="str">
        <x:v>KWA-006 색에 무관한 콘텐츠 인식</x:v>
      </x:c>
      <x:c r="E185" s="5" t="str">
        <x:v>KWA-006</x:v>
      </x:c>
      <x:c r="F185" s="5" t="str">
        <x:v>1. 원문 SRC-004 5.4.1 / 쪽과 적용조건을 확인한다. 2. S01~S08 / 해당 기능의 모든 화면·상태의 일반사용자·관리자 및 기본/오류/로딩/완료/모바일 상태 중 관련 범위를 열어 확인한다. 3. 흑백/색각 점검 + 화면낭독 확인. 4. 미검사 범위와 실제 환경·검사자·관찰·증빙을 기록한다.</x:v>
      </x:c>
      <x:c r="G185" s="5" t="str">
        <x:v>색 외 식별수단 구체화: 처리상태에 텍스트와 아이콘 병기, 오류에는 설명과 필드 연계</x:v>
      </x:c>
      <x:c r="H185" s="5" t="str">
        <x:v>원문 검토 + 실제 브라우저/필요 AT. NVDA·TalkBack·VoiceOver는 확보한 실제 조합만 기록</x:v>
      </x:c>
      <x:c r="I185" s="5" t="str">
        <x:v>미실행</x:v>
      </x:c>
      <x:c r="J185" s="5" t="str">
        <x:v>사람의 평가/원문등급 판정을 자동 생성하지 않음</x:v>
      </x:c>
      <x:c r="K185" s="5" t="str"/>
      <x:c r="L185" s="5" t="str"/>
      <x:c r="M185" s="5" t="str"/>
    </x:row>
    <x:row r="186" ht="39.599998474121094" hidden="0" customHeight="1">
      <x:c r="A186" s="5" t="str">
        <x:v>MAN-KWA-007</x:v>
      </x:c>
      <x:c r="B186" s="5" t="str">
        <x:v>수동</x:v>
      </x:c>
      <x:c r="C186" s="5" t="str"/>
      <x:c r="D186" s="5" t="str">
        <x:v>KWA-007 자동 재생 금지</x:v>
      </x:c>
      <x:c r="E186" s="5" t="str">
        <x:v>KWA-007</x:v>
      </x:c>
      <x:c r="F186" s="5" t="str">
        <x:v>1. 원문 SRC-004 5.4.2 / 쪽과 적용조건을 확인한다. 2. S01~S08 / 해당 기능의 모든 화면·상태의 일반사용자·관리자 및 기본/오류/로딩/완료/모바일 상태 중 관련 범위를 열어 확인한다. 3. 페이지 진입·상태변경 시 소리 발생 수동 확인. 4. 미검사 범위와 실제 환경·검사자·관찰·증빙을 기록한다.</x:v>
      </x:c>
      <x:c r="G186" s="5" t="str">
        <x:v>자동소리 통제 구체화: 샘플 음성 자동재생 비활성. 향후 미디어 사용자 조작 후 재생</x:v>
      </x:c>
      <x:c r="H186" s="5" t="str">
        <x:v>원문 검토 + 실제 브라우저/필요 AT. NVDA·TalkBack·VoiceOver는 확보한 실제 조합만 기록</x:v>
      </x:c>
      <x:c r="I186" s="5" t="str">
        <x:v>미실행</x:v>
      </x:c>
      <x:c r="J186" s="5" t="str">
        <x:v>사람의 평가/원문등급 판정을 자동 생성하지 않음</x:v>
      </x:c>
      <x:c r="K186" s="5" t="str"/>
      <x:c r="L186" s="5" t="str"/>
      <x:c r="M186" s="5" t="str"/>
    </x:row>
    <x:row r="187" ht="39.599998474121094" hidden="0" customHeight="1">
      <x:c r="A187" s="5" t="str">
        <x:v>MAN-KWA-008</x:v>
      </x:c>
      <x:c r="B187" s="5" t="str">
        <x:v>수동</x:v>
      </x:c>
      <x:c r="C187" s="5" t="str"/>
      <x:c r="D187" s="5" t="str">
        <x:v>KWA-008 텍스트 콘텐츠의 명도 대비</x:v>
      </x:c>
      <x:c r="E187" s="5" t="str">
        <x:v>KWA-008</x:v>
      </x:c>
      <x:c r="F187" s="5" t="str">
        <x:v>1. 원문 SRC-004 5.4.3 / 쪽과 적용조건을 확인한다. 2. S01~S08 / 해당 기능의 모든 화면·상태의 일반사용자·관리자 및 기본/오류/로딩/완료/모바일 상태 중 관련 범위를 열어 확인한다. 3. 대비 자동 계산 + 이미지/그라데이션 수동 확인. 4. 미검사 범위와 실제 환경·검사자·관찰·증빙을 기록한다.</x:v>
      </x:c>
      <x:c r="G187" s="5" t="str">
        <x:v>문자 식별 대비 구체화: 기본 본문 4.5:1, 큰 글자 3:1, 일반·오류·초점 상태별 토큰 검사</x:v>
      </x:c>
      <x:c r="H187" s="5" t="str">
        <x:v>원문 검토 + 실제 브라우저/필요 AT. NVDA·TalkBack·VoiceOver는 확보한 실제 조합만 기록</x:v>
      </x:c>
      <x:c r="I187" s="5" t="str">
        <x:v>미실행</x:v>
      </x:c>
      <x:c r="J187" s="5" t="str">
        <x:v>사람의 평가/원문등급 판정을 자동 생성하지 않음</x:v>
      </x:c>
      <x:c r="K187" s="5" t="str"/>
      <x:c r="L187" s="5" t="str"/>
      <x:c r="M187" s="5" t="str"/>
    </x:row>
    <x:row r="188" ht="39.599998474121094" hidden="0" customHeight="1">
      <x:c r="A188" s="5" t="str">
        <x:v>MAN-KWA-009</x:v>
      </x:c>
      <x:c r="B188" s="5" t="str">
        <x:v>수동</x:v>
      </x:c>
      <x:c r="C188" s="5" t="str"/>
      <x:c r="D188" s="5" t="str">
        <x:v>KWA-009 콘텐츠 간의 구분</x:v>
      </x:c>
      <x:c r="E188" s="5" t="str">
        <x:v>KWA-009</x:v>
      </x:c>
      <x:c r="F188" s="5" t="str">
        <x:v>1. 원문 SRC-004 5.4.4 / 쪽과 적용조건을 확인한다. 2. S01~S08 / 해당 기능의 모든 화면·상태의 일반사용자·관리자 및 기본/오류/로딩/완료/모바일 상태 중 관련 범위를 열어 확인한다. 3. 축소/확대/고대비 화면 수동 검토. 4. 미검사 범위와 실제 환경·검사자·관찰·증빙을 기록한다.</x:v>
      </x:c>
      <x:c r="G188" s="5" t="str">
        <x:v>인접요소 구별 구체화: 목록행, 입력그룹, 도움말을 간격·테두리·제목으로 구분</x:v>
      </x:c>
      <x:c r="H188" s="5" t="str">
        <x:v>원문 검토 + 실제 브라우저/필요 AT. NVDA·TalkBack·VoiceOver는 확보한 실제 조합만 기록</x:v>
      </x:c>
      <x:c r="I188" s="5" t="str">
        <x:v>미실행</x:v>
      </x:c>
      <x:c r="J188" s="5" t="str">
        <x:v>사람의 평가/원문등급 판정을 자동 생성하지 않음</x:v>
      </x:c>
      <x:c r="K188" s="5" t="str"/>
      <x:c r="L188" s="5" t="str"/>
      <x:c r="M188" s="5" t="str"/>
    </x:row>
    <x:row r="189" ht="39.599998474121094" hidden="0" customHeight="1">
      <x:c r="A189" s="5" t="str">
        <x:v>MAN-KWA-010</x:v>
      </x:c>
      <x:c r="B189" s="5" t="str">
        <x:v>수동</x:v>
      </x:c>
      <x:c r="C189" s="5" t="str"/>
      <x:c r="D189" s="5" t="str">
        <x:v>KWA-010 키보드 사용 보장</x:v>
      </x:c>
      <x:c r="E189" s="5" t="str">
        <x:v>KWA-010</x:v>
      </x:c>
      <x:c r="F189" s="5" t="str">
        <x:v>1. 원문 SRC-004 6.1.1 / 쪽과 적용조건을 확인한다. 2. S01~S08 / 해당 기능의 모든 화면·상태의 일반사용자·관리자 및 기본/오류/로딩/완료/모바일 상태 중 관련 범위를 열어 확인한다. 3. Tab, Shift+Tab, Enter, Space, 방향키, Escape 전체 플로 수동 시험. 4. 미검사 범위와 실제 환경·검사자·관찰·증빙을 기록한다.</x:v>
      </x:c>
      <x:c r="G189" s="5" t="str">
        <x:v>키보드 기능 완결 구체화: 검색·등록·첨부·정렬·상태변경 전 과정을 키보드로 제공</x:v>
      </x:c>
      <x:c r="H189" s="5" t="str">
        <x:v>원문 검토 + 실제 브라우저/필요 AT. NVDA·TalkBack·VoiceOver는 확보한 실제 조합만 기록</x:v>
      </x:c>
      <x:c r="I189" s="5" t="str">
        <x:v>미실행</x:v>
      </x:c>
      <x:c r="J189" s="5" t="str">
        <x:v>사람의 평가/원문등급 판정을 자동 생성하지 않음</x:v>
      </x:c>
      <x:c r="K189" s="5" t="str"/>
      <x:c r="L189" s="5" t="str"/>
      <x:c r="M189" s="5" t="str"/>
    </x:row>
    <x:row r="190" ht="39.599998474121094" hidden="0" customHeight="1">
      <x:c r="A190" s="5" t="str">
        <x:v>MAN-KWA-011</x:v>
      </x:c>
      <x:c r="B190" s="5" t="str">
        <x:v>수동</x:v>
      </x:c>
      <x:c r="C190" s="5" t="str"/>
      <x:c r="D190" s="5" t="str">
        <x:v>KWA-011 초점 이동과 표시</x:v>
      </x:c>
      <x:c r="E190" s="5" t="str">
        <x:v>KWA-011</x:v>
      </x:c>
      <x:c r="F190" s="5" t="str">
        <x:v>1. 원문 SRC-004 6.1.2 / 쪽과 적용조건을 확인한다. 2. S01~S08 / 해당 기능의 모든 화면·상태의 일반사용자·관리자 및 기본/오류/로딩/완료/모바일 상태 중 관련 범위를 열어 확인한다. 3. 키보드 흐름 영상 + 모달 닫기 복귀 자동 시험. 4. 미검사 범위와 실제 환경·검사자·관찰·증빙을 기록한다.</x:v>
      </x:c>
      <x:c r="G190" s="5" t="str">
        <x:v>논리적·가시적 초점 구체화: 초점선 유지, 모달 초점 관리와 종료 후 복귀, SPA 화면 전환 시 제목으로 이동</x:v>
      </x:c>
      <x:c r="H190" s="5" t="str">
        <x:v>원문 검토 + 실제 브라우저/필요 AT. NVDA·TalkBack·VoiceOver는 확보한 실제 조합만 기록</x:v>
      </x:c>
      <x:c r="I190" s="5" t="str">
        <x:v>미실행</x:v>
      </x:c>
      <x:c r="J190" s="5" t="str">
        <x:v>사람의 평가/원문등급 판정을 자동 생성하지 않음</x:v>
      </x:c>
      <x:c r="K190" s="5" t="str"/>
      <x:c r="L190" s="5" t="str"/>
      <x:c r="M190" s="5" t="str"/>
    </x:row>
    <x:row r="191" ht="39.599998474121094" hidden="0" customHeight="1">
      <x:c r="A191" s="5" t="str">
        <x:v>MAN-KWA-012</x:v>
      </x:c>
      <x:c r="B191" s="5" t="str">
        <x:v>수동</x:v>
      </x:c>
      <x:c r="C191" s="5" t="str"/>
      <x:c r="D191" s="5" t="str">
        <x:v>KWA-012 조작 가능</x:v>
      </x:c>
      <x:c r="E191" s="5" t="str">
        <x:v>KWA-012</x:v>
      </x:c>
      <x:c r="F191" s="5" t="str">
        <x:v>1. 원문 SRC-004 6.1.3 / 쪽과 적용조건을 확인한다. 2. S01~S08 / 해당 기능의 모든 화면·상태의 일반사용자·관리자 및 기본/오류/로딩/완료/모바일 상태 중 관련 범위를 열어 확인한다. 3. 컴포넌트 크기 자동 측정 + 모바일 실제 조작. 4. 미검사 범위와 실제 환경·검사자·관찰·증빙을 기록한다.</x:v>
      </x:c>
      <x:c r="G191" s="5" t="str">
        <x:v>조작 가능한 제어 구체화: 회사 목표 주요 제어 44×44 CSS px 이상, 모바일 주요 제어 48×48 목표</x:v>
      </x:c>
      <x:c r="H191" s="5" t="str">
        <x:v>원문 검토 + 실제 브라우저/필요 AT. NVDA·TalkBack·VoiceOver는 확보한 실제 조합만 기록</x:v>
      </x:c>
      <x:c r="I191" s="5" t="str">
        <x:v>미실행</x:v>
      </x:c>
      <x:c r="J191" s="5" t="str">
        <x:v>사람의 평가/원문등급 판정을 자동 생성하지 않음</x:v>
      </x:c>
      <x:c r="K191" s="5" t="str"/>
      <x:c r="L191" s="5" t="str"/>
      <x:c r="M191" s="5" t="str"/>
    </x:row>
    <x:row r="192" ht="39.599998474121094" hidden="0" customHeight="1">
      <x:c r="A192" s="5" t="str">
        <x:v>MAN-KWA-013</x:v>
      </x:c>
      <x:c r="B192" s="5" t="str">
        <x:v>수동</x:v>
      </x:c>
      <x:c r="C192" s="5" t="str"/>
      <x:c r="D192" s="5" t="str">
        <x:v>KWA-013 문자 단축키</x:v>
      </x:c>
      <x:c r="E192" s="5" t="str">
        <x:v>KWA-013</x:v>
      </x:c>
      <x:c r="F192" s="5" t="str">
        <x:v>1. 원문 SRC-004 6.1.4 / 쪽과 적용조건을 확인한다. 2. S01~S08 / 해당 기능의 모든 화면·상태의 일반사용자·관리자 및 기본/오류/로딩/완료/모바일 상태 중 관련 범위를 열어 확인한다. 3. 문자입력·음성입력 중 오작동 수동 시험. 4. 미검사 범위와 실제 환경·검사자·관찰·증빙을 기록한다.</x:v>
      </x:c>
      <x:c r="G192" s="5" t="str">
        <x:v>단축키 오작동 방지 구체화: 한 글자 전역단축키 기본 미사용. 도입 시 해제·변경 또는 초점영역 한정</x:v>
      </x:c>
      <x:c r="H192" s="5" t="str">
        <x:v>원문 검토 + 실제 브라우저/필요 AT. NVDA·TalkBack·VoiceOver는 확보한 실제 조합만 기록</x:v>
      </x:c>
      <x:c r="I192" s="5" t="str">
        <x:v>미실행</x:v>
      </x:c>
      <x:c r="J192" s="5" t="str">
        <x:v>사람의 평가/원문등급 판정을 자동 생성하지 않음</x:v>
      </x:c>
      <x:c r="K192" s="5" t="str"/>
      <x:c r="L192" s="5" t="str"/>
      <x:c r="M192" s="5" t="str"/>
    </x:row>
    <x:row r="193" ht="39.599998474121094" hidden="0" customHeight="1">
      <x:c r="A193" s="5" t="str">
        <x:v>MAN-KWA-014</x:v>
      </x:c>
      <x:c r="B193" s="5" t="str">
        <x:v>수동</x:v>
      </x:c>
      <x:c r="C193" s="5" t="str"/>
      <x:c r="D193" s="5" t="str">
        <x:v>KWA-014 응답시간 조절</x:v>
      </x:c>
      <x:c r="E193" s="5" t="str">
        <x:v>KWA-014</x:v>
      </x:c>
      <x:c r="F193" s="5" t="str">
        <x:v>1. 원문 SRC-004 6.2.1 / 쪽과 적용조건을 확인한다. 2. S01~S08 / 해당 기능의 모든 화면·상태의 일반사용자·관리자 및 기본/오류/로딩/완료/모바일 상태 중 관련 범위를 열어 확인한다. 3. 짧은 테스트 타임아웃 설정 후 키보드·낭독 연장 시험. 4. 미검사 범위와 실제 환경·검사자·관찰·증빙을 기록한다.</x:v>
      </x:c>
      <x:c r="G193" s="5" t="str">
        <x:v>시간제한 조절 구체화: 세션 만료 전에 설명·연장 버튼 제공하고 입력 내용을 안전하게 복구</x:v>
      </x:c>
      <x:c r="H193" s="5" t="str">
        <x:v>원문 검토 + 실제 브라우저/필요 AT. NVDA·TalkBack·VoiceOver는 확보한 실제 조합만 기록</x:v>
      </x:c>
      <x:c r="I193" s="5" t="str">
        <x:v>미실행</x:v>
      </x:c>
      <x:c r="J193" s="5" t="str">
        <x:v>사람의 평가/원문등급 판정을 자동 생성하지 않음</x:v>
      </x:c>
      <x:c r="K193" s="5" t="str"/>
      <x:c r="L193" s="5" t="str"/>
      <x:c r="M193" s="5" t="str"/>
    </x:row>
    <x:row r="194" ht="39.599998474121094" hidden="0" customHeight="1">
      <x:c r="A194" s="5" t="str">
        <x:v>MAN-KWA-015</x:v>
      </x:c>
      <x:c r="B194" s="5" t="str">
        <x:v>수동</x:v>
      </x:c>
      <x:c r="C194" s="5" t="str"/>
      <x:c r="D194" s="5" t="str">
        <x:v>KWA-015 정지 기능 제공</x:v>
      </x:c>
      <x:c r="E194" s="5" t="str">
        <x:v>KWA-015</x:v>
      </x:c>
      <x:c r="F194" s="5" t="str">
        <x:v>1. 원문 SRC-004 6.2.2 / 쪽과 적용조건을 확인한다. 2. S01~S08 / 해당 기능의 모든 화면·상태의 일반사용자·관리자 및 기본/오류/로딩/완료/모바일 상태 중 관련 범위를 열어 확인한다. 3. 자동갱신/움직임 존재 및 정지수단 수동 확인. 4. 미검사 범위와 실제 환경·검사자·관찰·증빙을 기록한다.</x:v>
      </x:c>
      <x:c r="G194" s="5" t="str">
        <x:v>자동변경 제어 구체화: 자동 회전 배너 미사용, 갱신되는 처리현황은 사용자 제어 제공</x:v>
      </x:c>
      <x:c r="H194" s="5" t="str">
        <x:v>원문 검토 + 실제 브라우저/필요 AT. NVDA·TalkBack·VoiceOver는 확보한 실제 조합만 기록</x:v>
      </x:c>
      <x:c r="I194" s="5" t="str">
        <x:v>미실행</x:v>
      </x:c>
      <x:c r="J194" s="5" t="str">
        <x:v>사람의 평가/원문등급 판정을 자동 생성하지 않음</x:v>
      </x:c>
      <x:c r="K194" s="5" t="str"/>
      <x:c r="L194" s="5" t="str"/>
      <x:c r="M194" s="5" t="str"/>
    </x:row>
    <x:row r="195" ht="39.599998474121094" hidden="0" customHeight="1">
      <x:c r="A195" s="5" t="str">
        <x:v>MAN-KWA-016</x:v>
      </x:c>
      <x:c r="B195" s="5" t="str">
        <x:v>수동</x:v>
      </x:c>
      <x:c r="C195" s="5" t="str"/>
      <x:c r="D195" s="5" t="str">
        <x:v>KWA-016 깜빡임과 번쩍임 사용 제한</x:v>
      </x:c>
      <x:c r="E195" s="5" t="str">
        <x:v>KWA-016</x:v>
      </x:c>
      <x:c r="F195" s="5" t="str">
        <x:v>1. 원문 SRC-004 6.3.1 / 쪽과 적용조건을 확인한다. 2. S01~S08 / 해당 기능의 모든 화면·상태의 일반사용자·관리자 및 기본/오류/로딩/완료/모바일 상태 중 관련 범위를 열어 확인한다. 3. 애니메이션/동영상 전수 검토. 4. 미검사 범위와 실제 환경·검사자·관찰·증빙을 기록한다.</x:v>
      </x:c>
      <x:c r="G195" s="5" t="str">
        <x:v>위험한 섬광 방지 구체화: 경고나 성공효과에 점멸 사용하지 않고 정적인 아이콘·문구 사용</x:v>
      </x:c>
      <x:c r="H195" s="5" t="str">
        <x:v>원문 검토 + 실제 브라우저/필요 AT. NVDA·TalkBack·VoiceOver는 확보한 실제 조합만 기록</x:v>
      </x:c>
      <x:c r="I195" s="5" t="str">
        <x:v>미실행</x:v>
      </x:c>
      <x:c r="J195" s="5" t="str">
        <x:v>사람의 평가/원문등급 판정을 자동 생성하지 않음</x:v>
      </x:c>
      <x:c r="K195" s="5" t="str"/>
      <x:c r="L195" s="5" t="str"/>
      <x:c r="M195" s="5" t="str"/>
    </x:row>
    <x:row r="196" ht="39.599998474121094" hidden="0" customHeight="1">
      <x:c r="A196" s="5" t="str">
        <x:v>MAN-KWA-017</x:v>
      </x:c>
      <x:c r="B196" s="5" t="str">
        <x:v>수동</x:v>
      </x:c>
      <x:c r="C196" s="5" t="str"/>
      <x:c r="D196" s="5" t="str">
        <x:v>KWA-017 반복 영역 건너뛰기</x:v>
      </x:c>
      <x:c r="E196" s="5" t="str">
        <x:v>KWA-017</x:v>
      </x:c>
      <x:c r="F196" s="5" t="str">
        <x:v>1. 원문 SRC-004 6.4.1 / 쪽과 적용조건을 확인한다. 2. S01~S08 / 해당 기능의 모든 화면·상태의 일반사용자·관리자 및 기본/오류/로딩/완료/모바일 상태 중 관련 범위를 열어 확인한다. 3. 첫 Tab 표시·Enter 이동 자동/수동 확인. 4. 미검사 범위와 실제 환경·검사자·관찰·증빙을 기록한다.</x:v>
      </x:c>
      <x:c r="G196" s="5" t="str">
        <x:v>본문 빠른 접근 구체화: 문서 첫 링크로 본문 바로가기 제공하고 실제 main으로 초점 이동</x:v>
      </x:c>
      <x:c r="H196" s="5" t="str">
        <x:v>원문 검토 + 실제 브라우저/필요 AT. NVDA·TalkBack·VoiceOver는 확보한 실제 조합만 기록</x:v>
      </x:c>
      <x:c r="I196" s="5" t="str">
        <x:v>미실행</x:v>
      </x:c>
      <x:c r="J196" s="5" t="str">
        <x:v>사람의 평가/원문등급 판정을 자동 생성하지 않음</x:v>
      </x:c>
      <x:c r="K196" s="5" t="str"/>
      <x:c r="L196" s="5" t="str"/>
      <x:c r="M196" s="5" t="str"/>
    </x:row>
    <x:row r="197" ht="39.599998474121094" hidden="0" customHeight="1">
      <x:c r="A197" s="5" t="str">
        <x:v>MAN-KWA-018</x:v>
      </x:c>
      <x:c r="B197" s="5" t="str">
        <x:v>수동</x:v>
      </x:c>
      <x:c r="C197" s="5" t="str"/>
      <x:c r="D197" s="5" t="str">
        <x:v>KWA-018 제목 제공</x:v>
      </x:c>
      <x:c r="E197" s="5" t="str">
        <x:v>KWA-018</x:v>
      </x:c>
      <x:c r="F197" s="5" t="str">
        <x:v>1. 원문 SRC-004 6.4.2 / 쪽과 적용조건을 확인한다. 2. S01~S08 / 해당 기능의 모든 화면·상태의 일반사용자·관리자 및 기본/오류/로딩/완료/모바일 상태 중 관련 범위를 열어 확인한다. 3. 자동 제목 점검 + 화면낭독 heading 탐색. 4. 미검사 범위와 실제 환경·검사자·관찰·증빙을 기록한다.</x:v>
      </x:c>
      <x:c r="G197" s="5" t="str">
        <x:v>영역 제목 식별 구체화: 페이지별 document.title·h1과 의미 있는 제목 계층 제공</x:v>
      </x:c>
      <x:c r="H197" s="5" t="str">
        <x:v>원문 검토 + 실제 브라우저/필요 AT. NVDA·TalkBack·VoiceOver는 확보한 실제 조합만 기록</x:v>
      </x:c>
      <x:c r="I197" s="5" t="str">
        <x:v>미실행</x:v>
      </x:c>
      <x:c r="J197" s="5" t="str">
        <x:v>사람의 평가/원문등급 판정을 자동 생성하지 않음</x:v>
      </x:c>
      <x:c r="K197" s="5" t="str"/>
      <x:c r="L197" s="5" t="str"/>
      <x:c r="M197" s="5" t="str"/>
    </x:row>
    <x:row r="198" ht="39.599998474121094" hidden="0" customHeight="1">
      <x:c r="A198" s="5" t="str">
        <x:v>MAN-KWA-019</x:v>
      </x:c>
      <x:c r="B198" s="5" t="str">
        <x:v>수동</x:v>
      </x:c>
      <x:c r="C198" s="5" t="str"/>
      <x:c r="D198" s="5" t="str">
        <x:v>KWA-019 적절한 링크 텍스트</x:v>
      </x:c>
      <x:c r="E198" s="5" t="str">
        <x:v>KWA-019</x:v>
      </x:c>
      <x:c r="F198" s="5" t="str">
        <x:v>1. 원문 SRC-004 6.4.3 / 쪽과 적용조건을 확인한다. 2. S01~S08 / 해당 기능의 모든 화면·상태의 일반사용자·관리자 및 기본/오류/로딩/완료/모바일 상태 중 관련 범위를 열어 확인한다. 3. 링크 목록 탐색 수동 확인. 4. 미검사 범위와 실제 환경·검사자·관찰·증빙을 기록한다.</x:v>
      </x:c>
      <x:c r="G198" s="5" t="str">
        <x:v>목적이 드러나는 링크 구체화: “자세히” 단독 반복 대신 요청명 또는 상세 목적 포함</x:v>
      </x:c>
      <x:c r="H198" s="5" t="str">
        <x:v>원문 검토 + 실제 브라우저/필요 AT. NVDA·TalkBack·VoiceOver는 확보한 실제 조합만 기록</x:v>
      </x:c>
      <x:c r="I198" s="5" t="str">
        <x:v>미실행</x:v>
      </x:c>
      <x:c r="J198" s="5" t="str">
        <x:v>사람의 평가/원문등급 판정을 자동 생성하지 않음</x:v>
      </x:c>
      <x:c r="K198" s="5" t="str"/>
      <x:c r="L198" s="5" t="str"/>
      <x:c r="M198" s="5" t="str"/>
    </x:row>
    <x:row r="199" ht="39.599998474121094" hidden="0" customHeight="1">
      <x:c r="A199" s="5" t="str">
        <x:v>MAN-KWA-020</x:v>
      </x:c>
      <x:c r="B199" s="5" t="str">
        <x:v>수동</x:v>
      </x:c>
      <x:c r="C199" s="5" t="str"/>
      <x:c r="D199" s="5" t="str">
        <x:v>KWA-020 고정된 참조 위치 정보</x:v>
      </x:c>
      <x:c r="E199" s="5" t="str">
        <x:v>KWA-020</x:v>
      </x:c>
      <x:c r="F199" s="5" t="str">
        <x:v>1. 원문 SRC-004 6.4.4 / 쪽과 적용조건을 확인한다. 2. S01~S08 / 해당 기능의 모든 화면·상태의 일반사용자·관리자 및 기본/오류/로딩/완료/모바일 상태 중 관련 범위를 열어 확인한다. 3. 뷰어 서식/확대 변경 후 참조 위치 수동 비교. 4. 미검사 범위와 실제 환경·검사자·관찰·증빙을 기록한다.</x:v>
      </x:c>
      <x:c r="G199" s="5" t="str">
        <x:v>출판문서 위치 유지 구체화: 전자출판 뷰어 도입 시 원문 페이지 표식·이동·참조정보 보존</x:v>
      </x:c>
      <x:c r="H199" s="5" t="str">
        <x:v>원문 검토 + 실제 브라우저/필요 AT. NVDA·TalkBack·VoiceOver는 확보한 실제 조합만 기록</x:v>
      </x:c>
      <x:c r="I199" s="5" t="str">
        <x:v>미실행</x:v>
      </x:c>
      <x:c r="J199" s="5" t="str">
        <x:v>사람의 평가/원문등급 판정을 자동 생성하지 않음</x:v>
      </x:c>
      <x:c r="K199" s="5" t="str"/>
      <x:c r="L199" s="5" t="str"/>
      <x:c r="M199" s="5" t="str"/>
    </x:row>
    <x:row r="200" ht="39.599998474121094" hidden="0" customHeight="1">
      <x:c r="A200" s="5" t="str">
        <x:v>MAN-KWA-021</x:v>
      </x:c>
      <x:c r="B200" s="5" t="str">
        <x:v>수동</x:v>
      </x:c>
      <x:c r="C200" s="5" t="str"/>
      <x:c r="D200" s="5" t="str">
        <x:v>KWA-021 단일 포인터 입력 지원</x:v>
      </x:c>
      <x:c r="E200" s="5" t="str">
        <x:v>KWA-021</x:v>
      </x:c>
      <x:c r="F200" s="5" t="str">
        <x:v>1. 원문 SRC-004 6.5.1 / 쪽과 적용조건을 확인한다. 2. S01~S08 / 해당 기능의 모든 화면·상태의 일반사용자·관리자 및 기본/오류/로딩/완료/모바일 상태 중 관련 범위를 열어 확인한다. 3. 마우스 단일클릭·한손 터치로 시험. 4. 미검사 범위와 실제 환경·검사자·관찰·증빙을 기록한다.</x:v>
      </x:c>
      <x:c r="G200" s="5" t="str">
        <x:v>단일 포인터 대안 구체화: 드래그 첨부 외 파일선택 버튼, 복잡제스처 없이 조작</x:v>
      </x:c>
      <x:c r="H200" s="5" t="str">
        <x:v>원문 검토 + 실제 브라우저/필요 AT. NVDA·TalkBack·VoiceOver는 확보한 실제 조합만 기록</x:v>
      </x:c>
      <x:c r="I200" s="5" t="str">
        <x:v>미실행</x:v>
      </x:c>
      <x:c r="J200" s="5" t="str">
        <x:v>사람의 평가/원문등급 판정을 자동 생성하지 않음</x:v>
      </x:c>
      <x:c r="K200" s="5" t="str"/>
      <x:c r="L200" s="5" t="str"/>
      <x:c r="M200" s="5" t="str"/>
    </x:row>
    <x:row r="201" ht="39.599998474121094" hidden="0" customHeight="1">
      <x:c r="A201" s="5" t="str">
        <x:v>MAN-KWA-022</x:v>
      </x:c>
      <x:c r="B201" s="5" t="str">
        <x:v>수동</x:v>
      </x:c>
      <x:c r="C201" s="5" t="str"/>
      <x:c r="D201" s="5" t="str">
        <x:v>KWA-022 포인터 입력 취소</x:v>
      </x:c>
      <x:c r="E201" s="5" t="str">
        <x:v>KWA-022</x:v>
      </x:c>
      <x:c r="F201" s="5" t="str">
        <x:v>1. 원문 SRC-004 6.5.2 / 쪽과 적용조건을 확인한다. 2. S01~S08 / 해당 기능의 모든 화면·상태의 일반사용자·관리자 및 기본/오류/로딩/완료/모바일 상태 중 관련 범위를 열어 확인한다. 3. 누른 채 밖으로 이동·취소 동작 수동 시험. 4. 미검사 범위와 실제 환경·검사자·관찰·증빙을 기록한다.</x:v>
      </x:c>
      <x:c r="G201" s="5" t="str">
        <x:v>누름 취소 허용 구체화: 파괴적 행동은 pointerdown에서 실행하지 않고 확인·취소 제공</x:v>
      </x:c>
      <x:c r="H201" s="5" t="str">
        <x:v>원문 검토 + 실제 브라우저/필요 AT. NVDA·TalkBack·VoiceOver는 확보한 실제 조합만 기록</x:v>
      </x:c>
      <x:c r="I201" s="5" t="str">
        <x:v>미실행</x:v>
      </x:c>
      <x:c r="J201" s="5" t="str">
        <x:v>사람의 평가/원문등급 판정을 자동 생성하지 않음</x:v>
      </x:c>
      <x:c r="K201" s="5" t="str"/>
      <x:c r="L201" s="5" t="str"/>
      <x:c r="M201" s="5" t="str"/>
    </x:row>
    <x:row r="202" ht="39.599998474121094" hidden="0" customHeight="1">
      <x:c r="A202" s="5" t="str">
        <x:v>MAN-KWA-023</x:v>
      </x:c>
      <x:c r="B202" s="5" t="str">
        <x:v>수동</x:v>
      </x:c>
      <x:c r="C202" s="5" t="str"/>
      <x:c r="D202" s="5" t="str">
        <x:v>KWA-023 레이블과 네임</x:v>
      </x:c>
      <x:c r="E202" s="5" t="str">
        <x:v>KWA-023</x:v>
      </x:c>
      <x:c r="F202" s="5" t="str">
        <x:v>1. 원문 SRC-004 6.5.3 / 쪽과 적용조건을 확인한다. 2. S01~S08 / 해당 기능의 모든 화면·상태의 일반사용자·관리자 및 기본/오류/로딩/완료/모바일 상태 중 관련 범위를 열어 확인한다. 3. accessible name 자동 검사 + 음성명령 확인. 4. 미검사 범위와 실제 환경·검사자·관찰·증빙을 기록한다.</x:v>
      </x:c>
      <x:c r="G202" s="5" t="str">
        <x:v>보이는 이름 일치 구체화: 버튼의 accessible name에 표시문구 포함, aria-label로 다른 이름 덮지 않음</x:v>
      </x:c>
      <x:c r="H202" s="5" t="str">
        <x:v>원문 검토 + 실제 브라우저/필요 AT. NVDA·TalkBack·VoiceOver는 확보한 실제 조합만 기록</x:v>
      </x:c>
      <x:c r="I202" s="5" t="str">
        <x:v>미실행</x:v>
      </x:c>
      <x:c r="J202" s="5" t="str">
        <x:v>사람의 평가/원문등급 판정을 자동 생성하지 않음</x:v>
      </x:c>
      <x:c r="K202" s="5" t="str"/>
      <x:c r="L202" s="5" t="str"/>
      <x:c r="M202" s="5" t="str"/>
    </x:row>
    <x:row r="203" ht="39.599998474121094" hidden="0" customHeight="1">
      <x:c r="A203" s="5" t="str">
        <x:v>MAN-KWA-024</x:v>
      </x:c>
      <x:c r="B203" s="5" t="str">
        <x:v>수동</x:v>
      </x:c>
      <x:c r="C203" s="5" t="str"/>
      <x:c r="D203" s="5" t="str">
        <x:v>KWA-024 동작기반 작동</x:v>
      </x:c>
      <x:c r="E203" s="5" t="str">
        <x:v>KWA-024</x:v>
      </x:c>
      <x:c r="F203" s="5" t="str">
        <x:v>1. 원문 SRC-004 6.5.4 / 쪽과 적용조건을 확인한다. 2. S01~S08 / 해당 기능의 모든 화면·상태의 일반사용자·관리자 및 기본/오류/로딩/완료/모바일 상태 중 관련 범위를 열어 확인한다. 3. 동작센서 기능 존재 확인 및 대체수단 수동 시험. 4. 미검사 범위와 실제 환경·검사자·관찰·증빙을 기록한다.</x:v>
      </x:c>
      <x:c r="G203" s="5" t="str">
        <x:v>움직임 대체 조작 구체화: 흔들기/기울이기 기능 미사용. 도입 시 버튼 대체와 비활성화 제공</x:v>
      </x:c>
      <x:c r="H203" s="5" t="str">
        <x:v>원문 검토 + 실제 브라우저/필요 AT. NVDA·TalkBack·VoiceOver는 확보한 실제 조합만 기록</x:v>
      </x:c>
      <x:c r="I203" s="5" t="str">
        <x:v>미실행</x:v>
      </x:c>
      <x:c r="J203" s="5" t="str">
        <x:v>사람의 평가/원문등급 판정을 자동 생성하지 않음</x:v>
      </x:c>
      <x:c r="K203" s="5" t="str"/>
      <x:c r="L203" s="5" t="str"/>
      <x:c r="M203" s="5" t="str"/>
    </x:row>
    <x:row r="204" ht="39.599998474121094" hidden="0" customHeight="1">
      <x:c r="A204" s="5" t="str">
        <x:v>MAN-KWA-025</x:v>
      </x:c>
      <x:c r="B204" s="5" t="str">
        <x:v>수동</x:v>
      </x:c>
      <x:c r="C204" s="5" t="str"/>
      <x:c r="D204" s="5" t="str">
        <x:v>KWA-025 기본 언어 표시</x:v>
      </x:c>
      <x:c r="E204" s="5" t="str">
        <x:v>KWA-025</x:v>
      </x:c>
      <x:c r="F204" s="5" t="str">
        <x:v>1. 원문 SRC-004 7.1.1 / 쪽과 적용조건을 확인한다. 2. S01~S08 / 해당 기능의 모든 화면·상태의 일반사용자·관리자 및 기본/오류/로딩/완료/모바일 상태 중 관련 범위를 열어 확인한다. 3. 문서 lang 속성 자동 검사 + 실제 주언어와 선언값의 일치 수동 확인. 4. 미검사 범위와 실제 환경·검사자·관찰·증빙을 기록한다.</x:v>
      </x:c>
      <x:c r="G204" s="5" t="str">
        <x:v>주언어 명시 구체화: html lang="ko" 지정</x:v>
      </x:c>
      <x:c r="H204" s="5" t="str">
        <x:v>원문 검토 + 실제 브라우저/필요 AT. NVDA·TalkBack·VoiceOver는 확보한 실제 조합만 기록</x:v>
      </x:c>
      <x:c r="I204" s="5" t="str">
        <x:v>미실행</x:v>
      </x:c>
      <x:c r="J204" s="5" t="str">
        <x:v>사람의 평가/원문등급 판정을 자동 생성하지 않음</x:v>
      </x:c>
      <x:c r="K204" s="5" t="str"/>
      <x:c r="L204" s="5" t="str"/>
      <x:c r="M204" s="5" t="str"/>
    </x:row>
    <x:row r="205" ht="39.599998474121094" hidden="0" customHeight="1">
      <x:c r="A205" s="5" t="str">
        <x:v>MAN-KWA-026</x:v>
      </x:c>
      <x:c r="B205" s="5" t="str">
        <x:v>수동</x:v>
      </x:c>
      <x:c r="C205" s="5" t="str"/>
      <x:c r="D205" s="5" t="str">
        <x:v>KWA-026 사용자 요구에 따른 실행</x:v>
      </x:c>
      <x:c r="E205" s="5" t="str">
        <x:v>KWA-026</x:v>
      </x:c>
      <x:c r="F205" s="5" t="str">
        <x:v>1. 원문 SRC-004 7.2.1 / 쪽과 적용조건을 확인한다. 2. S01~S08 / 해당 기능의 모든 화면·상태의 일반사용자·관리자 및 기본/오류/로딩/완료/모바일 상태 중 관련 범위를 열어 확인한다. 3. 초점·입력·선택 변화 수동 시험. 4. 미검사 범위와 실제 환경·검사자·관찰·증빙을 기록한다.</x:v>
      </x:c>
      <x:c r="G205" s="5" t="str">
        <x:v>예측 가능한 실행 구체화: 선택만으로 폼 제출하지 않음, 명시 실행 버튼·새 창 사전 안내</x:v>
      </x:c>
      <x:c r="H205" s="5" t="str">
        <x:v>원문 검토 + 실제 브라우저/필요 AT. NVDA·TalkBack·VoiceOver는 확보한 실제 조합만 기록</x:v>
      </x:c>
      <x:c r="I205" s="5" t="str">
        <x:v>미실행</x:v>
      </x:c>
      <x:c r="J205" s="5" t="str">
        <x:v>사람의 평가/원문등급 판정을 자동 생성하지 않음</x:v>
      </x:c>
      <x:c r="K205" s="5" t="str"/>
      <x:c r="L205" s="5" t="str"/>
      <x:c r="M205" s="5" t="str"/>
    </x:row>
    <x:row r="206" ht="39.599998474121094" hidden="0" customHeight="1">
      <x:c r="A206" s="5" t="str">
        <x:v>MAN-KWA-027</x:v>
      </x:c>
      <x:c r="B206" s="5" t="str">
        <x:v>수동</x:v>
      </x:c>
      <x:c r="C206" s="5" t="str"/>
      <x:c r="D206" s="5" t="str">
        <x:v>KWA-027 찾기 쉬운 도움 정보</x:v>
      </x:c>
      <x:c r="E206" s="5" t="str">
        <x:v>KWA-027</x:v>
      </x:c>
      <x:c r="F206" s="5" t="str">
        <x:v>1. 원문 SRC-004 7.2.2 / 쪽과 적용조건을 확인한다. 2. S01~S08 / 해당 기능의 모든 화면·상태의 일반사용자·관리자 및 기본/오류/로딩/완료/모바일 상태 중 관련 범위를 열어 확인한다. 3. 페이지 비교와 키보드 탐색. 4. 미검사 범위와 실제 환경·검사자·관찰·증빙을 기록한다.</x:v>
      </x:c>
      <x:c r="G206" s="5" t="str">
        <x:v>도움말 위치 일관 구체화: 모든 업무화면에 같은 순서의 도움말·문의 링크 제공</x:v>
      </x:c>
      <x:c r="H206" s="5" t="str">
        <x:v>원문 검토 + 실제 브라우저/필요 AT. NVDA·TalkBack·VoiceOver는 확보한 실제 조합만 기록</x:v>
      </x:c>
      <x:c r="I206" s="5" t="str">
        <x:v>미실행</x:v>
      </x:c>
      <x:c r="J206" s="5" t="str">
        <x:v>사람의 평가/원문등급 판정을 자동 생성하지 않음</x:v>
      </x:c>
      <x:c r="K206" s="5" t="str"/>
      <x:c r="L206" s="5" t="str"/>
      <x:c r="M206" s="5" t="str"/>
    </x:row>
    <x:row r="207" ht="39.599998474121094" hidden="0" customHeight="1">
      <x:c r="A207" s="5" t="str">
        <x:v>MAN-KWA-028</x:v>
      </x:c>
      <x:c r="B207" s="5" t="str">
        <x:v>수동</x:v>
      </x:c>
      <x:c r="C207" s="5" t="str"/>
      <x:c r="D207" s="5" t="str">
        <x:v>KWA-028 오류 정정</x:v>
      </x:c>
      <x:c r="E207" s="5" t="str">
        <x:v>KWA-028</x:v>
      </x:c>
      <x:c r="F207" s="5" t="str">
        <x:v>1. 원문 SRC-004 7.3.1 / 쪽과 적용조건을 확인한다. 2. S01~S08 / 해당 기능의 모든 화면·상태의 일반사용자·관리자 및 기본/오류/로딩/완료/모바일 상태 중 관련 범위를 열어 확인한다. 3. 필수누락·형식오류·서버검증 실패 수동/자동 시험. 4. 미검사 범위와 실제 환경·검사자·관찰·증빙을 기록한다.</x:v>
      </x:c>
      <x:c r="G207" s="5" t="str">
        <x:v>오류 수정 지원 구체화: 오류 요약·필드 설명·입력값 보존·첫 오류 이동 제공</x:v>
      </x:c>
      <x:c r="H207" s="5" t="str">
        <x:v>원문 검토 + 실제 브라우저/필요 AT. NVDA·TalkBack·VoiceOver는 확보한 실제 조합만 기록</x:v>
      </x:c>
      <x:c r="I207" s="5" t="str">
        <x:v>미실행</x:v>
      </x:c>
      <x:c r="J207" s="5" t="str">
        <x:v>사람의 평가/원문등급 판정을 자동 생성하지 않음</x:v>
      </x:c>
      <x:c r="K207" s="5" t="str"/>
      <x:c r="L207" s="5" t="str"/>
      <x:c r="M207" s="5" t="str"/>
    </x:row>
    <x:row r="208" ht="39.599998474121094" hidden="0" customHeight="1">
      <x:c r="A208" s="5" t="str">
        <x:v>MAN-KWA-029</x:v>
      </x:c>
      <x:c r="B208" s="5" t="str">
        <x:v>수동</x:v>
      </x:c>
      <x:c r="C208" s="5" t="str"/>
      <x:c r="D208" s="5" t="str">
        <x:v>KWA-029 레이블 제공</x:v>
      </x:c>
      <x:c r="E208" s="5" t="str">
        <x:v>KWA-029</x:v>
      </x:c>
      <x:c r="F208" s="5" t="str">
        <x:v>1. 원문 SRC-004 7.3.2 / 쪽과 적용조건을 확인한다. 2. S01~S08 / 해당 기능의 모든 화면·상태의 일반사용자·관리자 및 기본/오류/로딩/완료/모바일 상태 중 관련 범위를 열어 확인한다. 3. 자동 레이블 검사 + 낭독 순서 수동 확인. 4. 미검사 범위와 실제 환경·검사자·관찰·증빙을 기록한다.</x:v>
      </x:c>
      <x:c r="G208" s="5" t="str">
        <x:v>입력 의미 연결 구체화: label/htmlFor, fieldset/legend, required 안내·도움말 연결</x:v>
      </x:c>
      <x:c r="H208" s="5" t="str">
        <x:v>원문 검토 + 실제 브라우저/필요 AT. NVDA·TalkBack·VoiceOver는 확보한 실제 조합만 기록</x:v>
      </x:c>
      <x:c r="I208" s="5" t="str">
        <x:v>미실행</x:v>
      </x:c>
      <x:c r="J208" s="5" t="str">
        <x:v>사람의 평가/원문등급 판정을 자동 생성하지 않음</x:v>
      </x:c>
      <x:c r="K208" s="5" t="str"/>
      <x:c r="L208" s="5" t="str"/>
      <x:c r="M208" s="5" t="str"/>
    </x:row>
    <x:row r="209" ht="39.599998474121094" hidden="0" customHeight="1">
      <x:c r="A209" s="5" t="str">
        <x:v>MAN-KWA-030</x:v>
      </x:c>
      <x:c r="B209" s="5" t="str">
        <x:v>수동</x:v>
      </x:c>
      <x:c r="C209" s="5" t="str"/>
      <x:c r="D209" s="5" t="str">
        <x:v>KWA-030 접근 가능한 인증</x:v>
      </x:c>
      <x:c r="E209" s="5" t="str">
        <x:v>KWA-030</x:v>
      </x:c>
      <x:c r="F209" s="5" t="str">
        <x:v>1. 원문 SRC-004 7.3.3 / 쪽과 적용조건을 확인한다. 2. S01~S08 / 해당 기능의 모든 화면·상태의 일반사용자·관리자 및 기본/오류/로딩/완료/모바일 상태 중 관련 범위를 열어 확인한다. 3. 로그인 전체 경로를 암호관리자·키보드·낭독으로 시험. 4. 미검사 범위와 실제 환경·검사자·관찰·증빙을 기록한다.</x:v>
      </x:c>
      <x:c r="G209" s="5" t="str">
        <x:v>인지부담 완화 인증 구체화: 자동완성·붙여넣기·암호관리자 허용, 퍼즐형 인증을 강제하지 않음</x:v>
      </x:c>
      <x:c r="H209" s="5" t="str">
        <x:v>원문 검토 + 실제 브라우저/필요 AT. NVDA·TalkBack·VoiceOver는 확보한 실제 조합만 기록</x:v>
      </x:c>
      <x:c r="I209" s="5" t="str">
        <x:v>미실행</x:v>
      </x:c>
      <x:c r="J209" s="5" t="str">
        <x:v>사람의 평가/원문등급 판정을 자동 생성하지 않음</x:v>
      </x:c>
      <x:c r="K209" s="5" t="str"/>
      <x:c r="L209" s="5" t="str"/>
      <x:c r="M209" s="5" t="str"/>
    </x:row>
    <x:row r="210" ht="39.599998474121094" hidden="0" customHeight="1">
      <x:c r="A210" s="5" t="str">
        <x:v>MAN-KWA-031</x:v>
      </x:c>
      <x:c r="B210" s="5" t="str">
        <x:v>수동</x:v>
      </x:c>
      <x:c r="C210" s="5" t="str"/>
      <x:c r="D210" s="5" t="str">
        <x:v>KWA-031 반복 입력 정보</x:v>
      </x:c>
      <x:c r="E210" s="5" t="str">
        <x:v>KWA-031</x:v>
      </x:c>
      <x:c r="F210" s="5" t="str">
        <x:v>1. 원문 SRC-004 7.3.4 / 쪽과 적용조건을 확인한다. 2. S01~S08 / 해당 기능의 모든 화면·상태의 일반사용자·관리자 및 기본/오류/로딩/완료/모바일 상태 중 관련 범위를 열어 확인한다. 3. 단계 왕복·검토화면 수정 시 재입력 여부 시험. 4. 미검사 범위와 실제 환경·검사자·관찰·증빙을 기록한다.</x:v>
      </x:c>
      <x:c r="G210" s="5" t="str">
        <x:v>중복기입 완화 구체화: 등록 단계 사이 입력값 보존, 기존 개인정보 선택·불러오기 제공</x:v>
      </x:c>
      <x:c r="H210" s="5" t="str">
        <x:v>원문 검토 + 실제 브라우저/필요 AT. NVDA·TalkBack·VoiceOver는 확보한 실제 조합만 기록</x:v>
      </x:c>
      <x:c r="I210" s="5" t="str">
        <x:v>미실행</x:v>
      </x:c>
      <x:c r="J210" s="5" t="str">
        <x:v>사람의 평가/원문등급 판정을 자동 생성하지 않음</x:v>
      </x:c>
      <x:c r="K210" s="5" t="str"/>
      <x:c r="L210" s="5" t="str"/>
      <x:c r="M210" s="5" t="str"/>
    </x:row>
    <x:row r="211" ht="39.599998474121094" hidden="0" customHeight="1">
      <x:c r="A211" s="5" t="str">
        <x:v>MAN-KWA-032</x:v>
      </x:c>
      <x:c r="B211" s="5" t="str">
        <x:v>수동</x:v>
      </x:c>
      <x:c r="C211" s="5" t="str"/>
      <x:c r="D211" s="5" t="str">
        <x:v>KWA-032 마크업 오류 방지</x:v>
      </x:c>
      <x:c r="E211" s="5" t="str">
        <x:v>KWA-032</x:v>
      </x:c>
      <x:c r="F211" s="5" t="str">
        <x:v>1. 원문 SRC-004 8.1.1 / 쪽과 적용조건을 확인한다. 2. S01~S08 / 해당 기능의 모든 화면·상태의 일반사용자·관리자 및 기본/오류/로딩/완료/모바일 상태 중 관련 범위를 열어 확인한다. 3. HTML validator + DOM id/reference 검사. 4. 미검사 범위와 실제 환경·검사자·관찰·증빙을 기록한다.</x:v>
      </x:c>
      <x:c r="G211" s="5" t="str">
        <x:v>구조 오류 방지 구체화: 중복 id, 잘못된 중첩, label 참조 오류를 CI로 점검</x:v>
      </x:c>
      <x:c r="H211" s="5" t="str">
        <x:v>원문 검토 + 실제 브라우저/필요 AT. NVDA·TalkBack·VoiceOver는 확보한 실제 조합만 기록</x:v>
      </x:c>
      <x:c r="I211" s="5" t="str">
        <x:v>미실행</x:v>
      </x:c>
      <x:c r="J211" s="5" t="str">
        <x:v>사람의 평가/원문등급 판정을 자동 생성하지 않음</x:v>
      </x:c>
      <x:c r="K211" s="5" t="str"/>
      <x:c r="L211" s="5" t="str"/>
      <x:c r="M211" s="5" t="str"/>
    </x:row>
    <x:row r="212" ht="39.599998474121094" hidden="0" customHeight="1">
      <x:c r="A212" s="5" t="str">
        <x:v>MAN-KWA-033</x:v>
      </x:c>
      <x:c r="B212" s="5" t="str">
        <x:v>수동</x:v>
      </x:c>
      <x:c r="C212" s="5" t="str"/>
      <x:c r="D212" s="5" t="str">
        <x:v>KWA-033 웹 애플리케이션 접근성 준수</x:v>
      </x:c>
      <x:c r="E212" s="5" t="str">
        <x:v>KWA-033</x:v>
      </x:c>
      <x:c r="F212" s="5" t="str">
        <x:v>1. 원문 SRC-004 8.2.1 / 쪽과 적용조건을 확인한다. 2. S01~S08 / 해당 기능의 모든 화면·상태의 일반사용자·관리자 및 기본/오류/로딩/완료/모바일 상태 중 관련 범위를 열어 확인한다. 3. axe 자동 + 실제 화면낭독기/브라우저 수동 조합시험. 4. 미검사 범위와 실제 환경·검사자·관찰·증빙을 기록한다.</x:v>
      </x:c>
      <x:c r="G212" s="5" t="str">
        <x:v>보조기술 호환 구체화: 네이티브 HTML 우선, 커스텀 위젯은 역할·상태·키보드·초점 함께 구현</x:v>
      </x:c>
      <x:c r="H212" s="5" t="str">
        <x:v>원문 검토 + 실제 브라우저/필요 AT. NVDA·TalkBack·VoiceOver는 확보한 실제 조합만 기록</x:v>
      </x:c>
      <x:c r="I212" s="5" t="str">
        <x:v>미실행</x:v>
      </x:c>
      <x:c r="J212" s="5" t="str">
        <x:v>사람의 평가/원문등급 판정을 자동 생성하지 않음</x:v>
      </x:c>
      <x:c r="K212" s="5" t="str"/>
      <x:c r="L212" s="5" t="str"/>
      <x:c r="M212" s="5" t="str"/>
    </x:row>
    <x:row r="213" ht="39.599998474121094" hidden="0" customHeight="1">
      <x:c r="A213" s="5" t="str">
        <x:v>MAN-WCA-001</x:v>
      </x:c>
      <x:c r="B213" s="5" t="str">
        <x:v>수동</x:v>
      </x:c>
      <x:c r="C213" s="5" t="str"/>
      <x:c r="D213" s="5" t="str">
        <x:v>WCA-001 비텍스트 정보</x:v>
      </x:c>
      <x:c r="E213" s="5" t="str">
        <x:v>WCA-001</x:v>
      </x:c>
      <x:c r="F213" s="5" t="str">
        <x:v>1. 원문 SRC-005 1.1.1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13" s="5" t="str">
        <x:v>이미지 대안·아이콘 이름·장식 제외 구체화: 첨부 썸네일 설명, 장식 빈 alt, 요약 차트의 데이터 표</x:v>
      </x:c>
      <x:c r="H213" s="5" t="str">
        <x:v>원문 검토 + 실제 브라우저/필요 AT. NVDA·TalkBack·VoiceOver는 확보한 실제 조합만 기록</x:v>
      </x:c>
      <x:c r="I213" s="5" t="str">
        <x:v>미실행</x:v>
      </x:c>
      <x:c r="J213" s="5" t="str">
        <x:v>사람의 평가/원문등급 판정을 자동 생성하지 않음</x:v>
      </x:c>
      <x:c r="K213" s="5" t="str"/>
      <x:c r="L213" s="5" t="str"/>
      <x:c r="M213" s="5" t="str"/>
    </x:row>
    <x:row r="214" ht="39.599998474121094" hidden="0" customHeight="1">
      <x:c r="A214" s="5" t="str">
        <x:v>MAN-WCA-002</x:v>
      </x:c>
      <x:c r="B214" s="5" t="str">
        <x:v>수동</x:v>
      </x:c>
      <x:c r="C214" s="5" t="str"/>
      <x:c r="D214" s="5" t="str">
        <x:v>WCA-002 녹음·무음영상 대안</x:v>
      </x:c>
      <x:c r="E214" s="5" t="str">
        <x:v>WCA-002</x:v>
      </x:c>
      <x:c r="F214" s="5" t="str">
        <x:v>1. 원문 SRC-005 1.2.1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14" s="5" t="str">
        <x:v>단일매체 정보 대안 구체화: 음성·무음영상 추가 시 등가 대본/설명</x:v>
      </x:c>
      <x:c r="H214" s="5" t="str">
        <x:v>원문 검토 + 실제 브라우저/필요 AT. NVDA·TalkBack·VoiceOver는 확보한 실제 조합만 기록</x:v>
      </x:c>
      <x:c r="I214" s="5" t="str">
        <x:v>미실행</x:v>
      </x:c>
      <x:c r="J214" s="5" t="str">
        <x:v>사람의 평가/원문등급 판정을 자동 생성하지 않음</x:v>
      </x:c>
      <x:c r="K214" s="5" t="str"/>
      <x:c r="L214" s="5" t="str"/>
      <x:c r="M214" s="5" t="str"/>
    </x:row>
    <x:row r="215" ht="39.599998474121094" hidden="0" customHeight="1">
      <x:c r="A215" s="5" t="str">
        <x:v>MAN-WCA-003</x:v>
      </x:c>
      <x:c r="B215" s="5" t="str">
        <x:v>수동</x:v>
      </x:c>
      <x:c r="C215" s="5" t="str"/>
      <x:c r="D215" s="5" t="str">
        <x:v>WCA-003 녹화영상 자막</x:v>
      </x:c>
      <x:c r="E215" s="5" t="str">
        <x:v>WCA-003</x:v>
      </x:c>
      <x:c r="F215" s="5" t="str">
        <x:v>1. 원문 SRC-005 1.2.2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15" s="5" t="str">
        <x:v>사전녹화 자막 구체화: 영상 추가 시 말·중요 소리의 동기화 자막</x:v>
      </x:c>
      <x:c r="H215" s="5" t="str">
        <x:v>원문 검토 + 실제 브라우저/필요 AT. NVDA·TalkBack·VoiceOver는 확보한 실제 조합만 기록</x:v>
      </x:c>
      <x:c r="I215" s="5" t="str">
        <x:v>미실행</x:v>
      </x:c>
      <x:c r="J215" s="5" t="str">
        <x:v>사람의 평가/원문등급 판정을 자동 생성하지 않음</x:v>
      </x:c>
      <x:c r="K215" s="5" t="str"/>
      <x:c r="L215" s="5" t="str"/>
      <x:c r="M215" s="5" t="str"/>
    </x:row>
    <x:row r="216" ht="39.599998474121094" hidden="0" customHeight="1">
      <x:c r="A216" s="5" t="str">
        <x:v>MAN-WCA-004</x:v>
      </x:c>
      <x:c r="B216" s="5" t="str">
        <x:v>수동</x:v>
      </x:c>
      <x:c r="C216" s="5" t="str"/>
      <x:c r="D216" s="5" t="str">
        <x:v>WCA-004 녹화 시각정보 대안</x:v>
      </x:c>
      <x:c r="E216" s="5" t="str">
        <x:v>WCA-004</x:v>
      </x:c>
      <x:c r="F216" s="5" t="str">
        <x:v>1. 원문 SRC-005 1.2.3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16" s="5" t="str">
        <x:v>시각정보 설명 또는 매체대안 구체화: 영상 추가 시 화면행동 설명·등가 대안</x:v>
      </x:c>
      <x:c r="H216" s="5" t="str">
        <x:v>원문 검토 + 실제 브라우저/필요 AT. NVDA·TalkBack·VoiceOver는 확보한 실제 조합만 기록</x:v>
      </x:c>
      <x:c r="I216" s="5" t="str">
        <x:v>미실행</x:v>
      </x:c>
      <x:c r="J216" s="5" t="str">
        <x:v>사람의 평가/원문등급 판정을 자동 생성하지 않음</x:v>
      </x:c>
      <x:c r="K216" s="5" t="str"/>
      <x:c r="L216" s="5" t="str"/>
      <x:c r="M216" s="5" t="str"/>
    </x:row>
    <x:row r="217" ht="39.599998474121094" hidden="0" customHeight="1">
      <x:c r="A217" s="5" t="str">
        <x:v>MAN-WCA-005</x:v>
      </x:c>
      <x:c r="B217" s="5" t="str">
        <x:v>수동</x:v>
      </x:c>
      <x:c r="C217" s="5" t="str"/>
      <x:c r="D217" s="5" t="str">
        <x:v>WCA-005 실시간 자막</x:v>
      </x:c>
      <x:c r="E217" s="5" t="str">
        <x:v>WCA-005</x:v>
      </x:c>
      <x:c r="F217" s="5" t="str">
        <x:v>1. 원문 SRC-005 1.2.4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17" s="5" t="str">
        <x:v>라이브 동기자막 구체화: 실시간 중계 추가 시 전문 자막 프로세스</x:v>
      </x:c>
      <x:c r="H217" s="5" t="str">
        <x:v>원문 검토 + 실제 브라우저/필요 AT. NVDA·TalkBack·VoiceOver는 확보한 실제 조합만 기록</x:v>
      </x:c>
      <x:c r="I217" s="5" t="str">
        <x:v>미실행</x:v>
      </x:c>
      <x:c r="J217" s="5" t="str">
        <x:v>사람의 평가/원문등급 판정을 자동 생성하지 않음</x:v>
      </x:c>
      <x:c r="K217" s="5" t="str"/>
      <x:c r="L217" s="5" t="str"/>
      <x:c r="M217" s="5" t="str"/>
    </x:row>
    <x:row r="218" ht="39.599998474121094" hidden="0" customHeight="1">
      <x:c r="A218" s="5" t="str">
        <x:v>MAN-WCA-006</x:v>
      </x:c>
      <x:c r="B218" s="5" t="str">
        <x:v>수동</x:v>
      </x:c>
      <x:c r="C218" s="5" t="str"/>
      <x:c r="D218" s="5" t="str">
        <x:v>WCA-006 녹화영상 음성해설</x:v>
      </x:c>
      <x:c r="E218" s="5" t="str">
        <x:v>WCA-006</x:v>
      </x:c>
      <x:c r="F218" s="5" t="str">
        <x:v>1. 원문 SRC-005 1.2.5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18" s="5" t="str">
        <x:v>시각정보 음성해설 구체화: 영상 추가 시 기본 오디오로 전달되지 않는 정보 해설</x:v>
      </x:c>
      <x:c r="H218" s="5" t="str">
        <x:v>원문 검토 + 실제 브라우저/필요 AT. NVDA·TalkBack·VoiceOver는 확보한 실제 조합만 기록</x:v>
      </x:c>
      <x:c r="I218" s="5" t="str">
        <x:v>미실행</x:v>
      </x:c>
      <x:c r="J218" s="5" t="str">
        <x:v>사람의 평가/원문등급 판정을 자동 생성하지 않음</x:v>
      </x:c>
      <x:c r="K218" s="5" t="str"/>
      <x:c r="L218" s="5" t="str"/>
      <x:c r="M218" s="5" t="str"/>
    </x:row>
    <x:row r="219" ht="39.599998474121094" hidden="0" customHeight="1">
      <x:c r="A219" s="5" t="str">
        <x:v>MAN-WCA-007</x:v>
      </x:c>
      <x:c r="B219" s="5" t="str">
        <x:v>수동</x:v>
      </x:c>
      <x:c r="C219" s="5" t="str"/>
      <x:c r="D219" s="5" t="str">
        <x:v>WCA-007 의미와 관계</x:v>
      </x:c>
      <x:c r="E219" s="5" t="str">
        <x:v>WCA-007</x:v>
      </x:c>
      <x:c r="F219" s="5" t="str">
        <x:v>1. 원문 SRC-005 1.3.1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19" s="5" t="str">
        <x:v>구조 관계 프로그램화 구체화: table/th/scope, fieldset/legend, 제목구조</x:v>
      </x:c>
      <x:c r="H219" s="5" t="str">
        <x:v>원문 검토 + 실제 브라우저/필요 AT. NVDA·TalkBack·VoiceOver는 확보한 실제 조합만 기록</x:v>
      </x:c>
      <x:c r="I219" s="5" t="str">
        <x:v>미실행</x:v>
      </x:c>
      <x:c r="J219" s="5" t="str">
        <x:v>사람의 평가/원문등급 판정을 자동 생성하지 않음</x:v>
      </x:c>
      <x:c r="K219" s="5" t="str"/>
      <x:c r="L219" s="5" t="str"/>
      <x:c r="M219" s="5" t="str"/>
    </x:row>
    <x:row r="220" ht="39.599998474121094" hidden="0" customHeight="1">
      <x:c r="A220" s="5" t="str">
        <x:v>MAN-WCA-008</x:v>
      </x:c>
      <x:c r="B220" s="5" t="str">
        <x:v>수동</x:v>
      </x:c>
      <x:c r="C220" s="5" t="str"/>
      <x:c r="D220" s="5" t="str">
        <x:v>WCA-008 읽기 순서</x:v>
      </x:c>
      <x:c r="E220" s="5" t="str">
        <x:v>WCA-008</x:v>
      </x:c>
      <x:c r="F220" s="5" t="str">
        <x:v>1. 원문 SRC-005 1.3.2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0" s="5" t="str">
        <x:v>의미 유지 순서 구체화: DOM과 시각순서 일치</x:v>
      </x:c>
      <x:c r="H220" s="5" t="str">
        <x:v>원문 검토 + 실제 브라우저/필요 AT. NVDA·TalkBack·VoiceOver는 확보한 실제 조합만 기록</x:v>
      </x:c>
      <x:c r="I220" s="5" t="str">
        <x:v>미실행</x:v>
      </x:c>
      <x:c r="J220" s="5" t="str">
        <x:v>사람의 평가/원문등급 판정을 자동 생성하지 않음</x:v>
      </x:c>
      <x:c r="K220" s="5" t="str"/>
      <x:c r="L220" s="5" t="str"/>
      <x:c r="M220" s="5" t="str"/>
    </x:row>
    <x:row r="221" ht="39.599998474121094" hidden="0" customHeight="1">
      <x:c r="A221" s="5" t="str">
        <x:v>MAN-WCA-009</x:v>
      </x:c>
      <x:c r="B221" s="5" t="str">
        <x:v>수동</x:v>
      </x:c>
      <x:c r="C221" s="5" t="str"/>
      <x:c r="D221" s="5" t="str">
        <x:v>WCA-009 감각에 독립적인 지시</x:v>
      </x:c>
      <x:c r="E221" s="5" t="str">
        <x:v>WCA-009</x:v>
      </x:c>
      <x:c r="F221" s="5" t="str">
        <x:v>1. 원문 SRC-005 1.3.3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1" s="5" t="str">
        <x:v>감각 단서 보완 구체화: 위치·색 대신 컨트롤 이름 병기</x:v>
      </x:c>
      <x:c r="H221" s="5" t="str">
        <x:v>원문 검토 + 실제 브라우저/필요 AT. NVDA·TalkBack·VoiceOver는 확보한 실제 조합만 기록</x:v>
      </x:c>
      <x:c r="I221" s="5" t="str">
        <x:v>미실행</x:v>
      </x:c>
      <x:c r="J221" s="5" t="str">
        <x:v>사람의 평가/원문등급 판정을 자동 생성하지 않음</x:v>
      </x:c>
      <x:c r="K221" s="5" t="str"/>
      <x:c r="L221" s="5" t="str"/>
      <x:c r="M221" s="5" t="str"/>
    </x:row>
    <x:row r="222" ht="39.599998474121094" hidden="0" customHeight="1">
      <x:c r="A222" s="5" t="str">
        <x:v>MAN-WCA-010</x:v>
      </x:c>
      <x:c r="B222" s="5" t="str">
        <x:v>수동</x:v>
      </x:c>
      <x:c r="C222" s="5" t="str"/>
      <x:c r="D222" s="5" t="str">
        <x:v>WCA-010 화면 방향</x:v>
      </x:c>
      <x:c r="E222" s="5" t="str">
        <x:v>WCA-010</x:v>
      </x:c>
      <x:c r="F222" s="5" t="str">
        <x:v>1. 원문 SRC-005 1.3.4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2" s="5" t="str">
        <x:v>회전 제약 방지 구체화: 가로·세로 모두 등록·첨부 가능</x:v>
      </x:c>
      <x:c r="H222" s="5" t="str">
        <x:v>원문 검토 + 실제 브라우저/필요 AT. NVDA·TalkBack·VoiceOver는 확보한 실제 조합만 기록</x:v>
      </x:c>
      <x:c r="I222" s="5" t="str">
        <x:v>미실행</x:v>
      </x:c>
      <x:c r="J222" s="5" t="str">
        <x:v>사람의 평가/원문등급 판정을 자동 생성하지 않음</x:v>
      </x:c>
      <x:c r="K222" s="5" t="str"/>
      <x:c r="L222" s="5" t="str"/>
      <x:c r="M222" s="5" t="str"/>
    </x:row>
    <x:row r="223" ht="39.599998474121094" hidden="0" customHeight="1">
      <x:c r="A223" s="5" t="str">
        <x:v>MAN-WCA-011</x:v>
      </x:c>
      <x:c r="B223" s="5" t="str">
        <x:v>수동</x:v>
      </x:c>
      <x:c r="C223" s="5" t="str"/>
      <x:c r="D223" s="5" t="str">
        <x:v>WCA-011 입력 목적</x:v>
      </x:c>
      <x:c r="E223" s="5" t="str">
        <x:v>WCA-011</x:v>
      </x:c>
      <x:c r="F223" s="5" t="str">
        <x:v>1. 원문 SRC-005 1.3.5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23" s="5" t="str">
        <x:v>개인정보 입력목적 식별 구체화: 이름·이메일 등 해당 필드 autocomplete 토큰</x:v>
      </x:c>
      <x:c r="H223" s="5" t="str">
        <x:v>원문 검토 + 실제 브라우저/필요 AT. NVDA·TalkBack·VoiceOver는 확보한 실제 조합만 기록</x:v>
      </x:c>
      <x:c r="I223" s="5" t="str">
        <x:v>미실행</x:v>
      </x:c>
      <x:c r="J223" s="5" t="str">
        <x:v>사람의 평가/원문등급 판정을 자동 생성하지 않음</x:v>
      </x:c>
      <x:c r="K223" s="5" t="str"/>
      <x:c r="L223" s="5" t="str"/>
      <x:c r="M223" s="5" t="str"/>
    </x:row>
    <x:row r="224" ht="39.599998474121094" hidden="0" customHeight="1">
      <x:c r="A224" s="5" t="str">
        <x:v>MAN-WCA-012</x:v>
      </x:c>
      <x:c r="B224" s="5" t="str">
        <x:v>수동</x:v>
      </x:c>
      <x:c r="C224" s="5" t="str"/>
      <x:c r="D224" s="5" t="str">
        <x:v>WCA-012 색상 대안</x:v>
      </x:c>
      <x:c r="E224" s="5" t="str">
        <x:v>WCA-012</x:v>
      </x:c>
      <x:c r="F224" s="5" t="str">
        <x:v>1. 원문 SRC-005 1.4.1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4" s="5" t="str">
        <x:v>색 단독정보 방지 구체화: 상태·오류·필수여부에 텍스트 추가</x:v>
      </x:c>
      <x:c r="H224" s="5" t="str">
        <x:v>원문 검토 + 실제 브라우저/필요 AT. NVDA·TalkBack·VoiceOver는 확보한 실제 조합만 기록</x:v>
      </x:c>
      <x:c r="I224" s="5" t="str">
        <x:v>미실행</x:v>
      </x:c>
      <x:c r="J224" s="5" t="str">
        <x:v>사람의 평가/원문등급 판정을 자동 생성하지 않음</x:v>
      </x:c>
      <x:c r="K224" s="5" t="str"/>
      <x:c r="L224" s="5" t="str"/>
      <x:c r="M224" s="5" t="str"/>
    </x:row>
    <x:row r="225" ht="39.599998474121094" hidden="0" customHeight="1">
      <x:c r="A225" s="5" t="str">
        <x:v>MAN-WCA-013</x:v>
      </x:c>
      <x:c r="B225" s="5" t="str">
        <x:v>수동</x:v>
      </x:c>
      <x:c r="C225" s="5" t="str"/>
      <x:c r="D225" s="5" t="str">
        <x:v>WCA-013 자동음성 제어</x:v>
      </x:c>
      <x:c r="E225" s="5" t="str">
        <x:v>WCA-013</x:v>
      </x:c>
      <x:c r="F225" s="5" t="str">
        <x:v>1. 원문 SRC-005 1.4.2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5" s="5" t="str">
        <x:v>자동음성 통제 구체화: 샘플 자동음성 사용 안 함</x:v>
      </x:c>
      <x:c r="H225" s="5" t="str">
        <x:v>원문 검토 + 실제 브라우저/필요 AT. NVDA·TalkBack·VoiceOver는 확보한 실제 조합만 기록</x:v>
      </x:c>
      <x:c r="I225" s="5" t="str">
        <x:v>미실행</x:v>
      </x:c>
      <x:c r="J225" s="5" t="str">
        <x:v>사람의 평가/원문등급 판정을 자동 생성하지 않음</x:v>
      </x:c>
      <x:c r="K225" s="5" t="str"/>
      <x:c r="L225" s="5" t="str"/>
      <x:c r="M225" s="5" t="str"/>
    </x:row>
    <x:row r="226" ht="39.599998474121094" hidden="0" customHeight="1">
      <x:c r="A226" s="5" t="str">
        <x:v>MAN-WCA-014</x:v>
      </x:c>
      <x:c r="B226" s="5" t="str">
        <x:v>수동</x:v>
      </x:c>
      <x:c r="C226" s="5" t="str"/>
      <x:c r="D226" s="5" t="str">
        <x:v>WCA-014 문자 대비</x:v>
      </x:c>
      <x:c r="E226" s="5" t="str">
        <x:v>WCA-014</x:v>
      </x:c>
      <x:c r="F226" s="5" t="str">
        <x:v>1. 원문 SRC-005 1.4.3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26" s="5" t="str">
        <x:v>최소 문자대비 구체화: 일반4.5:1, 큰 글자3:1, 예외개별검토</x:v>
      </x:c>
      <x:c r="H226" s="5" t="str">
        <x:v>원문 검토 + 실제 브라우저/필요 AT. NVDA·TalkBack·VoiceOver는 확보한 실제 조합만 기록</x:v>
      </x:c>
      <x:c r="I226" s="5" t="str">
        <x:v>미실행</x:v>
      </x:c>
      <x:c r="J226" s="5" t="str">
        <x:v>사람의 평가/원문등급 판정을 자동 생성하지 않음</x:v>
      </x:c>
      <x:c r="K226" s="5" t="str"/>
      <x:c r="L226" s="5" t="str"/>
      <x:c r="M226" s="5" t="str"/>
    </x:row>
    <x:row r="227" ht="39.599998474121094" hidden="0" customHeight="1">
      <x:c r="A227" s="5" t="str">
        <x:v>MAN-WCA-015</x:v>
      </x:c>
      <x:c r="B227" s="5" t="str">
        <x:v>수동</x:v>
      </x:c>
      <x:c r="C227" s="5" t="str"/>
      <x:c r="D227" s="5" t="str">
        <x:v>WCA-015 글자 확대</x:v>
      </x:c>
      <x:c r="E227" s="5" t="str">
        <x:v>WCA-015</x:v>
      </x:c>
      <x:c r="F227" s="5" t="str">
        <x:v>1. 원문 SRC-005 1.4.4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7" s="5" t="str">
        <x:v>200% 글자 확대 구체화: 텍스트만 확대 시 입력·도움말 잘림 금지</x:v>
      </x:c>
      <x:c r="H227" s="5" t="str">
        <x:v>원문 검토 + 실제 브라우저/필요 AT. NVDA·TalkBack·VoiceOver는 확보한 실제 조합만 기록</x:v>
      </x:c>
      <x:c r="I227" s="5" t="str">
        <x:v>미실행</x:v>
      </x:c>
      <x:c r="J227" s="5" t="str">
        <x:v>사람의 평가/원문등급 판정을 자동 생성하지 않음</x:v>
      </x:c>
      <x:c r="K227" s="5" t="str"/>
      <x:c r="L227" s="5" t="str"/>
      <x:c r="M227" s="5" t="str"/>
    </x:row>
    <x:row r="228" ht="39.599998474121094" hidden="0" customHeight="1">
      <x:c r="A228" s="5" t="str">
        <x:v>MAN-WCA-016</x:v>
      </x:c>
      <x:c r="B228" s="5" t="str">
        <x:v>수동</x:v>
      </x:c>
      <x:c r="C228" s="5" t="str"/>
      <x:c r="D228" s="5" t="str">
        <x:v>WCA-016 이미지 속 글자</x:v>
      </x:c>
      <x:c r="E228" s="5" t="str">
        <x:v>WCA-016</x:v>
      </x:c>
      <x:c r="F228" s="5" t="str">
        <x:v>1. 원문 SRC-005 1.4.5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8" s="5" t="str">
        <x:v>실제 텍스트 사용 구체화: 버튼·안내·통계를 이미지 텍스트로 제작하지 않음</x:v>
      </x:c>
      <x:c r="H228" s="5" t="str">
        <x:v>원문 검토 + 실제 브라우저/필요 AT. NVDA·TalkBack·VoiceOver는 확보한 실제 조합만 기록</x:v>
      </x:c>
      <x:c r="I228" s="5" t="str">
        <x:v>미실행</x:v>
      </x:c>
      <x:c r="J228" s="5" t="str">
        <x:v>사람의 평가/원문등급 판정을 자동 생성하지 않음</x:v>
      </x:c>
      <x:c r="K228" s="5" t="str"/>
      <x:c r="L228" s="5" t="str"/>
      <x:c r="M228" s="5" t="str"/>
    </x:row>
    <x:row r="229" ht="39.599998474121094" hidden="0" customHeight="1">
      <x:c r="A229" s="5" t="str">
        <x:v>MAN-WCA-017</x:v>
      </x:c>
      <x:c r="B229" s="5" t="str">
        <x:v>수동</x:v>
      </x:c>
      <x:c r="C229" s="5" t="str"/>
      <x:c r="D229" s="5" t="str">
        <x:v>WCA-017 재배치</x:v>
      </x:c>
      <x:c r="E229" s="5" t="str">
        <x:v>WCA-017</x:v>
      </x:c>
      <x:c r="F229" s="5" t="str">
        <x:v>1. 원문 SRC-005 1.4.10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29" s="5" t="str">
        <x:v>좁은화면 재배치 구체화: 320 CSS px 폭 또는 1280폭400% 확대에서 업무 완결</x:v>
      </x:c>
      <x:c r="H229" s="5" t="str">
        <x:v>원문 검토 + 실제 브라우저/필요 AT. NVDA·TalkBack·VoiceOver는 확보한 실제 조합만 기록</x:v>
      </x:c>
      <x:c r="I229" s="5" t="str">
        <x:v>미실행</x:v>
      </x:c>
      <x:c r="J229" s="5" t="str">
        <x:v>사람의 평가/원문등급 판정을 자동 생성하지 않음</x:v>
      </x:c>
      <x:c r="K229" s="5" t="str"/>
      <x:c r="L229" s="5" t="str"/>
      <x:c r="M229" s="5" t="str"/>
    </x:row>
    <x:row r="230" ht="39.599998474121094" hidden="0" customHeight="1">
      <x:c r="A230" s="5" t="str">
        <x:v>MAN-WCA-018</x:v>
      </x:c>
      <x:c r="B230" s="5" t="str">
        <x:v>수동</x:v>
      </x:c>
      <x:c r="C230" s="5" t="str"/>
      <x:c r="D230" s="5" t="str">
        <x:v>WCA-018 제어·도형 대비</x:v>
      </x:c>
      <x:c r="E230" s="5" t="str">
        <x:v>WCA-018</x:v>
      </x:c>
      <x:c r="F230" s="5" t="str">
        <x:v>1. 원문 SRC-005 1.4.11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0" s="5" t="str">
        <x:v>필수 시각정보 대비 구체화: 입력경계·선택상태·필수 그래픽3:1 확보</x:v>
      </x:c>
      <x:c r="H230" s="5" t="str">
        <x:v>원문 검토 + 실제 브라우저/필요 AT. NVDA·TalkBack·VoiceOver는 확보한 실제 조합만 기록</x:v>
      </x:c>
      <x:c r="I230" s="5" t="str">
        <x:v>미실행</x:v>
      </x:c>
      <x:c r="J230" s="5" t="str">
        <x:v>사람의 평가/원문등급 판정을 자동 생성하지 않음</x:v>
      </x:c>
      <x:c r="K230" s="5" t="str"/>
      <x:c r="L230" s="5" t="str"/>
      <x:c r="M230" s="5" t="str"/>
    </x:row>
    <x:row r="231" ht="39.599998474121094" hidden="0" customHeight="1">
      <x:c r="A231" s="5" t="str">
        <x:v>MAN-WCA-019</x:v>
      </x:c>
      <x:c r="B231" s="5" t="str">
        <x:v>수동</x:v>
      </x:c>
      <x:c r="C231" s="5" t="str"/>
      <x:c r="D231" s="5" t="str">
        <x:v>WCA-019 문자 간격</x:v>
      </x:c>
      <x:c r="E231" s="5" t="str">
        <x:v>WCA-019</x:v>
      </x:c>
      <x:c r="F231" s="5" t="str">
        <x:v>1. 원문 SRC-005 1.4.12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31" s="5" t="str">
        <x:v>사용자 간격설정 보존 구체화: 행1.5·문단2·문자0.12·단어0.16배 적용 후 잘림 점검</x:v>
      </x:c>
      <x:c r="H231" s="5" t="str">
        <x:v>원문 검토 + 실제 브라우저/필요 AT. NVDA·TalkBack·VoiceOver는 확보한 실제 조합만 기록</x:v>
      </x:c>
      <x:c r="I231" s="5" t="str">
        <x:v>미실행</x:v>
      </x:c>
      <x:c r="J231" s="5" t="str">
        <x:v>사람의 평가/원문등급 판정을 자동 생성하지 않음</x:v>
      </x:c>
      <x:c r="K231" s="5" t="str"/>
      <x:c r="L231" s="5" t="str"/>
      <x:c r="M231" s="5" t="str"/>
    </x:row>
    <x:row r="232" ht="39.599998474121094" hidden="0" customHeight="1">
      <x:c r="A232" s="5" t="str">
        <x:v>MAN-WCA-020</x:v>
      </x:c>
      <x:c r="B232" s="5" t="str">
        <x:v>수동</x:v>
      </x:c>
      <x:c r="C232" s="5" t="str"/>
      <x:c r="D232" s="5" t="str">
        <x:v>WCA-020 추가 콘텐츠 유지</x:v>
      </x:c>
      <x:c r="E232" s="5" t="str">
        <x:v>WCA-020</x:v>
      </x:c>
      <x:c r="F232" s="5" t="str">
        <x:v>1. 원문 SRC-005 1.4.13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2" s="5" t="str">
        <x:v>호버·초점 정보 제어 구체화: 툴팁 닫기·포인터이동·유지조건 구현</x:v>
      </x:c>
      <x:c r="H232" s="5" t="str">
        <x:v>원문 검토 + 실제 브라우저/필요 AT. NVDA·TalkBack·VoiceOver는 확보한 실제 조합만 기록</x:v>
      </x:c>
      <x:c r="I232" s="5" t="str">
        <x:v>미실행</x:v>
      </x:c>
      <x:c r="J232" s="5" t="str">
        <x:v>사람의 평가/원문등급 판정을 자동 생성하지 않음</x:v>
      </x:c>
      <x:c r="K232" s="5" t="str"/>
      <x:c r="L232" s="5" t="str"/>
      <x:c r="M232" s="5" t="str"/>
    </x:row>
    <x:row r="233" ht="39.599998474121094" hidden="0" customHeight="1">
      <x:c r="A233" s="5" t="str">
        <x:v>MAN-WCA-021</x:v>
      </x:c>
      <x:c r="B233" s="5" t="str">
        <x:v>수동</x:v>
      </x:c>
      <x:c r="C233" s="5" t="str"/>
      <x:c r="D233" s="5" t="str">
        <x:v>WCA-021 키보드 전기능</x:v>
      </x:c>
      <x:c r="E233" s="5" t="str">
        <x:v>WCA-021</x:v>
      </x:c>
      <x:c r="F233" s="5" t="str">
        <x:v>1. 원문 SRC-005 2.1.1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3" s="5" t="str">
        <x:v>키보드 작업 완료 구체화: 검색부터 등록·관리까지 키보드 접근</x:v>
      </x:c>
      <x:c r="H233" s="5" t="str">
        <x:v>원문 검토 + 실제 브라우저/필요 AT. NVDA·TalkBack·VoiceOver는 확보한 실제 조합만 기록</x:v>
      </x:c>
      <x:c r="I233" s="5" t="str">
        <x:v>미실행</x:v>
      </x:c>
      <x:c r="J233" s="5" t="str">
        <x:v>사람의 평가/원문등급 판정을 자동 생성하지 않음</x:v>
      </x:c>
      <x:c r="K233" s="5" t="str"/>
      <x:c r="L233" s="5" t="str"/>
      <x:c r="M233" s="5" t="str"/>
    </x:row>
    <x:row r="234" ht="39.599998474121094" hidden="0" customHeight="1">
      <x:c r="A234" s="5" t="str">
        <x:v>MAN-WCA-022</x:v>
      </x:c>
      <x:c r="B234" s="5" t="str">
        <x:v>수동</x:v>
      </x:c>
      <x:c r="C234" s="5" t="str"/>
      <x:c r="D234" s="5" t="str">
        <x:v>WCA-022 키보드 탈출</x:v>
      </x:c>
      <x:c r="E234" s="5" t="str">
        <x:v>WCA-022</x:v>
      </x:c>
      <x:c r="F234" s="5" t="str">
        <x:v>1. 원문 SRC-005 2.1.2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4" s="5" t="str">
        <x:v>초점갇힘 방지 구체화: 모달 Escape와 닫기, 종료 후 원위치 복귀</x:v>
      </x:c>
      <x:c r="H234" s="5" t="str">
        <x:v>원문 검토 + 실제 브라우저/필요 AT. NVDA·TalkBack·VoiceOver는 확보한 실제 조합만 기록</x:v>
      </x:c>
      <x:c r="I234" s="5" t="str">
        <x:v>미실행</x:v>
      </x:c>
      <x:c r="J234" s="5" t="str">
        <x:v>사람의 평가/원문등급 판정을 자동 생성하지 않음</x:v>
      </x:c>
      <x:c r="K234" s="5" t="str"/>
      <x:c r="L234" s="5" t="str"/>
      <x:c r="M234" s="5" t="str"/>
    </x:row>
    <x:row r="235" ht="39.599998474121094" hidden="0" customHeight="1">
      <x:c r="A235" s="5" t="str">
        <x:v>MAN-WCA-023</x:v>
      </x:c>
      <x:c r="B235" s="5" t="str">
        <x:v>수동</x:v>
      </x:c>
      <x:c r="C235" s="5" t="str"/>
      <x:c r="D235" s="5" t="str">
        <x:v>WCA-023 문자 단축키 통제</x:v>
      </x:c>
      <x:c r="E235" s="5" t="str">
        <x:v>WCA-023</x:v>
      </x:c>
      <x:c r="F235" s="5" t="str">
        <x:v>1. 원문 SRC-005 2.1.4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35" s="5" t="str">
        <x:v>문자단축키 해제수단 구체화: 전역 단일문자 단축키 미사용</x:v>
      </x:c>
      <x:c r="H235" s="5" t="str">
        <x:v>원문 검토 + 실제 브라우저/필요 AT. NVDA·TalkBack·VoiceOver는 확보한 실제 조합만 기록</x:v>
      </x:c>
      <x:c r="I235" s="5" t="str">
        <x:v>미실행</x:v>
      </x:c>
      <x:c r="J235" s="5" t="str">
        <x:v>사람의 평가/원문등급 판정을 자동 생성하지 않음</x:v>
      </x:c>
      <x:c r="K235" s="5" t="str"/>
      <x:c r="L235" s="5" t="str"/>
      <x:c r="M235" s="5" t="str"/>
    </x:row>
    <x:row r="236" ht="39.599998474121094" hidden="0" customHeight="1">
      <x:c r="A236" s="5" t="str">
        <x:v>MAN-WCA-024</x:v>
      </x:c>
      <x:c r="B236" s="5" t="str">
        <x:v>수동</x:v>
      </x:c>
      <x:c r="C236" s="5" t="str"/>
      <x:c r="D236" s="5" t="str">
        <x:v>WCA-024 제한시간 조절</x:v>
      </x:c>
      <x:c r="E236" s="5" t="str">
        <x:v>WCA-024</x:v>
      </x:c>
      <x:c r="F236" s="5" t="str">
        <x:v>1. 원문 SRC-005 2.2.1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6" s="5" t="str">
        <x:v>시간제한 대응 구체화: 세션 경고·연장·입력복구와 예외 근거</x:v>
      </x:c>
      <x:c r="H236" s="5" t="str">
        <x:v>원문 검토 + 실제 브라우저/필요 AT. NVDA·TalkBack·VoiceOver는 확보한 실제 조합만 기록</x:v>
      </x:c>
      <x:c r="I236" s="5" t="str">
        <x:v>미실행</x:v>
      </x:c>
      <x:c r="J236" s="5" t="str">
        <x:v>사람의 평가/원문등급 판정을 자동 생성하지 않음</x:v>
      </x:c>
      <x:c r="K236" s="5" t="str"/>
      <x:c r="L236" s="5" t="str"/>
      <x:c r="M236" s="5" t="str"/>
    </x:row>
    <x:row r="237" ht="39.599998474121094" hidden="0" customHeight="1">
      <x:c r="A237" s="5" t="str">
        <x:v>MAN-WCA-025</x:v>
      </x:c>
      <x:c r="B237" s="5" t="str">
        <x:v>수동</x:v>
      </x:c>
      <x:c r="C237" s="5" t="str"/>
      <x:c r="D237" s="5" t="str">
        <x:v>WCA-025 움직임·갱신 제어</x:v>
      </x:c>
      <x:c r="E237" s="5" t="str">
        <x:v>WCA-025</x:v>
      </x:c>
      <x:c r="F237" s="5" t="str">
        <x:v>1. 원문 SRC-005 2.2.2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37" s="5" t="str">
        <x:v>자동변경 제어 구체화: 회전 배너 배제, 자동갱신 제어</x:v>
      </x:c>
      <x:c r="H237" s="5" t="str">
        <x:v>원문 검토 + 실제 브라우저/필요 AT. NVDA·TalkBack·VoiceOver는 확보한 실제 조합만 기록</x:v>
      </x:c>
      <x:c r="I237" s="5" t="str">
        <x:v>미실행</x:v>
      </x:c>
      <x:c r="J237" s="5" t="str">
        <x:v>사람의 평가/원문등급 판정을 자동 생성하지 않음</x:v>
      </x:c>
      <x:c r="K237" s="5" t="str"/>
      <x:c r="L237" s="5" t="str"/>
      <x:c r="M237" s="5" t="str"/>
    </x:row>
    <x:row r="238" ht="39.599998474121094" hidden="0" customHeight="1">
      <x:c r="A238" s="5" t="str">
        <x:v>MAN-WCA-026</x:v>
      </x:c>
      <x:c r="B238" s="5" t="str">
        <x:v>수동</x:v>
      </x:c>
      <x:c r="C238" s="5" t="str"/>
      <x:c r="D238" s="5" t="str">
        <x:v>WCA-026 섬광 안전</x:v>
      </x:c>
      <x:c r="E238" s="5" t="str">
        <x:v>WCA-026</x:v>
      </x:c>
      <x:c r="F238" s="5" t="str">
        <x:v>1. 원문 SRC-005 2.3.1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38" s="5" t="str">
        <x:v>섬광 제한 구체화: 깜빡이는 경고·효과 배제</x:v>
      </x:c>
      <x:c r="H238" s="5" t="str">
        <x:v>원문 검토 + 실제 브라우저/필요 AT. NVDA·TalkBack·VoiceOver는 확보한 실제 조합만 기록</x:v>
      </x:c>
      <x:c r="I238" s="5" t="str">
        <x:v>미실행</x:v>
      </x:c>
      <x:c r="J238" s="5" t="str">
        <x:v>사람의 평가/원문등급 판정을 자동 생성하지 않음</x:v>
      </x:c>
      <x:c r="K238" s="5" t="str"/>
      <x:c r="L238" s="5" t="str"/>
      <x:c r="M238" s="5" t="str"/>
    </x:row>
    <x:row r="239" ht="39.599998474121094" hidden="0" customHeight="1">
      <x:c r="A239" s="5" t="str">
        <x:v>MAN-WCA-027</x:v>
      </x:c>
      <x:c r="B239" s="5" t="str">
        <x:v>수동</x:v>
      </x:c>
      <x:c r="C239" s="5" t="str"/>
      <x:c r="D239" s="5" t="str">
        <x:v>WCA-027 반복영역 생략</x:v>
      </x:c>
      <x:c r="E239" s="5" t="str">
        <x:v>WCA-027</x:v>
      </x:c>
      <x:c r="F239" s="5" t="str">
        <x:v>1. 원문 SRC-005 2.4.1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39" s="5" t="str">
        <x:v>본문 바로가기 구체화: 첫 초점 skip link와 main 연결</x:v>
      </x:c>
      <x:c r="H239" s="5" t="str">
        <x:v>원문 검토 + 실제 브라우저/필요 AT. NVDA·TalkBack·VoiceOver는 확보한 실제 조합만 기록</x:v>
      </x:c>
      <x:c r="I239" s="5" t="str">
        <x:v>미실행</x:v>
      </x:c>
      <x:c r="J239" s="5" t="str">
        <x:v>사람의 평가/원문등급 판정을 자동 생성하지 않음</x:v>
      </x:c>
      <x:c r="K239" s="5" t="str"/>
      <x:c r="L239" s="5" t="str"/>
      <x:c r="M239" s="5" t="str"/>
    </x:row>
    <x:row r="240" ht="39.599998474121094" hidden="0" customHeight="1">
      <x:c r="A240" s="5" t="str">
        <x:v>MAN-WCA-028</x:v>
      </x:c>
      <x:c r="B240" s="5" t="str">
        <x:v>수동</x:v>
      </x:c>
      <x:c r="C240" s="5" t="str"/>
      <x:c r="D240" s="5" t="str">
        <x:v>WCA-028 페이지 제목</x:v>
      </x:c>
      <x:c r="E240" s="5" t="str">
        <x:v>WCA-028</x:v>
      </x:c>
      <x:c r="F240" s="5" t="str">
        <x:v>1. 원문 SRC-005 2.4.2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40" s="5" t="str">
        <x:v>페이지 목적 식별 구체화: 요청명·화면명 포함 document.title</x:v>
      </x:c>
      <x:c r="H240" s="5" t="str">
        <x:v>원문 검토 + 실제 브라우저/필요 AT. NVDA·TalkBack·VoiceOver는 확보한 실제 조합만 기록</x:v>
      </x:c>
      <x:c r="I240" s="5" t="str">
        <x:v>미실행</x:v>
      </x:c>
      <x:c r="J240" s="5" t="str">
        <x:v>사람의 평가/원문등급 판정을 자동 생성하지 않음</x:v>
      </x:c>
      <x:c r="K240" s="5" t="str"/>
      <x:c r="L240" s="5" t="str"/>
      <x:c r="M240" s="5" t="str"/>
    </x:row>
    <x:row r="241" ht="39.599998474121094" hidden="0" customHeight="1">
      <x:c r="A241" s="5" t="str">
        <x:v>MAN-WCA-029</x:v>
      </x:c>
      <x:c r="B241" s="5" t="str">
        <x:v>수동</x:v>
      </x:c>
      <x:c r="C241" s="5" t="str"/>
      <x:c r="D241" s="5" t="str">
        <x:v>WCA-029 초점 순서</x:v>
      </x:c>
      <x:c r="E241" s="5" t="str">
        <x:v>WCA-029</x:v>
      </x:c>
      <x:c r="F241" s="5" t="str">
        <x:v>1. 원문 SRC-005 2.4.3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41" s="5" t="str">
        <x:v>논리적 초점 구체화: 양수 tabindex 금지, 전환·모달 순서 관리</x:v>
      </x:c>
      <x:c r="H241" s="5" t="str">
        <x:v>원문 검토 + 실제 브라우저/필요 AT. NVDA·TalkBack·VoiceOver는 확보한 실제 조합만 기록</x:v>
      </x:c>
      <x:c r="I241" s="5" t="str">
        <x:v>미실행</x:v>
      </x:c>
      <x:c r="J241" s="5" t="str">
        <x:v>사람의 평가/원문등급 판정을 자동 생성하지 않음</x:v>
      </x:c>
      <x:c r="K241" s="5" t="str"/>
      <x:c r="L241" s="5" t="str"/>
      <x:c r="M241" s="5" t="str"/>
    </x:row>
    <x:row r="242" ht="39.599998474121094" hidden="0" customHeight="1">
      <x:c r="A242" s="5" t="str">
        <x:v>MAN-WCA-030</x:v>
      </x:c>
      <x:c r="B242" s="5" t="str">
        <x:v>수동</x:v>
      </x:c>
      <x:c r="C242" s="5" t="str"/>
      <x:c r="D242" s="5" t="str">
        <x:v>WCA-030 링크 목적</x:v>
      </x:c>
      <x:c r="E242" s="5" t="str">
        <x:v>WCA-030</x:v>
      </x:c>
      <x:c r="F242" s="5" t="str">
        <x:v>1. 원문 SRC-005 2.4.4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42" s="5" t="str">
        <x:v>링크 목적 전달 구체화: 문맥에서 요청 식별 가능한 상세 링크</x:v>
      </x:c>
      <x:c r="H242" s="5" t="str">
        <x:v>원문 검토 + 실제 브라우저/필요 AT. NVDA·TalkBack·VoiceOver는 확보한 실제 조합만 기록</x:v>
      </x:c>
      <x:c r="I242" s="5" t="str">
        <x:v>미실행</x:v>
      </x:c>
      <x:c r="J242" s="5" t="str">
        <x:v>사람의 평가/원문등급 판정을 자동 생성하지 않음</x:v>
      </x:c>
      <x:c r="K242" s="5" t="str"/>
      <x:c r="L242" s="5" t="str"/>
      <x:c r="M242" s="5" t="str"/>
    </x:row>
    <x:row r="243" ht="39.599998474121094" hidden="0" customHeight="1">
      <x:c r="A243" s="5" t="str">
        <x:v>MAN-WCA-031</x:v>
      </x:c>
      <x:c r="B243" s="5" t="str">
        <x:v>수동</x:v>
      </x:c>
      <x:c r="C243" s="5" t="str"/>
      <x:c r="D243" s="5" t="str">
        <x:v>WCA-031 찾는 방법 다양화</x:v>
      </x:c>
      <x:c r="E243" s="5" t="str">
        <x:v>WCA-031</x:v>
      </x:c>
      <x:c r="F243" s="5" t="str">
        <x:v>1. 원문 SRC-005 2.4.5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43" s="5" t="str">
        <x:v>복수 탐색수단 구체화: 메뉴와 검색·목록 등 두 경로 제공</x:v>
      </x:c>
      <x:c r="H243" s="5" t="str">
        <x:v>원문 검토 + 실제 브라우저/필요 AT. NVDA·TalkBack·VoiceOver는 확보한 실제 조합만 기록</x:v>
      </x:c>
      <x:c r="I243" s="5" t="str">
        <x:v>미실행</x:v>
      </x:c>
      <x:c r="J243" s="5" t="str">
        <x:v>사람의 평가/원문등급 판정을 자동 생성하지 않음</x:v>
      </x:c>
      <x:c r="K243" s="5" t="str"/>
      <x:c r="L243" s="5" t="str"/>
      <x:c r="M243" s="5" t="str"/>
    </x:row>
    <x:row r="244" ht="39.599998474121094" hidden="0" customHeight="1">
      <x:c r="A244" s="5" t="str">
        <x:v>MAN-WCA-032</x:v>
      </x:c>
      <x:c r="B244" s="5" t="str">
        <x:v>수동</x:v>
      </x:c>
      <x:c r="C244" s="5" t="str"/>
      <x:c r="D244" s="5" t="str">
        <x:v>WCA-032 제목·레이블 설명</x:v>
      </x:c>
      <x:c r="E244" s="5" t="str">
        <x:v>WCA-032</x:v>
      </x:c>
      <x:c r="F244" s="5" t="str">
        <x:v>1. 원문 SRC-005 2.4.6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44" s="5" t="str">
        <x:v>목적 드러나는 제목 구체화: “요청 제목”, “처리 상태” 등 명시</x:v>
      </x:c>
      <x:c r="H244" s="5" t="str">
        <x:v>원문 검토 + 실제 브라우저/필요 AT. NVDA·TalkBack·VoiceOver는 확보한 실제 조합만 기록</x:v>
      </x:c>
      <x:c r="I244" s="5" t="str">
        <x:v>미실행</x:v>
      </x:c>
      <x:c r="J244" s="5" t="str">
        <x:v>사람의 평가/원문등급 판정을 자동 생성하지 않음</x:v>
      </x:c>
      <x:c r="K244" s="5" t="str"/>
      <x:c r="L244" s="5" t="str"/>
      <x:c r="M244" s="5" t="str"/>
    </x:row>
    <x:row r="245" ht="39.599998474121094" hidden="0" customHeight="1">
      <x:c r="A245" s="5" t="str">
        <x:v>MAN-WCA-033</x:v>
      </x:c>
      <x:c r="B245" s="5" t="str">
        <x:v>수동</x:v>
      </x:c>
      <x:c r="C245" s="5" t="str"/>
      <x:c r="D245" s="5" t="str">
        <x:v>WCA-033 초점 가시성</x:v>
      </x:c>
      <x:c r="E245" s="5" t="str">
        <x:v>WCA-033</x:v>
      </x:c>
      <x:c r="F245" s="5" t="str">
        <x:v>1. 원문 SRC-005 2.4.7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45" s="5" t="str">
        <x:v>초점 표시 구체화: 모든 인터랙티브 요소 focus-visible 스타일</x:v>
      </x:c>
      <x:c r="H245" s="5" t="str">
        <x:v>원문 검토 + 실제 브라우저/필요 AT. NVDA·TalkBack·VoiceOver는 확보한 실제 조합만 기록</x:v>
      </x:c>
      <x:c r="I245" s="5" t="str">
        <x:v>미실행</x:v>
      </x:c>
      <x:c r="J245" s="5" t="str">
        <x:v>사람의 평가/원문등급 판정을 자동 생성하지 않음</x:v>
      </x:c>
      <x:c r="K245" s="5" t="str"/>
      <x:c r="L245" s="5" t="str"/>
      <x:c r="M245" s="5" t="str"/>
    </x:row>
    <x:row r="246" ht="39.599998474121094" hidden="0" customHeight="1">
      <x:c r="A246" s="5" t="str">
        <x:v>MAN-WCA-034</x:v>
      </x:c>
      <x:c r="B246" s="5" t="str">
        <x:v>수동</x:v>
      </x:c>
      <x:c r="C246" s="5" t="str"/>
      <x:c r="D246" s="5" t="str">
        <x:v>WCA-034 초점 가림 방지</x:v>
      </x:c>
      <x:c r="E246" s="5" t="str">
        <x:v>WCA-034</x:v>
      </x:c>
      <x:c r="F246" s="5" t="str">
        <x:v>1. 원문 SRC-005 2.4.11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46" s="5" t="str">
        <x:v>초점 완전가림 방지 구체화: 고정헤더·하단바·알림이 초점요소 완전히 가리지 않음</x:v>
      </x:c>
      <x:c r="H246" s="5" t="str">
        <x:v>원문 검토 + 실제 브라우저/필요 AT. NVDA·TalkBack·VoiceOver는 확보한 실제 조합만 기록</x:v>
      </x:c>
      <x:c r="I246" s="5" t="str">
        <x:v>미실행</x:v>
      </x:c>
      <x:c r="J246" s="5" t="str">
        <x:v>사람의 평가/원문등급 판정을 자동 생성하지 않음</x:v>
      </x:c>
      <x:c r="K246" s="5" t="str"/>
      <x:c r="L246" s="5" t="str"/>
      <x:c r="M246" s="5" t="str"/>
    </x:row>
    <x:row r="247" ht="39.599998474121094" hidden="0" customHeight="1">
      <x:c r="A247" s="5" t="str">
        <x:v>MAN-WCA-035</x:v>
      </x:c>
      <x:c r="B247" s="5" t="str">
        <x:v>수동</x:v>
      </x:c>
      <x:c r="C247" s="5" t="str"/>
      <x:c r="D247" s="5" t="str">
        <x:v>WCA-035 복잡 제스처 대체</x:v>
      </x:c>
      <x:c r="E247" s="5" t="str">
        <x:v>WCA-035</x:v>
      </x:c>
      <x:c r="F247" s="5" t="str">
        <x:v>1. 원문 SRC-005 2.5.1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47" s="5" t="str">
        <x:v>단일포인터 대안 구체화: 스와이프·핀치 대신 명시 버튼 제공</x:v>
      </x:c>
      <x:c r="H247" s="5" t="str">
        <x:v>원문 검토 + 실제 브라우저/필요 AT. NVDA·TalkBack·VoiceOver는 확보한 실제 조합만 기록</x:v>
      </x:c>
      <x:c r="I247" s="5" t="str">
        <x:v>미실행</x:v>
      </x:c>
      <x:c r="J247" s="5" t="str">
        <x:v>사람의 평가/원문등급 판정을 자동 생성하지 않음</x:v>
      </x:c>
      <x:c r="K247" s="5" t="str"/>
      <x:c r="L247" s="5" t="str"/>
      <x:c r="M247" s="5" t="str"/>
    </x:row>
    <x:row r="248" ht="39.599998474121094" hidden="0" customHeight="1">
      <x:c r="A248" s="5" t="str">
        <x:v>MAN-WCA-036</x:v>
      </x:c>
      <x:c r="B248" s="5" t="str">
        <x:v>수동</x:v>
      </x:c>
      <x:c r="C248" s="5" t="str"/>
      <x:c r="D248" s="5" t="str">
        <x:v>WCA-036 포인터 취소</x:v>
      </x:c>
      <x:c r="E248" s="5" t="str">
        <x:v>WCA-036</x:v>
      </x:c>
      <x:c r="F248" s="5" t="str">
        <x:v>1. 원문 SRC-005 2.5.2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48" s="5" t="str">
        <x:v>누름 취소지원 구체화: pointerdown 실행 금지, click 기반 확정</x:v>
      </x:c>
      <x:c r="H248" s="5" t="str">
        <x:v>원문 검토 + 실제 브라우저/필요 AT. NVDA·TalkBack·VoiceOver는 확보한 실제 조합만 기록</x:v>
      </x:c>
      <x:c r="I248" s="5" t="str">
        <x:v>미실행</x:v>
      </x:c>
      <x:c r="J248" s="5" t="str">
        <x:v>사람의 평가/원문등급 판정을 자동 생성하지 않음</x:v>
      </x:c>
      <x:c r="K248" s="5" t="str"/>
      <x:c r="L248" s="5" t="str"/>
      <x:c r="M248" s="5" t="str"/>
    </x:row>
    <x:row r="249" ht="39.599998474121094" hidden="0" customHeight="1">
      <x:c r="A249" s="5" t="str">
        <x:v>MAN-WCA-037</x:v>
      </x:c>
      <x:c r="B249" s="5" t="str">
        <x:v>수동</x:v>
      </x:c>
      <x:c r="C249" s="5" t="str"/>
      <x:c r="D249" s="5" t="str">
        <x:v>WCA-037 표시문구와 접근명</x:v>
      </x:c>
      <x:c r="E249" s="5" t="str">
        <x:v>WCA-037</x:v>
      </x:c>
      <x:c r="F249" s="5" t="str">
        <x:v>1. 원문 SRC-005 2.5.3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49" s="5" t="str">
        <x:v>보이는 이름 포함 구체화: 표시문구가 접근가능 이름에 포함</x:v>
      </x:c>
      <x:c r="H249" s="5" t="str">
        <x:v>원문 검토 + 실제 브라우저/필요 AT. NVDA·TalkBack·VoiceOver는 확보한 실제 조합만 기록</x:v>
      </x:c>
      <x:c r="I249" s="5" t="str">
        <x:v>미실행</x:v>
      </x:c>
      <x:c r="J249" s="5" t="str">
        <x:v>사람의 평가/원문등급 판정을 자동 생성하지 않음</x:v>
      </x:c>
      <x:c r="K249" s="5" t="str"/>
      <x:c r="L249" s="5" t="str"/>
      <x:c r="M249" s="5" t="str"/>
    </x:row>
    <x:row r="250" ht="39.599998474121094" hidden="0" customHeight="1">
      <x:c r="A250" s="5" t="str">
        <x:v>MAN-WCA-038</x:v>
      </x:c>
      <x:c r="B250" s="5" t="str">
        <x:v>수동</x:v>
      </x:c>
      <x:c r="C250" s="5" t="str"/>
      <x:c r="D250" s="5" t="str">
        <x:v>WCA-038 동작센서 대체</x:v>
      </x:c>
      <x:c r="E250" s="5" t="str">
        <x:v>WCA-038</x:v>
      </x:c>
      <x:c r="F250" s="5" t="str">
        <x:v>1. 원문 SRC-005 2.5.4 / 쪽과 적용조건을 확인한다. 2. S01~S08 / 해당 기능의 모든 화면·상태의 일반사용자·관리자 및 기본/오류/로딩/완료/모바일 상태 중 관련 범위를 열어 확인한다. 3. 기능 존재 확인 후 수동검토. 4. 미검사 범위와 실제 환경·검사자·관찰·증빙을 기록한다.</x:v>
      </x:c>
      <x:c r="G250" s="5" t="str">
        <x:v>모션 대안·해제 구체화: 흔들기·기울이기 미사용</x:v>
      </x:c>
      <x:c r="H250" s="5" t="str">
        <x:v>원문 검토 + 실제 브라우저/필요 AT. NVDA·TalkBack·VoiceOver는 확보한 실제 조합만 기록</x:v>
      </x:c>
      <x:c r="I250" s="5" t="str">
        <x:v>미실행</x:v>
      </x:c>
      <x:c r="J250" s="5" t="str">
        <x:v>사람의 평가/원문등급 판정을 자동 생성하지 않음</x:v>
      </x:c>
      <x:c r="K250" s="5" t="str"/>
      <x:c r="L250" s="5" t="str"/>
      <x:c r="M250" s="5" t="str"/>
    </x:row>
    <x:row r="251" ht="39.599998474121094" hidden="0" customHeight="1">
      <x:c r="A251" s="5" t="str">
        <x:v>MAN-WCA-039</x:v>
      </x:c>
      <x:c r="B251" s="5" t="str">
        <x:v>수동</x:v>
      </x:c>
      <x:c r="C251" s="5" t="str"/>
      <x:c r="D251" s="5" t="str">
        <x:v>WCA-039 끌기 대체</x:v>
      </x:c>
      <x:c r="E251" s="5" t="str">
        <x:v>WCA-039</x:v>
      </x:c>
      <x:c r="F251" s="5" t="str">
        <x:v>1. 원문 SRC-005 2.5.7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51" s="5" t="str">
        <x:v>드래그 없는 대안 구체화: 첨부 파일선택 버튼·순서변경 위아래 버튼</x:v>
      </x:c>
      <x:c r="H251" s="5" t="str">
        <x:v>원문 검토 + 실제 브라우저/필요 AT. NVDA·TalkBack·VoiceOver는 확보한 실제 조합만 기록</x:v>
      </x:c>
      <x:c r="I251" s="5" t="str">
        <x:v>미실행</x:v>
      </x:c>
      <x:c r="J251" s="5" t="str">
        <x:v>사람의 평가/원문등급 판정을 자동 생성하지 않음</x:v>
      </x:c>
      <x:c r="K251" s="5" t="str"/>
      <x:c r="L251" s="5" t="str"/>
      <x:c r="M251" s="5" t="str"/>
    </x:row>
    <x:row r="252" ht="39.599998474121094" hidden="0" customHeight="1">
      <x:c r="A252" s="5" t="str">
        <x:v>MAN-WCA-040</x:v>
      </x:c>
      <x:c r="B252" s="5" t="str">
        <x:v>수동</x:v>
      </x:c>
      <x:c r="C252" s="5" t="str"/>
      <x:c r="D252" s="5" t="str">
        <x:v>WCA-040 포인터 대상 크기</x:v>
      </x:c>
      <x:c r="E252" s="5" t="str">
        <x:v>WCA-040</x:v>
      </x:c>
      <x:c r="F252" s="5" t="str">
        <x:v>1. 원문 SRC-005 2.5.8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52" s="5" t="str">
        <x:v>24 CSS px 또는 예외 구체화: 각 타깃24×24 이상 또는 규정 예외 증빙, 주요 버튼44~48 회사목표</x:v>
      </x:c>
      <x:c r="H252" s="5" t="str">
        <x:v>원문 검토 + 실제 브라우저/필요 AT. NVDA·TalkBack·VoiceOver는 확보한 실제 조합만 기록</x:v>
      </x:c>
      <x:c r="I252" s="5" t="str">
        <x:v>미실행</x:v>
      </x:c>
      <x:c r="J252" s="5" t="str">
        <x:v>사람의 평가/원문등급 판정을 자동 생성하지 않음</x:v>
      </x:c>
      <x:c r="K252" s="5" t="str"/>
      <x:c r="L252" s="5" t="str"/>
      <x:c r="M252" s="5" t="str"/>
    </x:row>
    <x:row r="253" ht="39.599998474121094" hidden="0" customHeight="1">
      <x:c r="A253" s="5" t="str">
        <x:v>MAN-WCA-041</x:v>
      </x:c>
      <x:c r="B253" s="5" t="str">
        <x:v>수동</x:v>
      </x:c>
      <x:c r="C253" s="5" t="str"/>
      <x:c r="D253" s="5" t="str">
        <x:v>WCA-041 페이지 언어</x:v>
      </x:c>
      <x:c r="E253" s="5" t="str">
        <x:v>WCA-041</x:v>
      </x:c>
      <x:c r="F253" s="5" t="str">
        <x:v>1. 원문 SRC-005 3.1.1 / 쪽과 적용조건을 확인한다. 2. S01~S08 / 해당 기능의 모든 화면·상태의 일반사용자·관리자 및 기본/오류/로딩/완료/모바일 상태 중 관련 범위를 열어 확인한다. 3. 문서 lang 속성 자동 검사 + 실제 주언어와 선언값의 일치 수동 확인. 4. 미검사 범위와 실제 환경·검사자·관찰·증빙을 기록한다.</x:v>
      </x:c>
      <x:c r="G253" s="5" t="str">
        <x:v>주언어 명시 구체화: html lang="ko"</x:v>
      </x:c>
      <x:c r="H253" s="5" t="str">
        <x:v>원문 검토 + 실제 브라우저/필요 AT. NVDA·TalkBack·VoiceOver는 확보한 실제 조합만 기록</x:v>
      </x:c>
      <x:c r="I253" s="5" t="str">
        <x:v>미실행</x:v>
      </x:c>
      <x:c r="J253" s="5" t="str">
        <x:v>사람의 평가/원문등급 판정을 자동 생성하지 않음</x:v>
      </x:c>
      <x:c r="K253" s="5" t="str"/>
      <x:c r="L253" s="5" t="str"/>
      <x:c r="M253" s="5" t="str"/>
    </x:row>
    <x:row r="254" ht="39.599998474121094" hidden="0" customHeight="1">
      <x:c r="A254" s="5" t="str">
        <x:v>MAN-WCA-042</x:v>
      </x:c>
      <x:c r="B254" s="5" t="str">
        <x:v>수동</x:v>
      </x:c>
      <x:c r="C254" s="5" t="str"/>
      <x:c r="D254" s="5" t="str">
        <x:v>WCA-042 부분 언어</x:v>
      </x:c>
      <x:c r="E254" s="5" t="str">
        <x:v>WCA-042</x:v>
      </x:c>
      <x:c r="F254" s="5" t="str">
        <x:v>1. 원문 SRC-005 3.1.2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54" s="5" t="str">
        <x:v>언어변경 명시 구체화: 다른 언어의 문구에 lang, 고유명사 등 예외 구분</x:v>
      </x:c>
      <x:c r="H254" s="5" t="str">
        <x:v>원문 검토 + 실제 브라우저/필요 AT. NVDA·TalkBack·VoiceOver는 확보한 실제 조합만 기록</x:v>
      </x:c>
      <x:c r="I254" s="5" t="str">
        <x:v>미실행</x:v>
      </x:c>
      <x:c r="J254" s="5" t="str">
        <x:v>사람의 평가/원문등급 판정을 자동 생성하지 않음</x:v>
      </x:c>
      <x:c r="K254" s="5" t="str"/>
      <x:c r="L254" s="5" t="str"/>
      <x:c r="M254" s="5" t="str"/>
    </x:row>
    <x:row r="255" ht="39.599998474121094" hidden="0" customHeight="1">
      <x:c r="A255" s="5" t="str">
        <x:v>MAN-WCA-043</x:v>
      </x:c>
      <x:c r="B255" s="5" t="str">
        <x:v>수동</x:v>
      </x:c>
      <x:c r="C255" s="5" t="str"/>
      <x:c r="D255" s="5" t="str">
        <x:v>WCA-043 초점 시 예측성</x:v>
      </x:c>
      <x:c r="E255" s="5" t="str">
        <x:v>WCA-043</x:v>
      </x:c>
      <x:c r="F255" s="5" t="str">
        <x:v>1. 원문 SRC-005 3.2.1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55" s="5" t="str">
        <x:v>초점 자동실행 방지 구체화: 초점만으로 새 창·이동·제출 금지</x:v>
      </x:c>
      <x:c r="H255" s="5" t="str">
        <x:v>원문 검토 + 실제 브라우저/필요 AT. NVDA·TalkBack·VoiceOver는 확보한 실제 조합만 기록</x:v>
      </x:c>
      <x:c r="I255" s="5" t="str">
        <x:v>미실행</x:v>
      </x:c>
      <x:c r="J255" s="5" t="str">
        <x:v>사람의 평가/원문등급 판정을 자동 생성하지 않음</x:v>
      </x:c>
      <x:c r="K255" s="5" t="str"/>
      <x:c r="L255" s="5" t="str"/>
      <x:c r="M255" s="5" t="str"/>
    </x:row>
    <x:row r="256" ht="39.599998474121094" hidden="0" customHeight="1">
      <x:c r="A256" s="5" t="str">
        <x:v>MAN-WCA-044</x:v>
      </x:c>
      <x:c r="B256" s="5" t="str">
        <x:v>수동</x:v>
      </x:c>
      <x:c r="C256" s="5" t="str"/>
      <x:c r="D256" s="5" t="str">
        <x:v>WCA-044 입력 시 예측성</x:v>
      </x:c>
      <x:c r="E256" s="5" t="str">
        <x:v>WCA-044</x:v>
      </x:c>
      <x:c r="F256" s="5" t="str">
        <x:v>1. 원문 SRC-005 3.2.2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56" s="5" t="str">
        <x:v>입력 맥락변화 예고 구체화: 선택만으로 제출하지 않고 적용 버튼 사용</x:v>
      </x:c>
      <x:c r="H256" s="5" t="str">
        <x:v>원문 검토 + 실제 브라우저/필요 AT. NVDA·TalkBack·VoiceOver는 확보한 실제 조합만 기록</x:v>
      </x:c>
      <x:c r="I256" s="5" t="str">
        <x:v>미실행</x:v>
      </x:c>
      <x:c r="J256" s="5" t="str">
        <x:v>사람의 평가/원문등급 판정을 자동 생성하지 않음</x:v>
      </x:c>
      <x:c r="K256" s="5" t="str"/>
      <x:c r="L256" s="5" t="str"/>
      <x:c r="M256" s="5" t="str"/>
    </x:row>
    <x:row r="257" ht="39.599998474121094" hidden="0" customHeight="1">
      <x:c r="A257" s="5" t="str">
        <x:v>MAN-WCA-045</x:v>
      </x:c>
      <x:c r="B257" s="5" t="str">
        <x:v>수동</x:v>
      </x:c>
      <x:c r="C257" s="5" t="str"/>
      <x:c r="D257" s="5" t="str">
        <x:v>WCA-045 메뉴 일관성</x:v>
      </x:c>
      <x:c r="E257" s="5" t="str">
        <x:v>WCA-045</x:v>
      </x:c>
      <x:c r="F257" s="5" t="str">
        <x:v>1. 원문 SRC-005 3.2.3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57" s="5" t="str">
        <x:v>내비 순서 유지 구체화: 페이지 공통 메뉴 순서 유지</x:v>
      </x:c>
      <x:c r="H257" s="5" t="str">
        <x:v>원문 검토 + 실제 브라우저/필요 AT. NVDA·TalkBack·VoiceOver는 확보한 실제 조합만 기록</x:v>
      </x:c>
      <x:c r="I257" s="5" t="str">
        <x:v>미실행</x:v>
      </x:c>
      <x:c r="J257" s="5" t="str">
        <x:v>사람의 평가/원문등급 판정을 자동 생성하지 않음</x:v>
      </x:c>
      <x:c r="K257" s="5" t="str"/>
      <x:c r="L257" s="5" t="str"/>
      <x:c r="M257" s="5" t="str"/>
    </x:row>
    <x:row r="258" ht="39.599998474121094" hidden="0" customHeight="1">
      <x:c r="A258" s="5" t="str">
        <x:v>MAN-WCA-046</x:v>
      </x:c>
      <x:c r="B258" s="5" t="str">
        <x:v>수동</x:v>
      </x:c>
      <x:c r="C258" s="5" t="str"/>
      <x:c r="D258" s="5" t="str">
        <x:v>WCA-046 기능 이름 일관성</x:v>
      </x:c>
      <x:c r="E258" s="5" t="str">
        <x:v>WCA-046</x:v>
      </x:c>
      <x:c r="F258" s="5" t="str">
        <x:v>1. 원문 SRC-005 3.2.4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58" s="5" t="str">
        <x:v>동일기능 동일이름 구체화: 저장·취소·삭제 용어·아이콘 의미 통일</x:v>
      </x:c>
      <x:c r="H258" s="5" t="str">
        <x:v>원문 검토 + 실제 브라우저/필요 AT. NVDA·TalkBack·VoiceOver는 확보한 실제 조합만 기록</x:v>
      </x:c>
      <x:c r="I258" s="5" t="str">
        <x:v>미실행</x:v>
      </x:c>
      <x:c r="J258" s="5" t="str">
        <x:v>사람의 평가/원문등급 판정을 자동 생성하지 않음</x:v>
      </x:c>
      <x:c r="K258" s="5" t="str"/>
      <x:c r="L258" s="5" t="str"/>
      <x:c r="M258" s="5" t="str"/>
    </x:row>
    <x:row r="259" ht="39.599998474121094" hidden="0" customHeight="1">
      <x:c r="A259" s="5" t="str">
        <x:v>MAN-WCA-047</x:v>
      </x:c>
      <x:c r="B259" s="5" t="str">
        <x:v>수동</x:v>
      </x:c>
      <x:c r="C259" s="5" t="str"/>
      <x:c r="D259" s="5" t="str">
        <x:v>WCA-047 도움 접근 일관성</x:v>
      </x:c>
      <x:c r="E259" s="5" t="str">
        <x:v>WCA-047</x:v>
      </x:c>
      <x:c r="F259" s="5" t="str">
        <x:v>1. 원문 SRC-005 3.2.6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59" s="5" t="str">
        <x:v>도움정보 동일순서 구체화: 도움말 링크를 공통 위치·순서에 배치</x:v>
      </x:c>
      <x:c r="H259" s="5" t="str">
        <x:v>원문 검토 + 실제 브라우저/필요 AT. NVDA·TalkBack·VoiceOver는 확보한 실제 조합만 기록</x:v>
      </x:c>
      <x:c r="I259" s="5" t="str">
        <x:v>미실행</x:v>
      </x:c>
      <x:c r="J259" s="5" t="str">
        <x:v>사람의 평가/원문등급 판정을 자동 생성하지 않음</x:v>
      </x:c>
      <x:c r="K259" s="5" t="str"/>
      <x:c r="L259" s="5" t="str"/>
      <x:c r="M259" s="5" t="str"/>
    </x:row>
    <x:row r="260" ht="39.599998474121094" hidden="0" customHeight="1">
      <x:c r="A260" s="5" t="str">
        <x:v>MAN-WCA-048</x:v>
      </x:c>
      <x:c r="B260" s="5" t="str">
        <x:v>수동</x:v>
      </x:c>
      <x:c r="C260" s="5" t="str"/>
      <x:c r="D260" s="5" t="str">
        <x:v>WCA-048 오류 식별</x:v>
      </x:c>
      <x:c r="E260" s="5" t="str">
        <x:v>WCA-048</x:v>
      </x:c>
      <x:c r="F260" s="5" t="str">
        <x:v>1. 원문 SRC-005 3.3.1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0" s="5" t="str">
        <x:v>오류항목·내용 설명 구체화: 오류요약과 필드별 텍스트 제공</x:v>
      </x:c>
      <x:c r="H260" s="5" t="str">
        <x:v>원문 검토 + 실제 브라우저/필요 AT. NVDA·TalkBack·VoiceOver는 확보한 실제 조합만 기록</x:v>
      </x:c>
      <x:c r="I260" s="5" t="str">
        <x:v>미실행</x:v>
      </x:c>
      <x:c r="J260" s="5" t="str">
        <x:v>사람의 평가/원문등급 판정을 자동 생성하지 않음</x:v>
      </x:c>
      <x:c r="K260" s="5" t="str"/>
      <x:c r="L260" s="5" t="str"/>
      <x:c r="M260" s="5" t="str"/>
    </x:row>
    <x:row r="261" ht="39.599998474121094" hidden="0" customHeight="1">
      <x:c r="A261" s="5" t="str">
        <x:v>MAN-WCA-049</x:v>
      </x:c>
      <x:c r="B261" s="5" t="str">
        <x:v>수동</x:v>
      </x:c>
      <x:c r="C261" s="5" t="str"/>
      <x:c r="D261" s="5" t="str">
        <x:v>WCA-049 입력 안내</x:v>
      </x:c>
      <x:c r="E261" s="5" t="str">
        <x:v>WCA-049</x:v>
      </x:c>
      <x:c r="F261" s="5" t="str">
        <x:v>1. 원문 SRC-005 3.3.2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1" s="5" t="str">
        <x:v>레이블·입력조건 구체화: label, 입력예, 필수, 파일 형식·용량 사전안내</x:v>
      </x:c>
      <x:c r="H261" s="5" t="str">
        <x:v>원문 검토 + 실제 브라우저/필요 AT. NVDA·TalkBack·VoiceOver는 확보한 실제 조합만 기록</x:v>
      </x:c>
      <x:c r="I261" s="5" t="str">
        <x:v>미실행</x:v>
      </x:c>
      <x:c r="J261" s="5" t="str">
        <x:v>사람의 평가/원문등급 판정을 자동 생성하지 않음</x:v>
      </x:c>
      <x:c r="K261" s="5" t="str"/>
      <x:c r="L261" s="5" t="str"/>
      <x:c r="M261" s="5" t="str"/>
    </x:row>
    <x:row r="262" ht="39.599998474121094" hidden="0" customHeight="1">
      <x:c r="A262" s="5" t="str">
        <x:v>MAN-WCA-050</x:v>
      </x:c>
      <x:c r="B262" s="5" t="str">
        <x:v>수동</x:v>
      </x:c>
      <x:c r="C262" s="5" t="str"/>
      <x:c r="D262" s="5" t="str">
        <x:v>WCA-050 수정 제안</x:v>
      </x:c>
      <x:c r="E262" s="5" t="str">
        <x:v>WCA-050</x:v>
      </x:c>
      <x:c r="F262" s="5" t="str">
        <x:v>1. 원문 SRC-005 3.3.3 / 쪽과 적용조건을 확인한다. 2. S01~S08 / 해당 기능의 모든 화면·상태의 일반사용자·관리자 및 기본/오류/로딩/완료/모바일 상태 중 관련 범위를 열어 확인한다. 3. 수동. 4. 미검사 범위와 실제 환경·검사자·관찰·증빙을 기록한다.</x:v>
      </x:c>
      <x:c r="G262" s="5" t="str">
        <x:v>알려진 수정방법 안내 구체화: 날짜 형식과 허용 확장자 등 구체적 조치 안내</x:v>
      </x:c>
      <x:c r="H262" s="5" t="str">
        <x:v>원문 검토 + 실제 브라우저/필요 AT. NVDA·TalkBack·VoiceOver는 확보한 실제 조합만 기록</x:v>
      </x:c>
      <x:c r="I262" s="5" t="str">
        <x:v>미실행</x:v>
      </x:c>
      <x:c r="J262" s="5" t="str">
        <x:v>사람의 평가/원문등급 판정을 자동 생성하지 않음</x:v>
      </x:c>
      <x:c r="K262" s="5" t="str"/>
      <x:c r="L262" s="5" t="str"/>
      <x:c r="M262" s="5" t="str"/>
    </x:row>
    <x:row r="263" ht="39.599998474121094" hidden="0" customHeight="1">
      <x:c r="A263" s="5" t="str">
        <x:v>MAN-WCA-051</x:v>
      </x:c>
      <x:c r="B263" s="5" t="str">
        <x:v>수동</x:v>
      </x:c>
      <x:c r="C263" s="5" t="str"/>
      <x:c r="D263" s="5" t="str">
        <x:v>WCA-051 중요 변경 실수방지</x:v>
      </x:c>
      <x:c r="E263" s="5" t="str">
        <x:v>WCA-051</x:v>
      </x:c>
      <x:c r="F263" s="5" t="str">
        <x:v>1. 원문 SRC-005 3.3.4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3" s="5" t="str">
        <x:v>검토·정정·복구 수단 구체화: 사용자 저장정보 삭제·수정 전에 검토/확인/복구</x:v>
      </x:c>
      <x:c r="H263" s="5" t="str">
        <x:v>원문 검토 + 실제 브라우저/필요 AT. NVDA·TalkBack·VoiceOver는 확보한 실제 조합만 기록</x:v>
      </x:c>
      <x:c r="I263" s="5" t="str">
        <x:v>미실행</x:v>
      </x:c>
      <x:c r="J263" s="5" t="str">
        <x:v>사람의 평가/원문등급 판정을 자동 생성하지 않음</x:v>
      </x:c>
      <x:c r="K263" s="5" t="str"/>
      <x:c r="L263" s="5" t="str"/>
      <x:c r="M263" s="5" t="str"/>
    </x:row>
    <x:row r="264" ht="39.599998474121094" hidden="0" customHeight="1">
      <x:c r="A264" s="5" t="str">
        <x:v>MAN-WCA-052</x:v>
      </x:c>
      <x:c r="B264" s="5" t="str">
        <x:v>수동</x:v>
      </x:c>
      <x:c r="C264" s="5" t="str"/>
      <x:c r="D264" s="5" t="str">
        <x:v>WCA-052 중복 입력 완화</x:v>
      </x:c>
      <x:c r="E264" s="5" t="str">
        <x:v>WCA-052</x:v>
      </x:c>
      <x:c r="F264" s="5" t="str">
        <x:v>1. 원문 SRC-005 3.3.7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4" s="5" t="str">
        <x:v>같은절차 재입력 완화 구체화: 단계 이동 후 정보 유지·이미 제공한 항목 재사용</x:v>
      </x:c>
      <x:c r="H264" s="5" t="str">
        <x:v>원문 검토 + 실제 브라우저/필요 AT. NVDA·TalkBack·VoiceOver는 확보한 실제 조합만 기록</x:v>
      </x:c>
      <x:c r="I264" s="5" t="str">
        <x:v>미실행</x:v>
      </x:c>
      <x:c r="J264" s="5" t="str">
        <x:v>사람의 평가/원문등급 판정을 자동 생성하지 않음</x:v>
      </x:c>
      <x:c r="K264" s="5" t="str"/>
      <x:c r="L264" s="5" t="str"/>
      <x:c r="M264" s="5" t="str"/>
    </x:row>
    <x:row r="265" ht="39.599998474121094" hidden="0" customHeight="1">
      <x:c r="A265" s="5" t="str">
        <x:v>MAN-WCA-053</x:v>
      </x:c>
      <x:c r="B265" s="5" t="str">
        <x:v>수동</x:v>
      </x:c>
      <x:c r="C265" s="5" t="str"/>
      <x:c r="D265" s="5" t="str">
        <x:v>WCA-053 접근 가능한 로그인</x:v>
      </x:c>
      <x:c r="E265" s="5" t="str">
        <x:v>WCA-053</x:v>
      </x:c>
      <x:c r="F265" s="5" t="str">
        <x:v>1. 원문 SRC-005 3.3.8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5" s="5" t="str">
        <x:v>인지검사 부담 완화 구체화: 암호관리자·붙여넣기·자동완성 허용, 강제퍼즐 배제</x:v>
      </x:c>
      <x:c r="H265" s="5" t="str">
        <x:v>원문 검토 + 실제 브라우저/필요 AT. NVDA·TalkBack·VoiceOver는 확보한 실제 조합만 기록</x:v>
      </x:c>
      <x:c r="I265" s="5" t="str">
        <x:v>미실행</x:v>
      </x:c>
      <x:c r="J265" s="5" t="str">
        <x:v>사람의 평가/원문등급 판정을 자동 생성하지 않음</x:v>
      </x:c>
      <x:c r="K265" s="5" t="str"/>
      <x:c r="L265" s="5" t="str"/>
      <x:c r="M265" s="5" t="str"/>
    </x:row>
    <x:row r="266" ht="39.599998474121094" hidden="0" customHeight="1">
      <x:c r="A266" s="5" t="str">
        <x:v>MAN-WCA-054</x:v>
      </x:c>
      <x:c r="B266" s="5" t="str">
        <x:v>수동</x:v>
      </x:c>
      <x:c r="C266" s="5" t="str"/>
      <x:c r="D266" s="5" t="str">
        <x:v>WCA-054 역할·이름·값</x:v>
      </x:c>
      <x:c r="E266" s="5" t="str">
        <x:v>WCA-054</x:v>
      </x:c>
      <x:c r="F266" s="5" t="str">
        <x:v>1. 원문 SRC-005 4.1.2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6" s="5" t="str">
        <x:v>보조기술 의미 전달 구체화: 네이티브 HTML, ARIA 상태 동기화</x:v>
      </x:c>
      <x:c r="H266" s="5" t="str">
        <x:v>원문 검토 + 실제 브라우저/필요 AT. NVDA·TalkBack·VoiceOver는 확보한 실제 조합만 기록</x:v>
      </x:c>
      <x:c r="I266" s="5" t="str">
        <x:v>미실행</x:v>
      </x:c>
      <x:c r="J266" s="5" t="str">
        <x:v>사람의 평가/원문등급 판정을 자동 생성하지 않음</x:v>
      </x:c>
      <x:c r="K266" s="5" t="str"/>
      <x:c r="L266" s="5" t="str"/>
      <x:c r="M266" s="5" t="str"/>
    </x:row>
    <x:row r="267" ht="39.599998474121094" hidden="0" customHeight="1">
      <x:c r="A267" s="5" t="str">
        <x:v>MAN-WCA-055</x:v>
      </x:c>
      <x:c r="B267" s="5" t="str">
        <x:v>수동</x:v>
      </x:c>
      <x:c r="C267" s="5" t="str"/>
      <x:c r="D267" s="5" t="str">
        <x:v>WCA-055 상태 알림</x:v>
      </x:c>
      <x:c r="E267" s="5" t="str">
        <x:v>WCA-055</x:v>
      </x:c>
      <x:c r="F267" s="5" t="str">
        <x:v>1. 원문 SRC-005 4.1.3 / 쪽과 적용조건을 확인한다. 2. S01~S08 / 해당 기능의 모든 화면·상태의 일반사용자·관리자 및 기본/오류/로딩/완료/모바일 상태 중 관련 범위를 열어 확인한다. 3. 자동+수동. 4. 미검사 범위와 실제 환경·검사자·관찰·증빙을 기록한다.</x:v>
      </x:c>
      <x:c r="G267" s="5" t="str">
        <x:v>초점이동 없는 상태전달 구체화: 저장완료·검색건수 role=status, 오류 role=alert 절제</x:v>
      </x:c>
      <x:c r="H267" s="5" t="str">
        <x:v>원문 검토 + 실제 브라우저/필요 AT. NVDA·TalkBack·VoiceOver는 확보한 실제 조합만 기록</x:v>
      </x:c>
      <x:c r="I267" s="5" t="str">
        <x:v>미실행</x:v>
      </x:c>
      <x:c r="J267" s="5" t="str">
        <x:v>사람의 평가/원문등급 판정을 자동 생성하지 않음</x:v>
      </x:c>
      <x:c r="K267" s="5" t="str"/>
      <x:c r="L267" s="5" t="str"/>
      <x:c r="M267" s="5" t="str"/>
    </x:row>
    <x:row r="268" ht="39.599998474121094" hidden="0" customHeight="1">
      <x:c r="A268" s="5" t="str">
        <x:v>MAN-INC-001</x:v>
      </x:c>
      <x:c r="B268" s="5" t="str">
        <x:v>수동</x:v>
      </x:c>
      <x:c r="C268" s="5" t="str"/>
      <x:c r="D268" s="5" t="str">
        <x:v>INC-001 실제 사용자 참여</x:v>
      </x:c>
      <x:c r="E268" s="5" t="str">
        <x:v>INC-001</x:v>
      </x:c>
      <x:c r="F268" s="5" t="str">
        <x:v>1. 원문 SRC-019 보완 가이드 또는 회사 목표 / 쪽과 적용조건을 확인한다. 2. S01~S08 / 해당 기능의 모든 화면·상태의 일반사용자·관리자 및 기본/오류/로딩/완료/모바일 상태 중 관련 범위를 열어 확인한다. 3. 사용자평가. 4. 미검사 범위와 실제 환경·검사자·관찰·증빙을 기록한다.</x:v>
      </x:c>
      <x:c r="G268" s="5" t="str">
        <x:v>장애유형별 대표 사용자에게 전체 과업 검증 구체화: 사용자평가 계획·동의·결과·개선 내역을 관리</x:v>
      </x:c>
      <x:c r="H268" s="5" t="str">
        <x:v>원문 검토 + 실제 브라우저/필요 AT. NVDA·TalkBack·VoiceOver는 확보한 실제 조합만 기록</x:v>
      </x:c>
      <x:c r="I268" s="5" t="str">
        <x:v>미실행</x:v>
      </x:c>
      <x:c r="J268" s="5" t="str">
        <x:v>사람의 평가/원문등급 판정을 자동 생성하지 않음</x:v>
      </x:c>
      <x:c r="K268" s="5" t="str"/>
      <x:c r="L268" s="5" t="str"/>
      <x:c r="M268" s="5" t="str"/>
    </x:row>
    <x:row r="269" ht="39.599998474121094" hidden="0" customHeight="1">
      <x:c r="A269" s="5" t="str">
        <x:v>MAN-INC-002</x:v>
      </x:c>
      <x:c r="B269" s="5" t="str">
        <x:v>수동</x:v>
      </x:c>
      <x:c r="C269" s="5" t="str"/>
      <x:c r="D269" s="5" t="str">
        <x:v>INC-002 개인 설정 존중</x:v>
      </x:c>
      <x:c r="E269" s="5" t="str">
        <x:v>INC-002</x:v>
      </x:c>
      <x:c r="F269" s="5" t="str">
        <x:v>1. 원문 SRC-020 보완 가이드 또는 회사 목표 / 쪽과 적용조건을 확인한다. 2. S01~S08 / 해당 기능의 모든 화면·상태의 일반사용자·관리자 및 기본/오류/로딩/완료/모바일 상태 중 관련 범위를 열어 확인한다. 3. 수동+자동. 4. 미검사 범위와 실제 환경·검사자·관찰·증빙을 기록한다.</x:v>
      </x:c>
      <x:c r="G269" s="5" t="str">
        <x:v>OS 고대비·모션감소·확대 설정을 방해하지 않음 구체화: forced-colors, prefers-reduced-motion, 브라우저 확대를 공통컴포넌트에 반영</x:v>
      </x:c>
      <x:c r="H269" s="5" t="str">
        <x:v>원문 검토 + 실제 브라우저/필요 AT. NVDA·TalkBack·VoiceOver는 확보한 실제 조합만 기록</x:v>
      </x:c>
      <x:c r="I269" s="5" t="str">
        <x:v>미실행</x:v>
      </x:c>
      <x:c r="J269" s="5" t="str">
        <x:v>사람의 평가/원문등급 판정을 자동 생성하지 않음</x:v>
      </x:c>
      <x:c r="K269" s="5" t="str"/>
      <x:c r="L269" s="5" t="str"/>
      <x:c r="M269" s="5" t="str"/>
    </x:row>
    <x:row r="270" ht="39.599998474121094" hidden="0" customHeight="1">
      <x:c r="A270" s="5" t="str">
        <x:v>MAN-INC-003</x:v>
      </x:c>
      <x:c r="B270" s="5" t="str">
        <x:v>수동</x:v>
      </x:c>
      <x:c r="C270" s="5" t="str"/>
      <x:c r="D270" s="5" t="str">
        <x:v>INC-003 쉬운 한국어</x:v>
      </x:c>
      <x:c r="E270" s="5" t="str">
        <x:v>INC-003</x:v>
      </x:c>
      <x:c r="F270" s="5" t="str">
        <x:v>1. 원문 SRC-021 보완 가이드 또는 회사 목표 / 쪽과 적용조건을 확인한다. 2. S01~S08 / 해당 기능의 모든 화면·상태의 일반사용자·관리자 및 기본/오류/로딩/완료/모바일 상태 중 관련 범위를 열어 확인한다. 3. 문구 검토. 4. 미검사 범위와 실제 환경·검사자·관찰·증빙을 기록한다.</x:v>
      </x:c>
      <x:c r="G270" s="5" t="str">
        <x:v>짧은 문장·구체적 동사·용어 설명 구체화: 업무요청 안내·오류문구를 실제 과업 기준으로 검토</x:v>
      </x:c>
      <x:c r="H270" s="5" t="str">
        <x:v>원문 검토 + 실제 브라우저/필요 AT. NVDA·TalkBack·VoiceOver는 확보한 실제 조합만 기록</x:v>
      </x:c>
      <x:c r="I270" s="5" t="str">
        <x:v>미실행</x:v>
      </x:c>
      <x:c r="J270" s="5" t="str">
        <x:v>사람의 평가/원문등급 판정을 자동 생성하지 않음</x:v>
      </x:c>
      <x:c r="K270" s="5" t="str"/>
      <x:c r="L270" s="5" t="str"/>
      <x:c r="M270" s="5" t="str"/>
    </x:row>
    <x:row r="271" ht="39.599998474121094" hidden="0" customHeight="1">
      <x:c r="A271" s="5" t="str">
        <x:v>MAN-INC-004</x:v>
      </x:c>
      <x:c r="B271" s="5" t="str">
        <x:v>수동</x:v>
      </x:c>
      <x:c r="C271" s="5" t="str"/>
      <x:c r="D271" s="5" t="str">
        <x:v>INC-004 회사 터치 목표</x:v>
      </x:c>
      <x:c r="E271" s="5" t="str">
        <x:v>INC-004</x:v>
      </x:c>
      <x:c r="F271" s="5" t="str">
        <x:v>1. 원문 SRC-022 보완 가이드 또는 회사 목표 / 쪽과 적용조건을 확인한다. 2. S01~S08 / 해당 기능의 모든 화면·상태의 일반사용자·관리자 및 기본/오류/로딩/완료/모바일 상태 중 관련 범위를 열어 확인한다. 3. 조작 대상 크기 자동 측정 + 실제 기기 조작성 수동 확인. 4. 미검사 범위와 실제 환경·검사자·관찰·증빙을 기록한다.</x:v>
      </x:c>
      <x:c r="G271" s="5" t="str">
        <x:v>주요 제어44×44 이상, 모바일48×48 권장 구체화: 정형 버튼·아이콘 버튼의 hit area 토큰화, 좁은 표는 예외 관리</x:v>
      </x:c>
      <x:c r="H271" s="5" t="str">
        <x:v>원문 검토 + 실제 브라우저/필요 AT. NVDA·TalkBack·VoiceOver는 확보한 실제 조합만 기록</x:v>
      </x:c>
      <x:c r="I271" s="5" t="str">
        <x:v>미실행</x:v>
      </x:c>
      <x:c r="J271" s="5" t="str">
        <x:v>사람의 평가/원문등급 판정을 자동 생성하지 않음</x:v>
      </x:c>
      <x:c r="K271" s="5" t="str"/>
      <x:c r="L271" s="5" t="str"/>
      <x:c r="M271" s="5" t="str"/>
    </x:row>
    <x:row r="272" ht="39.599998474121094" hidden="0" customHeight="1">
      <x:c r="A272" s="5" t="str">
        <x:v>MAN-INC-005</x:v>
      </x:c>
      <x:c r="B272" s="5" t="str">
        <x:v>수동</x:v>
      </x:c>
      <x:c r="C272" s="5" t="str"/>
      <x:c r="D272" s="5" t="str">
        <x:v>INC-005 상태 다중 표현</x:v>
      </x:c>
      <x:c r="E272" s="5" t="str">
        <x:v>INC-005</x:v>
      </x:c>
      <x:c r="F272" s="5" t="str">
        <x:v>1. 원문 SRC-023 보완 가이드 또는 회사 목표 / 쪽과 적용조건을 확인한다. 2. S01~S08 / 해당 기능의 모든 화면·상태의 일반사용자·관리자 및 기본/오류/로딩/완료/모바일 상태 중 관련 범위를 열어 확인한다. 3. 낭독+무음+흑백. 4. 미검사 범위와 실제 환경·검사자·관찰·증빙을 기록한다.</x:v>
      </x:c>
      <x:c r="G272" s="5" t="str">
        <x:v>상태를 색·텍스트·프로그램 알림으로 전달 구체화: “처리 중/완료/보완요청”과 상태 알림 제공</x:v>
      </x:c>
      <x:c r="H272" s="5" t="str">
        <x:v>원문 검토 + 실제 브라우저/필요 AT. NVDA·TalkBack·VoiceOver는 확보한 실제 조합만 기록</x:v>
      </x:c>
      <x:c r="I272" s="5" t="str">
        <x:v>미실행</x:v>
      </x:c>
      <x:c r="J272" s="5" t="str">
        <x:v>사람의 평가/원문등급 판정을 자동 생성하지 않음</x:v>
      </x:c>
      <x:c r="K272" s="5" t="str"/>
      <x:c r="L272" s="5" t="str"/>
      <x:c r="M272" s="5" t="str"/>
    </x:row>
    <x:row r="273" ht="39.599998474121094" hidden="0" customHeight="1">
      <x:c r="A273" s="5" t="str">
        <x:v>MAN-INC-006</x:v>
      </x:c>
      <x:c r="B273" s="5" t="str">
        <x:v>수동</x:v>
      </x:c>
      <x:c r="C273" s="5" t="str"/>
      <x:c r="D273" s="5" t="str">
        <x:v>INC-006 입력 복구</x:v>
      </x:c>
      <x:c r="E273" s="5" t="str">
        <x:v>INC-006</x:v>
      </x:c>
      <x:c r="F273" s="5" t="str">
        <x:v>1. 원문 SRC-021 보완 가이드 또는 회사 목표 / 쪽과 적용조건을 확인한다. 2. S01~S08 / 해당 기능의 모든 화면·상태의 일반사용자·관리자 및 기본/오류/로딩/완료/모바일 상태 중 관련 범위를 열어 확인한다. 3. 실패 주입. 4. 미검사 범위와 실제 환경·검사자·관찰·증빙을 기록한다.</x:v>
      </x:c>
      <x:c r="G273" s="5" t="str">
        <x:v>네트워크 오류·세션 종료에서 작업 손실 최소화 구체화: 비민감 초안 저장 범위·보존기간·공용기기 삭제 규칙 설계</x:v>
      </x:c>
      <x:c r="H273" s="5" t="str">
        <x:v>원문 검토 + 실제 브라우저/필요 AT. NVDA·TalkBack·VoiceOver는 확보한 실제 조합만 기록</x:v>
      </x:c>
      <x:c r="I273" s="5" t="str">
        <x:v>미실행</x:v>
      </x:c>
      <x:c r="J273" s="5" t="str">
        <x:v>사람의 평가/원문등급 판정을 자동 생성하지 않음</x:v>
      </x:c>
      <x:c r="K273" s="5" t="str"/>
      <x:c r="L273" s="5" t="str"/>
      <x:c r="M273" s="5" t="str"/>
    </x:row>
    <x:row r="274" ht="39.599998474121094" hidden="0" customHeight="1">
      <x:c r="A274" s="5" t="str">
        <x:v>MAN-INC-007</x:v>
      </x:c>
      <x:c r="B274" s="5" t="str">
        <x:v>수동</x:v>
      </x:c>
      <x:c r="C274" s="5" t="str"/>
      <x:c r="D274" s="5" t="str">
        <x:v>INC-007 서비스 내 접근성</x:v>
      </x:c>
      <x:c r="E274" s="5" t="str">
        <x:v>INC-007</x:v>
      </x:c>
      <x:c r="F274" s="5" t="str">
        <x:v>1. 원문 SRC-024 보완 가이드 또는 회사 목표 / 쪽과 적용조건을 확인한다. 2. S01~S08 / 해당 기능의 모든 화면·상태의 일반사용자·관리자 및 기본/오류/로딩/완료/모바일 상태 중 관련 범위를 열어 확인한다. 3. 기본설정 전체플로 시험. 4. 미검사 범위와 실제 환경·검사자·관찰·증빙을 기록한다.</x:v>
      </x:c>
      <x:c r="G274" s="5" t="str">
        <x:v>동일 주 서비스에서 접근 가능 구체화: 접근성 메뉴를 켜야만 기본 기능이 작동하는 구조 금지</x:v>
      </x:c>
      <x:c r="H274" s="5" t="str">
        <x:v>원문 검토 + 실제 브라우저/필요 AT. NVDA·TalkBack·VoiceOver는 확보한 실제 조합만 기록</x:v>
      </x:c>
      <x:c r="I274" s="5" t="str">
        <x:v>미실행</x:v>
      </x:c>
      <x:c r="J274" s="5" t="str">
        <x:v>사람의 평가/원문등급 판정을 자동 생성하지 않음</x:v>
      </x:c>
      <x:c r="K274" s="5" t="str"/>
      <x:c r="L274" s="5" t="str"/>
      <x:c r="M274" s="5" t="str"/>
    </x:row>
    <x:row r="275" ht="39.599998474121094" hidden="0" customHeight="1">
      <x:c r="A275" s="5" t="str">
        <x:v>MAN-INC-008</x:v>
      </x:c>
      <x:c r="B275" s="5" t="str">
        <x:v>수동</x:v>
      </x:c>
      <x:c r="C275" s="5" t="str"/>
      <x:c r="D275" s="5" t="str">
        <x:v>INC-008 접근 가능한 첨부</x:v>
      </x:c>
      <x:c r="E275" s="5" t="str">
        <x:v>INC-008</x:v>
      </x:c>
      <x:c r="F275" s="5" t="str">
        <x:v>1. 원문 SRC-025 보완 가이드 또는 회사 목표 / 쪽과 적용조건을 확인한다. 2. S01~S08 / 해당 기능의 모든 화면·상태의 일반사용자·관리자 및 기본/오류/로딩/완료/모바일 상태 중 관련 범위를 열어 확인한다. 3. 첨부 전체플로. 4. 미검사 범위와 실제 환경·검사자·관찰·증빙을 기록한다.</x:v>
      </x:c>
      <x:c r="G275" s="5" t="str">
        <x:v>파일 업로드와 업무정보 열람의 대안 구체화: 드래그 외 버튼, 파일별 설명·이름·용량·상태·삭제, 핵심 정보 HTML 제공</x:v>
      </x:c>
      <x:c r="H275" s="5" t="str">
        <x:v>원문 검토 + 실제 브라우저/필요 AT. NVDA·TalkBack·VoiceOver는 확보한 실제 조합만 기록</x:v>
      </x:c>
      <x:c r="I275" s="5" t="str">
        <x:v>미실행</x:v>
      </x:c>
      <x:c r="J275" s="5" t="str">
        <x:v>사람의 평가/원문등급 판정을 자동 생성하지 않음</x:v>
      </x:c>
      <x:c r="K275" s="5" t="str"/>
      <x:c r="L275" s="5" t="str"/>
      <x:c r="M275" s="5" t="str"/>
    </x:row>
    <x:row r="276" ht="39.599998474121094" hidden="0" customHeight="1">
      <x:c r="A276" s="5" t="str">
        <x:v>MAN-INC-009</x:v>
      </x:c>
      <x:c r="B276" s="5" t="str">
        <x:v>수동</x:v>
      </x:c>
      <x:c r="C276" s="5" t="str"/>
      <x:c r="D276" s="5" t="str">
        <x:v>INC-009 표와 차트 대안</x:v>
      </x:c>
      <x:c r="E276" s="5" t="str">
        <x:v>INC-009</x:v>
      </x:c>
      <x:c r="F276" s="5" t="str">
        <x:v>1. 원문 SRC-026 보완 가이드 또는 회사 목표 / 쪽과 적용조건을 확인한다. 2. S01~S08 / 해당 기능의 모든 화면·상태의 일반사용자·관리자 및 기본/오류/로딩/완료/모바일 상태 중 관련 범위를 열어 확인한다. 3. 낭독+정합성 확인. 4. 미검사 범위와 실제 환경·검사자·관찰·증빙을 기록한다.</x:v>
      </x:c>
      <x:c r="G276" s="5" t="str">
        <x:v>시각 통계와 동일한 수치를 텍스트/표로 제공 구체화: 현황카운트·그래프의 항목·기간·값을 표기, 다운로드만을 유일대안으로 두지 않음</x:v>
      </x:c>
      <x:c r="H276" s="5" t="str">
        <x:v>원문 검토 + 실제 브라우저/필요 AT. NVDA·TalkBack·VoiceOver는 확보한 실제 조합만 기록</x:v>
      </x:c>
      <x:c r="I276" s="5" t="str">
        <x:v>미실행</x:v>
      </x:c>
      <x:c r="J276" s="5" t="str">
        <x:v>사람의 평가/원문등급 판정을 자동 생성하지 않음</x:v>
      </x:c>
      <x:c r="K276" s="5" t="str"/>
      <x:c r="L276" s="5" t="str"/>
      <x:c r="M276" s="5" t="str"/>
    </x:row>
    <x:row r="277" ht="39.599998474121094" hidden="0" customHeight="1">
      <x:c r="A277" s="5" t="str">
        <x:v>MAN-INC-010</x:v>
      </x:c>
      <x:c r="B277" s="5" t="str">
        <x:v>수동</x:v>
      </x:c>
      <x:c r="C277" s="5" t="str"/>
      <x:c r="D277" s="5" t="str">
        <x:v>INC-010 연락수단 선택</x:v>
      </x:c>
      <x:c r="E277" s="5" t="str">
        <x:v>INC-010</x:v>
      </x:c>
      <x:c r="F277" s="5" t="str">
        <x:v>1. 원문 SRC-021 보완 가이드 또는 회사 목표 / 쪽과 적용조건을 확인한다. 2. S01~S08 / 해당 기능의 모든 화면·상태의 일반사용자·관리자 및 기본/오류/로딩/완료/모바일 상태 중 관련 범위를 열어 확인한다. 3. 지원경로 실제시험. 4. 미검사 범위와 실제 환경·검사자·관찰·증빙을 기록한다.</x:v>
      </x:c>
      <x:c r="G277" s="5" t="str">
        <x:v>음성통화 외 문의·지원 수단 구체화: 도움말과 텍스트 문의를 공통위치에 제공</x:v>
      </x:c>
      <x:c r="H277" s="5" t="str">
        <x:v>원문 검토 + 실제 브라우저/필요 AT. NVDA·TalkBack·VoiceOver는 확보한 실제 조합만 기록</x:v>
      </x:c>
      <x:c r="I277" s="5" t="str">
        <x:v>미실행</x:v>
      </x:c>
      <x:c r="J277" s="5" t="str">
        <x:v>사람의 평가/원문등급 판정을 자동 생성하지 않음</x:v>
      </x:c>
      <x:c r="K277" s="5" t="str"/>
      <x:c r="L277" s="5" t="str"/>
      <x:c r="M277" s="5" t="str"/>
    </x:row>
    <x:row r="278" ht="39.599998474121094" hidden="0" customHeight="1">
      <x:c r="A278" s="5" t="str">
        <x:v>MAN-INC-011</x:v>
      </x:c>
      <x:c r="B278" s="5" t="str">
        <x:v>수동</x:v>
      </x:c>
      <x:c r="C278" s="5" t="str"/>
      <x:c r="D278" s="5" t="str">
        <x:v>INC-011 설정 개인정보 최소화</x:v>
      </x:c>
      <x:c r="E278" s="5" t="str">
        <x:v>INC-011</x:v>
      </x:c>
      <x:c r="F278" s="5" t="str">
        <x:v>1. 원문 SRC-027 보완 가이드 또는 회사 목표 / 쪽과 적용조건을 확인한다. 2. S01~S08 / 해당 기능의 모든 화면·상태의 일반사용자·관리자 및 기본/오류/로딩/완료/모바일 상태 중 관련 범위를 열어 확인한다. 3. 저장 키·필드 자동 검사 + 개인정보 최소화 수동 검토. 4. 미검사 범위와 실제 환경·검사자·관찰·증빙을 기록한다.</x:v>
      </x:c>
      <x:c r="G278" s="5" t="str">
        <x:v>장애정보 수집 없이 사용자가 선호 설정 선택 구체화: 모션·표시밀도 설정만 로컬저장, 민감한 장애유형 추정·수집 금지</x:v>
      </x:c>
      <x:c r="H278" s="5" t="str">
        <x:v>원문 검토 + 실제 브라우저/필요 AT. NVDA·TalkBack·VoiceOver는 확보한 실제 조합만 기록</x:v>
      </x:c>
      <x:c r="I278" s="5" t="str">
        <x:v>미실행</x:v>
      </x:c>
      <x:c r="J278" s="5" t="str">
        <x:v>사람의 평가/원문등급 판정을 자동 생성하지 않음</x:v>
      </x:c>
      <x:c r="K278" s="5" t="str"/>
      <x:c r="L278" s="5" t="str"/>
      <x:c r="M278" s="5" t="str"/>
    </x:row>
    <x:row r="279" ht="39.599998474121094" hidden="0" customHeight="1">
      <x:c r="A279" s="5" t="str">
        <x:v>MAN-INC-012</x:v>
      </x:c>
      <x:c r="B279" s="5" t="str">
        <x:v>수동</x:v>
      </x:c>
      <x:c r="C279" s="5" t="str"/>
      <x:c r="D279" s="5" t="str">
        <x:v>INC-012 범위와 결과 공개</x:v>
      </x:c>
      <x:c r="E279" s="5" t="str">
        <x:v>INC-012</x:v>
      </x:c>
      <x:c r="F279" s="5" t="str">
        <x:v>1. 원문 SRC-028 보완 가이드 또는 회사 목표 / 쪽과 적용조건을 확인한다. 2. S01~S08 / 해당 기능의 모든 화면·상태의 일반사용자·관리자 및 기본/오류/로딩/완료/모바일 상태 중 관련 범위를 열어 확인한다. 3. 보고서 대조. 4. 미검사 범위와 실제 환경·검사자·관찰·증빙을 기록한다.</x:v>
      </x:c>
      <x:c r="G279" s="5" t="str">
        <x:v>검증 범위·잔여문제·문의처 명시 구체화: 접근성 안내 페이지에 날짜·브라우저/AT 조합·미해결 사항 기재</x:v>
      </x:c>
      <x:c r="H279" s="5" t="str">
        <x:v>원문 검토 + 실제 브라우저/필요 AT. NVDA·TalkBack·VoiceOver는 확보한 실제 조합만 기록</x:v>
      </x:c>
      <x:c r="I279" s="5" t="str">
        <x:v>미실행</x:v>
      </x:c>
      <x:c r="J279" s="5" t="str">
        <x:v>사람의 평가/원문등급 판정을 자동 생성하지 않음</x:v>
      </x:c>
      <x:c r="K279" s="5" t="str"/>
      <x:c r="L279" s="5" t="str"/>
      <x:c r="M279" s="5" t="str"/>
    </x:row>
    <x:row r="280" ht="39.599998474121094" hidden="0" customHeight="1">
      <x:c r="A280" s="5" t="str">
        <x:v>MAN-QA-001</x:v>
      </x:c>
      <x:c r="B280" s="5" t="str">
        <x:v>수동</x:v>
      </x:c>
      <x:c r="C280" s="5" t="str"/>
      <x:c r="D280" s="5" t="str">
        <x:v>QA-001 재현 빌드와 정적검사</x:v>
      </x:c>
      <x:c r="E280" s="5" t="str">
        <x:v>QA-001</x:v>
      </x:c>
      <x:c r="F280" s="5" t="str">
        <x:v>1. 원문 SRC-003  / 쪽과 적용조건을 확인한다. 2. S01~S08 / 공통의 일반사용자·관리자 및 기본/오류/로딩/완료/모바일 상태 중 관련 범위를 열어 확인한다. 3. 깨끗한 작업폴더의 종료코드·로그 보존. 4. 미검사 범위와 실제 환경·검사자·관찰·증빙을 기록한다.</x:v>
      </x:c>
      <x:c r="G280" s="5" t="str">
        <x:v>잠금파일 기준으로 복원·빌드·형식·타입·분석기를 실행한다. 구체화: verify 명령에 프런트와 백엔드 검사 묶기</x:v>
      </x:c>
      <x:c r="H280" s="5" t="str">
        <x:v>원문 검토 + 실제 브라우저/필요 AT. NVDA·TalkBack·VoiceOver는 확보한 실제 조합만 기록</x:v>
      </x:c>
      <x:c r="I280" s="5" t="str">
        <x:v>미실행</x:v>
      </x:c>
      <x:c r="J280" s="5" t="str">
        <x:v>사람의 평가/원문등급 판정을 자동 생성하지 않음</x:v>
      </x:c>
      <x:c r="K280" s="5" t="str"/>
      <x:c r="L280" s="5" t="str"/>
      <x:c r="M280" s="5" t="str"/>
    </x:row>
    <x:row r="281" ht="39.599998474121094" hidden="0" customHeight="1">
      <x:c r="A281" s="5" t="str">
        <x:v>MAN-QA-002</x:v>
      </x:c>
      <x:c r="B281" s="5" t="str">
        <x:v>수동</x:v>
      </x:c>
      <x:c r="C281" s="5" t="str"/>
      <x:c r="D281" s="5" t="str">
        <x:v>QA-002 업무규칙 경계시험</x:v>
      </x:c>
      <x:c r="E281" s="5" t="str">
        <x:v>QA-002</x:v>
      </x:c>
      <x:c r="F281" s="5" t="str">
        <x:v>1. 원문 SRC-003  / 쪽과 적용조건을 확인한다. 2. S01~S08 / 공통의 일반사용자·관리자 및 기본/오류/로딩/완료/모바일 상태 중 관련 범위를 열어 확인한다. 3. 허용·거부·경계 사례와 실제 결과 대조. 4. 미검사 범위와 실제 환경·검사자·관찰·증빙을 기록한다.</x:v>
      </x:c>
      <x:c r="G281" s="5" t="str">
        <x:v>허용 상태전이·필수값·최대길이·날짜·동시수정을 검사한다. 구체화: 핵심 도메인과 DB 제약에 경계/실패 사례 작성</x:v>
      </x:c>
      <x:c r="H281" s="5" t="str">
        <x:v>원문 검토 + 실제 브라우저/필요 AT. NVDA·TalkBack·VoiceOver는 확보한 실제 조합만 기록</x:v>
      </x:c>
      <x:c r="I281" s="5" t="str">
        <x:v>미실행</x:v>
      </x:c>
      <x:c r="J281" s="5" t="str">
        <x:v>사람의 평가/원문등급 판정을 자동 생성하지 않음</x:v>
      </x:c>
      <x:c r="K281" s="5" t="str"/>
      <x:c r="L281" s="5" t="str"/>
      <x:c r="M281" s="5" t="str"/>
    </x:row>
    <x:row r="282" ht="39.599998474121094" hidden="0" customHeight="1">
      <x:c r="A282" s="5" t="str">
        <x:v>MAN-QA-003</x:v>
      </x:c>
      <x:c r="B282" s="5" t="str">
        <x:v>수동</x:v>
      </x:c>
      <x:c r="C282" s="5" t="str"/>
      <x:c r="D282" s="5" t="str">
        <x:v>QA-003 객체 단위 권한 부정시험</x:v>
      </x:c>
      <x:c r="E282" s="5" t="str">
        <x:v>QA-003</x:v>
      </x:c>
      <x:c r="F282" s="5" t="str">
        <x:v>1. 원문 SRC-003  / 쪽과 적용조건을 확인한다. 2. S01, S05의 일반사용자·관리자 및 기본/오류/로딩/완료/모바일 상태 중 관련 범위를 열어 확인한다. 3. 다른 객체ID·역할변조·직접 URL 호출 거부. 4. 미검사 범위와 실제 환경·검사자·관찰·증빙을 기록한다.</x:v>
      </x:c>
      <x:c r="G282" s="5" t="str">
        <x:v>다른 사용자 요청과 첨부의 접근을 서버가 거부한다. 구체화: 로그인 사용자 A/B와 관리자 API 시험</x:v>
      </x:c>
      <x:c r="H282" s="5" t="str">
        <x:v>원문 검토 + 실제 브라우저/필요 AT. NVDA·TalkBack·VoiceOver는 확보한 실제 조합만 기록</x:v>
      </x:c>
      <x:c r="I282" s="5" t="str">
        <x:v>미실행</x:v>
      </x:c>
      <x:c r="J282" s="5" t="str">
        <x:v>사람의 평가/원문등급 판정을 자동 생성하지 않음</x:v>
      </x:c>
      <x:c r="K282" s="5" t="str"/>
      <x:c r="L282" s="5" t="str"/>
      <x:c r="M282" s="5" t="str"/>
    </x:row>
    <x:row r="283" ht="39.599998474121094" hidden="0" customHeight="1">
      <x:c r="A283" s="5" t="str">
        <x:v>MAN-QA-004</x:v>
      </x:c>
      <x:c r="B283" s="5" t="str">
        <x:v>수동</x:v>
      </x:c>
      <x:c r="C283" s="5" t="str"/>
      <x:c r="D283" s="5" t="str">
        <x:v>QA-004 첨부파일 실패시험</x:v>
      </x:c>
      <x:c r="E283" s="5" t="str">
        <x:v>QA-004</x:v>
      </x:c>
      <x:c r="F283" s="5" t="str">
        <x:v>1. 원문 SRC-003  / 쪽과 적용조건을 확인한다. 2. S04, S05의 일반사용자·관리자 및 기본/오류/로딩/완료/모바일 상태 중 관련 범위를 열어 확인한다. 3. 제한 위반·중단·중복·파일 삭제 시 실제 결과. 4. 미검사 범위와 실제 환경·검사자·관찰·증빙을 기록한다.</x:v>
      </x:c>
      <x:c r="G283" s="5" t="str">
        <x:v>파일크기·형식·경로·파일명·권한과 실패 복구를 시험한다. 구체화: 안전한 시험 파일과 업로드/다운로드 통합시험</x:v>
      </x:c>
      <x:c r="H283" s="5" t="str">
        <x:v>원문 검토 + 실제 브라우저/필요 AT. NVDA·TalkBack·VoiceOver는 확보한 실제 조합만 기록</x:v>
      </x:c>
      <x:c r="I283" s="5" t="str">
        <x:v>미실행</x:v>
      </x:c>
      <x:c r="J283" s="5" t="str">
        <x:v>사람의 평가/원문등급 판정을 자동 생성하지 않음</x:v>
      </x:c>
      <x:c r="K283" s="5" t="str"/>
      <x:c r="L283" s="5" t="str"/>
      <x:c r="M283" s="5" t="str"/>
    </x:row>
    <x:row r="284" ht="39.599998474121094" hidden="0" customHeight="1">
      <x:c r="A284" s="5" t="str">
        <x:v>MAN-QA-005</x:v>
      </x:c>
      <x:c r="B284" s="5" t="str">
        <x:v>수동</x:v>
      </x:c>
      <x:c r="C284" s="5" t="str"/>
      <x:c r="D284" s="5" t="str">
        <x:v>QA-005 완결된 업무 E2E</x:v>
      </x:c>
      <x:c r="E284" s="5" t="str">
        <x:v>QA-005</x:v>
      </x:c>
      <x:c r="F284" s="5" t="str">
        <x:v>1. 원문 SRC-003  / 쪽과 적용조건을 확인한다. 2. S01~S08 / 공통의 일반사용자·관리자 및 기본/오류/로딩/완료/모바일 상태 중 관련 범위를 열어 확인한다. 3. 재시작 후 영속성·역할별 전체 절차 확인. 4. 미검사 범위와 실제 환경·검사자·관찰·증빙을 기록한다.</x:v>
      </x:c>
      <x:c r="G284" s="5" t="str">
        <x:v>로그인부터 등록·조회·관리처리까지 실제 API/DB로 완료한다. 구체화: Playwright 과업 시나리오와 별도 사용자 데이터</x:v>
      </x:c>
      <x:c r="H284" s="5" t="str">
        <x:v>원문 검토 + 실제 브라우저/필요 AT. NVDA·TalkBack·VoiceOver는 확보한 실제 조합만 기록</x:v>
      </x:c>
      <x:c r="I284" s="5" t="str">
        <x:v>미실행</x:v>
      </x:c>
      <x:c r="J284" s="5" t="str">
        <x:v>사람의 평가/원문등급 판정을 자동 생성하지 않음</x:v>
      </x:c>
      <x:c r="K284" s="5" t="str"/>
      <x:c r="L284" s="5" t="str"/>
      <x:c r="M284" s="5" t="str"/>
    </x:row>
    <x:row r="285" ht="39.599998474121094" hidden="0" customHeight="1">
      <x:c r="A285" s="5" t="str">
        <x:v>MAN-QA-006</x:v>
      </x:c>
      <x:c r="B285" s="5" t="str">
        <x:v>수동</x:v>
      </x:c>
      <x:c r="C285" s="5" t="str"/>
      <x:c r="D285" s="5" t="str">
        <x:v>QA-006 상태별 자동 접근성</x:v>
      </x:c>
      <x:c r="E285" s="5" t="str">
        <x:v>QA-006</x:v>
      </x:c>
      <x:c r="F285" s="5" t="str">
        <x:v>1. 원문 SRC-003  / 쪽과 적용조건을 확인한다. 2. S01~S08 / 공통의 일반사용자·관리자 및 기본/오류/로딩/완료/모바일 상태 중 관련 범위를 열어 확인한다. 3. 규칙ID·화면·상태·도구버전별 원시결과. 4. 미검사 범위와 실제 환경·검사자·관찰·증빙을 기록한다.</x:v>
      </x:c>
      <x:c r="G285" s="5" t="str">
        <x:v>일반·오류·모달·확장·완료 상태에서 접근성을 검사한다. 구체화: axe-core와 실제 E2E의 상태별 검사 연결</x:v>
      </x:c>
      <x:c r="H285" s="5" t="str">
        <x:v>원문 검토 + 실제 브라우저/필요 AT. NVDA·TalkBack·VoiceOver는 확보한 실제 조합만 기록</x:v>
      </x:c>
      <x:c r="I285" s="5" t="str">
        <x:v>미실행</x:v>
      </x:c>
      <x:c r="J285" s="5" t="str">
        <x:v>사람의 평가/원문등급 판정을 자동 생성하지 않음</x:v>
      </x:c>
      <x:c r="K285" s="5" t="str"/>
      <x:c r="L285" s="5" t="str"/>
      <x:c r="M285" s="5" t="str"/>
    </x:row>
    <x:row r="286" ht="39.599998474121094" hidden="0" customHeight="1">
      <x:c r="A286" s="5" t="str">
        <x:v>MAN-QA-007</x:v>
      </x:c>
      <x:c r="B286" s="5" t="str">
        <x:v>수동</x:v>
      </x:c>
      <x:c r="C286" s="5" t="str"/>
      <x:c r="D286" s="5" t="str">
        <x:v>QA-007 보조기술 수동시험</x:v>
      </x:c>
      <x:c r="E286" s="5" t="str">
        <x:v>QA-007</x:v>
      </x:c>
      <x:c r="F286" s="5" t="str">
        <x:v>1. 원문 SRC-003  / 쪽과 적용조건을 확인한다. 2. S01~S08 / 공통의 일반사용자·관리자 및 기본/오류/로딩/완료/모바일 상태 중 관련 범위를 열어 확인한다. 3. 환경 없는 시험은 미실행 유지. 4. 미검사 범위와 실제 환경·검사자·관찰·증빙을 기록한다.</x:v>
      </x:c>
      <x:c r="G286" s="5" t="str">
        <x:v>키보드·화면낭독기·확대·모바일 검증을 분리한다. 구체화: 접근성시험 15개 절차에 실제 환경·검사자 기록</x:v>
      </x:c>
      <x:c r="H286" s="5" t="str">
        <x:v>원문 검토 + 실제 브라우저/필요 AT. NVDA·TalkBack·VoiceOver는 확보한 실제 조합만 기록</x:v>
      </x:c>
      <x:c r="I286" s="5" t="str">
        <x:v>미실행</x:v>
      </x:c>
      <x:c r="J286" s="5" t="str">
        <x:v>사람의 평가/원문등급 판정을 자동 생성하지 않음</x:v>
      </x:c>
      <x:c r="K286" s="5" t="str"/>
      <x:c r="L286" s="5" t="str"/>
      <x:c r="M286" s="5" t="str"/>
    </x:row>
    <x:row r="287" ht="39.599998474121094" hidden="0" customHeight="1">
      <x:c r="A287" s="5" t="str">
        <x:v>MAN-QA-008</x:v>
      </x:c>
      <x:c r="B287" s="5" t="str">
        <x:v>수동</x:v>
      </x:c>
      <x:c r="C287" s="5" t="str"/>
      <x:c r="D287" s="5" t="str">
        <x:v>QA-008 전체 범위와 샘플링 공개</x:v>
      </x:c>
      <x:c r="E287" s="5" t="str">
        <x:v>QA-008</x:v>
      </x:c>
      <x:c r="F287" s="5" t="str">
        <x:v>1. 원문 SRC-003  / 쪽과 적용조건을 확인한다. 2. S03의 일반사용자·관리자 및 기본/오류/로딩/완료/모바일 상태 중 관련 범위를 열어 확인한다. 3. 샘플 검사만으로 전체 준수 선언하지 않음. 4. 미검사 범위와 실제 환경·검사자·관찰·증빙을 기록한다.</x:v>
      </x:c>
      <x:c r="G287" s="5" t="str">
        <x:v>준수 주장 범위의 페이지·역할·상태·완결 절차를 명시한다. 구체화: scope manifest와 검사대상 목록 유지</x:v>
      </x:c>
      <x:c r="H287" s="5" t="str">
        <x:v>원문 검토 + 실제 브라우저/필요 AT. NVDA·TalkBack·VoiceOver는 확보한 실제 조합만 기록</x:v>
      </x:c>
      <x:c r="I287" s="5" t="str">
        <x:v>미실행</x:v>
      </x:c>
      <x:c r="J287" s="5" t="str">
        <x:v>사람의 평가/원문등급 판정을 자동 생성하지 않음</x:v>
      </x:c>
      <x:c r="K287" s="5" t="str"/>
      <x:c r="L287" s="5" t="str"/>
      <x:c r="M287" s="5" t="str"/>
    </x:row>
    <x:row r="288" ht="39.599998474121094" hidden="0" customHeight="1">
      <x:c r="A288" s="5" t="str">
        <x:v>MAN-QA-009</x:v>
      </x:c>
      <x:c r="B288" s="5" t="str">
        <x:v>수동</x:v>
      </x:c>
      <x:c r="C288" s="5" t="str"/>
      <x:c r="D288" s="5" t="str">
        <x:v>QA-009 브라우저와 반응형</x:v>
      </x:c>
      <x:c r="E288" s="5" t="str">
        <x:v>QA-009</x:v>
      </x:c>
      <x:c r="F288" s="5" t="str">
        <x:v>1. 원문 SRC-003  / 쪽과 적용조건을 확인한다. 2. S01~S08 / 공통의 일반사용자·관리자 및 기본/오류/로딩/완료/모바일 상태 중 관련 범위를 열어 확인한다. 3. 지원환경별 실패·미실행·관찰결과 기록. 4. 미검사 범위와 실제 환경·검사자·관찰·증빙을 기록한다.</x:v>
      </x:c>
      <x:c r="G288" s="5" t="str">
        <x:v>지원 브라우저·화면폭·확대 조합을 정하고 검증한다. 구체화: PC와 모바일의 실제 지원행렬 작성</x:v>
      </x:c>
      <x:c r="H288" s="5" t="str">
        <x:v>원문 검토 + 실제 브라우저/필요 AT. NVDA·TalkBack·VoiceOver는 확보한 실제 조합만 기록</x:v>
      </x:c>
      <x:c r="I288" s="5" t="str">
        <x:v>미실행</x:v>
      </x:c>
      <x:c r="J288" s="5" t="str">
        <x:v>사람의 평가/원문등급 판정을 자동 생성하지 않음</x:v>
      </x:c>
      <x:c r="K288" s="5" t="str"/>
      <x:c r="L288" s="5" t="str"/>
      <x:c r="M288" s="5" t="str"/>
    </x:row>
    <x:row r="289" ht="39.599998474121094" hidden="0" customHeight="1">
      <x:c r="A289" s="5" t="str">
        <x:v>MAN-QA-010</x:v>
      </x:c>
      <x:c r="B289" s="5" t="str">
        <x:v>수동</x:v>
      </x:c>
      <x:c r="C289" s="5" t="str"/>
      <x:c r="D289" s="5" t="str">
        <x:v>QA-010 성능과 중단 복구</x:v>
      </x:c>
      <x:c r="E289" s="5" t="str">
        <x:v>QA-010</x:v>
      </x:c>
      <x:c r="F289" s="5" t="str">
        <x:v>1. 원문 SRC-003  / 쪽과 적용조건을 확인한다. 2. S05의 일반사용자·관리자 및 기본/오류/로딩/완료/모바일 상태 중 관련 범위를 열어 확인한다. 3. 환경·데이터량·측정법과 결과를 기록. 4. 미검사 범위와 실제 환경·검사자·관찰·증빙을 기록한다.</x:v>
      </x:c>
      <x:c r="G289" s="5" t="str">
        <x:v>기준 환경의 응답·로딩·취소·재시도 동작을 측정한다. 구체화: 네트워크 실패와 지연 주입, 대용량 입력 경계</x:v>
      </x:c>
      <x:c r="H289" s="5" t="str">
        <x:v>원문 검토 + 실제 브라우저/필요 AT. NVDA·TalkBack·VoiceOver는 확보한 실제 조합만 기록</x:v>
      </x:c>
      <x:c r="I289" s="5" t="str">
        <x:v>미실행</x:v>
      </x:c>
      <x:c r="J289" s="5" t="str">
        <x:v>사람의 평가/원문등급 판정을 자동 생성하지 않음</x:v>
      </x:c>
      <x:c r="K289" s="5" t="str"/>
      <x:c r="L289" s="5" t="str"/>
      <x:c r="M289" s="5" t="str"/>
    </x:row>
    <x:row r="290" ht="39.599998474121094" hidden="0" customHeight="1">
      <x:c r="A290" s="5" t="str">
        <x:v>MAN-QA-011</x:v>
      </x:c>
      <x:c r="B290" s="5" t="str">
        <x:v>수동</x:v>
      </x:c>
      <x:c r="C290" s="5" t="str"/>
      <x:c r="D290" s="5" t="str">
        <x:v>QA-011 커버리지 범위 공개</x:v>
      </x:c>
      <x:c r="E290" s="5" t="str">
        <x:v>QA-011</x:v>
      </x:c>
      <x:c r="F290" s="5" t="str">
        <x:v>1. 원문 SRC-003  / 쪽과 적용조건을 확인한다. 2. S01~S08 / 공통의 일반사용자·관리자 및 기본/오류/로딩/완료/모바일 상태 중 관련 범위를 열어 확인한다. 3. 무의미한 테스트로 수치만 달성하지 않음. 4. 미검사 범위와 실제 환경·검사자·관찰·증빙을 기록한다.</x:v>
      </x:c>
      <x:c r="G290" s="5" t="str">
        <x:v>핵심 모듈의 line80%·branch70%를 초기 회사 목표로 검토한다. 구체화: 대상/제외·산식·도구버전을 고정하고 실제 산출</x:v>
      </x:c>
      <x:c r="H290" s="5" t="str">
        <x:v>원문 검토 + 실제 브라우저/필요 AT. NVDA·TalkBack·VoiceOver는 확보한 실제 조합만 기록</x:v>
      </x:c>
      <x:c r="I290" s="5" t="str">
        <x:v>미실행</x:v>
      </x:c>
      <x:c r="J290" s="5" t="str">
        <x:v>사람의 평가/원문등급 판정을 자동 생성하지 않음</x:v>
      </x:c>
      <x:c r="K290" s="5" t="str"/>
      <x:c r="L290" s="5" t="str"/>
      <x:c r="M290" s="5" t="str"/>
    </x:row>
    <x:row r="291" ht="39.599998474121094" hidden="0" customHeight="1">
      <x:c r="A291" s="5" t="str">
        <x:v>MAN-QA-012</x:v>
      </x:c>
      <x:c r="B291" s="5" t="str">
        <x:v>수동</x:v>
      </x:c>
      <x:c r="C291" s="5" t="str"/>
      <x:c r="D291" s="5" t="str">
        <x:v>QA-012 품질 게이트와 재시험</x:v>
      </x:c>
      <x:c r="E291" s="5" t="str">
        <x:v>QA-012</x:v>
      </x:c>
      <x:c r="F291" s="5" t="str">
        <x:v>1. 원문 SRC-003  / 쪽과 적용조건을 확인한다. 2. S05의 일반사용자·관리자 및 기본/오류/로딩/완료/모바일 상태 중 관련 범위를 열어 확인한다. 3. 원인·수정commit·재실행·잔여항목 대조. 4. 미검사 범위와 실제 환경·검사자·관찰·증빙을 기록한다.</x:v>
      </x:c>
      <x:c r="G291" s="5" t="str">
        <x:v>실패 수정 후 영향을 받는 검증을 재실행한다. 구체화: 고위험 취약점·접근성 오류·필수 기능 gate 설정</x:v>
      </x:c>
      <x:c r="H291" s="5" t="str">
        <x:v>원문 검토 + 실제 브라우저/필요 AT. NVDA·TalkBack·VoiceOver는 확보한 실제 조합만 기록</x:v>
      </x:c>
      <x:c r="I291" s="5" t="str">
        <x:v>미실행</x:v>
      </x:c>
      <x:c r="J291" s="5" t="str">
        <x:v>사람의 평가/원문등급 판정을 자동 생성하지 않음</x:v>
      </x:c>
      <x:c r="K291" s="5" t="str"/>
      <x:c r="L291" s="5" t="str"/>
      <x:c r="M291" s="5" t="str"/>
    </x:row>
    <x:row r="292" ht="39.599998474121094" hidden="0" customHeight="1">
      <x:c r="A292" s="5" t="str">
        <x:v>MAN-OPS-001</x:v>
      </x:c>
      <x:c r="B292" s="5" t="str">
        <x:v>수동</x:v>
      </x:c>
      <x:c r="C292" s="5" t="str"/>
      <x:c r="D292" s="5" t="str">
        <x:v>OPS-001 환경과 비밀 분리</x:v>
      </x:c>
      <x:c r="E292" s="5" t="str">
        <x:v>OPS-001</x:v>
      </x:c>
      <x:c r="F292" s="5" t="str">
        <x:v>1. 원문 SRC-003  / 쪽과 적용조건을 확인한다. 2. S01~S08 / 공통의 일반사용자·관리자 및 기본/오류/로딩/완료/모바일 상태 중 관련 범위를 열어 확인한다. 3. 비밀 미포함·설정누락 실패·모드별 동작 확인. 4. 미검사 범위와 실제 환경·검사자·관찰·증빙을 기록한다.</x:v>
      </x:c>
      <x:c r="G292" s="5" t="str">
        <x:v>개발·시험·운영 설정과 비밀 주입 경로를 분리한다. 구체화: env 예제·설정검증·운영 seed 차단</x:v>
      </x:c>
      <x:c r="H292" s="5" t="str">
        <x:v>원문 검토 + 실제 브라우저/필요 AT. NVDA·TalkBack·VoiceOver는 확보한 실제 조합만 기록</x:v>
      </x:c>
      <x:c r="I292" s="5" t="str">
        <x:v>미실행</x:v>
      </x:c>
      <x:c r="J292" s="5" t="str">
        <x:v>사람의 평가/원문등급 판정을 자동 생성하지 않음</x:v>
      </x:c>
      <x:c r="K292" s="5" t="str"/>
      <x:c r="L292" s="5" t="str"/>
      <x:c r="M292" s="5" t="str"/>
    </x:row>
    <x:row r="293" ht="39.599998474121094" hidden="0" customHeight="1">
      <x:c r="A293" s="5" t="str">
        <x:v>MAN-OPS-002</x:v>
      </x:c>
      <x:c r="B293" s="5" t="str">
        <x:v>수동</x:v>
      </x:c>
      <x:c r="C293" s="5" t="str"/>
      <x:c r="D293" s="5" t="str">
        <x:v>OPS-002 DB 마이그레이션</x:v>
      </x:c>
      <x:c r="E293" s="5" t="str">
        <x:v>OPS-002</x:v>
      </x:c>
      <x:c r="F293" s="5" t="str">
        <x:v>1. 원문 SRC-003  / 쪽과 적용조건을 확인한다. 2. S01~S08 / 공통의 일반사용자·관리자 및 기본/오류/로딩/완료/모바일 상태 중 관련 범위를 열어 확인한다. 3. 빈DB·기존DB 업그레이드·롤백/복원 절차. 4. 미검사 범위와 실제 환경·검사자·관찰·증빙을 기록한다.</x:v>
      </x:c>
      <x:c r="G293" s="5" t="str">
        <x:v>스키마 변경과 실패 복구 절차를 버전관리한다. 구체화: EF Core migration과 샘플 초기화 명령</x:v>
      </x:c>
      <x:c r="H293" s="5" t="str">
        <x:v>원문 검토 + 실제 브라우저/필요 AT. NVDA·TalkBack·VoiceOver는 확보한 실제 조합만 기록</x:v>
      </x:c>
      <x:c r="I293" s="5" t="str">
        <x:v>미실행</x:v>
      </x:c>
      <x:c r="J293" s="5" t="str">
        <x:v>사람의 평가/원문등급 판정을 자동 생성하지 않음</x:v>
      </x:c>
      <x:c r="K293" s="5" t="str"/>
      <x:c r="L293" s="5" t="str"/>
      <x:c r="M293" s="5" t="str"/>
    </x:row>
    <x:row r="294" ht="39.599998474121094" hidden="0" customHeight="1">
      <x:c r="A294" s="5" t="str">
        <x:v>MAN-OPS-003</x:v>
      </x:c>
      <x:c r="B294" s="5" t="str">
        <x:v>수동</x:v>
      </x:c>
      <x:c r="C294" s="5" t="str"/>
      <x:c r="D294" s="5" t="str">
        <x:v>OPS-003 백업과 복원</x:v>
      </x:c>
      <x:c r="E294" s="5" t="str">
        <x:v>OPS-003</x:v>
      </x:c>
      <x:c r="F294" s="5" t="str">
        <x:v>1. 원문 SRC-003  / 쪽과 적용조건을 확인한다. 2. S04, S05의 일반사용자·관리자 및 기본/오류/로딩/완료/모바일 상태 중 관련 범위를 열어 확인한다. 3. 실제 복원 데이터·권한·참조 무결성 확인. 4. 미검사 범위와 실제 환경·검사자·관찰·증빙을 기록한다.</x:v>
      </x:c>
      <x:c r="G294" s="5" t="str">
        <x:v>DB와 첨부의 일관성 있는 백업/복원을 설명한다. 구체화: 로컬 파일DB·첨부의 백업 대상과 복원 순서</x:v>
      </x:c>
      <x:c r="H294" s="5" t="str">
        <x:v>원문 검토 + 실제 브라우저/필요 AT. NVDA·TalkBack·VoiceOver는 확보한 실제 조합만 기록</x:v>
      </x:c>
      <x:c r="I294" s="5" t="str">
        <x:v>미실행</x:v>
      </x:c>
      <x:c r="J294" s="5" t="str">
        <x:v>사람의 평가/원문등급 판정을 자동 생성하지 않음</x:v>
      </x:c>
      <x:c r="K294" s="5" t="str"/>
      <x:c r="L294" s="5" t="str"/>
      <x:c r="M294" s="5" t="str"/>
    </x:row>
    <x:row r="295" ht="39.599998474121094" hidden="0" customHeight="1">
      <x:c r="A295" s="5" t="str">
        <x:v>MAN-OPS-004</x:v>
      </x:c>
      <x:c r="B295" s="5" t="str">
        <x:v>수동</x:v>
      </x:c>
      <x:c r="C295" s="5" t="str"/>
      <x:c r="D295" s="5" t="str">
        <x:v>OPS-004 로그와 상태진단</x:v>
      </x:c>
      <x:c r="E295" s="5" t="str">
        <x:v>OPS-004</x:v>
      </x:c>
      <x:c r="F295" s="5" t="str">
        <x:v>1. 원문 SRC-003  / 쪽과 적용조건을 확인한다. 2. S01~S08 / 공통의 일반사용자·관리자 및 기본/오류/로딩/완료/모바일 상태 중 관련 범위를 열어 확인한다. 3. 민감정보 비노출·오류 원인 추적 가능 확인. 4. 미검사 범위와 실제 환경·검사자·관찰·증빙을 기록한다.</x:v>
      </x:c>
      <x:c r="G295" s="5" t="str">
        <x:v>오류 추적과 서비스 상태를 운영자가 확인한다. 구체화: 추적ID·구조화 로그·health endpoint</x:v>
      </x:c>
      <x:c r="H295" s="5" t="str">
        <x:v>원문 검토 + 실제 브라우저/필요 AT. NVDA·TalkBack·VoiceOver는 확보한 실제 조합만 기록</x:v>
      </x:c>
      <x:c r="I295" s="5" t="str">
        <x:v>미실행</x:v>
      </x:c>
      <x:c r="J295" s="5" t="str">
        <x:v>사람의 평가/원문등급 판정을 자동 생성하지 않음</x:v>
      </x:c>
      <x:c r="K295" s="5" t="str"/>
      <x:c r="L295" s="5" t="str"/>
      <x:c r="M295" s="5" t="str"/>
    </x:row>
    <x:row r="296" ht="39.599998474121094" hidden="0" customHeight="1">
      <x:c r="A296" s="5" t="str">
        <x:v>MAN-OPS-005</x:v>
      </x:c>
      <x:c r="B296" s="5" t="str">
        <x:v>수동</x:v>
      </x:c>
      <x:c r="C296" s="5" t="str"/>
      <x:c r="D296" s="5" t="str">
        <x:v>OPS-005 지원 버전과 공급망</x:v>
      </x:c>
      <x:c r="E296" s="5" t="str">
        <x:v>OPS-005</x:v>
      </x:c>
      <x:c r="F296" s="5" t="str">
        <x:v>1. 원문 SRC-003  / 쪽과 적용조건을 확인한다. 2. S01~S08 / 공통의 일반사용자·관리자 및 기본/오류/로딩/완료/모바일 상태 중 관련 범위를 열어 확인한다. 3. 지원 상태와 실제 의존성 목록 대조. 4. 미검사 범위와 실제 환경·검사자·관찰·증빙을 기록한다.</x:v>
      </x:c>
      <x:c r="G296" s="5" t="str">
        <x:v>지원 종료·취약점·라이선스 변경을 정기 재검토한다. 구체화: SDK/패키지 버전·SBOM·검토주기 기록</x:v>
      </x:c>
      <x:c r="H296" s="5" t="str">
        <x:v>원문 검토 + 실제 브라우저/필요 AT. NVDA·TalkBack·VoiceOver는 확보한 실제 조합만 기록</x:v>
      </x:c>
      <x:c r="I296" s="5" t="str">
        <x:v>미실행</x:v>
      </x:c>
      <x:c r="J296" s="5" t="str">
        <x:v>사람의 평가/원문등급 판정을 자동 생성하지 않음</x:v>
      </x:c>
      <x:c r="K296" s="5" t="str"/>
      <x:c r="L296" s="5" t="str"/>
      <x:c r="M296" s="5" t="str"/>
    </x:row>
    <x:row r="297" ht="39.599998474121094" hidden="0" customHeight="1">
      <x:c r="A297" s="5" t="str">
        <x:v>MAN-OPS-006</x:v>
      </x:c>
      <x:c r="B297" s="5" t="str">
        <x:v>수동</x:v>
      </x:c>
      <x:c r="C297" s="5" t="str"/>
      <x:c r="D297" s="5" t="str">
        <x:v>OPS-006 운영 인수와 배포</x:v>
      </x:c>
      <x:c r="E297" s="5" t="str">
        <x:v>OPS-006</x:v>
      </x:c>
      <x:c r="F297" s="5" t="str">
        <x:v>1. 원문 SRC-003  / 쪽과 적용조건을 확인한다. 2. S01~S08 / 공통의 일반사용자·관리자 및 기본/오류/로딩/완료/모바일 상태 중 관련 범위를 열어 확인한다. 3. 새 환경 재현과 운영 전 미조치 목록 검토. 4. 미검사 범위와 실제 환경·검사자·관찰·증빙을 기록한다.</x:v>
      </x:c>
      <x:c r="G297" s="5" t="str">
        <x:v>로컬 검증·CI 설정·실제 배포 성공을 별도로 기록한다. 구체화: 실행/중지/설정/복구 RUNBOOK과 인수 항목</x:v>
      </x:c>
      <x:c r="H297" s="5" t="str">
        <x:v>원문 검토 + 실제 브라우저/필요 AT. NVDA·TalkBack·VoiceOver는 확보한 실제 조합만 기록</x:v>
      </x:c>
      <x:c r="I297" s="5" t="str">
        <x:v>미실행</x:v>
      </x:c>
      <x:c r="J297" s="5" t="str">
        <x:v>사람의 평가/원문등급 판정을 자동 생성하지 않음</x:v>
      </x:c>
      <x:c r="K297" s="5" t="str"/>
      <x:c r="L297" s="5" t="str"/>
      <x:c r="M297" s="5" t="str"/>
    </x:row>
    <x:row r="298" ht="39.599998474121094" hidden="0" customHeight="1">
      <x:c r="A298" s="5" t="str">
        <x:v>MAN-DOC-001</x:v>
      </x:c>
      <x:c r="B298" s="5" t="str">
        <x:v>수동</x:v>
      </x:c>
      <x:c r="C298" s="5" t="str"/>
      <x:c r="D298" s="5" t="str">
        <x:v>DOC-001 단일 원장</x:v>
      </x:c>
      <x:c r="E298" s="5" t="str">
        <x:v>DOC-001</x:v>
      </x:c>
      <x:c r="F298" s="5" t="str">
        <x:v>1. 원문 SRC-003  / 쪽과 적용조건을 확인한다. 2. S01~S08 / 공통의 일반사용자·관리자 및 기본/오류/로딩/완료/모바일 상태 중 관련 범위를 열어 확인한다. 3. 규칙ID 중복·누락과 파일간 집계 일치 확인. 4. 미검사 범위와 실제 환경·검사자·관찰·증빙을 기록한다.</x:v>
      </x:c>
      <x:c r="G298" s="5" t="str">
        <x:v>표준 정의와 적용·증빙 기록에서 Excel/PPT를 함께 생성한다. 구체화: catalog와 application/evidence JSON 분리</x:v>
      </x:c>
      <x:c r="H298" s="5" t="str">
        <x:v>원문 검토 + 실제 브라우저/필요 AT. NVDA·TalkBack·VoiceOver는 확보한 실제 조합만 기록</x:v>
      </x:c>
      <x:c r="I298" s="5" t="str">
        <x:v>미실행</x:v>
      </x:c>
      <x:c r="J298" s="5" t="str">
        <x:v>사람의 평가/원문등급 판정을 자동 생성하지 않음</x:v>
      </x:c>
      <x:c r="K298" s="5" t="str"/>
      <x:c r="L298" s="5" t="str"/>
      <x:c r="M298" s="5" t="str"/>
    </x:row>
    <x:row r="299" ht="39.599998474121094" hidden="0" customHeight="1">
      <x:c r="A299" s="5" t="str">
        <x:v>MAN-DOC-002</x:v>
      </x:c>
      <x:c r="B299" s="5" t="str">
        <x:v>수동</x:v>
      </x:c>
      <x:c r="C299" s="5" t="str"/>
      <x:c r="D299" s="5" t="str">
        <x:v>DOC-002 증빙의 재현성</x:v>
      </x:c>
      <x:c r="E299" s="5" t="str">
        <x:v>DOC-002</x:v>
      </x:c>
      <x:c r="F299" s="5" t="str">
        <x:v>1. 원문 SRC-003  / 쪽과 적용조건을 확인한다. 2. S01~S08 / 공통의 일반사용자·관리자 및 기본/오류/로딩/완료/모바일 상태 중 관련 범위를 열어 확인한다. 3. 경로존재·hash·commit 일치와 실제 로그 확인. 4. 미검사 범위와 실제 환경·검사자·관찰·증빙을 기록한다.</x:v>
      </x:c>
      <x:c r="G299" s="5" t="str">
        <x:v>시험시각·commit·도구·명령·환경·종료코드·hash를 남긴다. 구체화: 실제 실행별 evidence manifest 생성</x:v>
      </x:c>
      <x:c r="H299" s="5" t="str">
        <x:v>원문 검토 + 실제 브라우저/필요 AT. NVDA·TalkBack·VoiceOver는 확보한 실제 조합만 기록</x:v>
      </x:c>
      <x:c r="I299" s="5" t="str">
        <x:v>미실행</x:v>
      </x:c>
      <x:c r="J299" s="5" t="str">
        <x:v>사람의 평가/원문등급 판정을 자동 생성하지 않음</x:v>
      </x:c>
      <x:c r="K299" s="5" t="str"/>
      <x:c r="L299" s="5" t="str"/>
      <x:c r="M299" s="5" t="str"/>
    </x:row>
    <x:row r="300" ht="39.599998474121094" hidden="0" customHeight="1">
      <x:c r="A300" s="5" t="str">
        <x:v>MAN-DOC-003</x:v>
      </x:c>
      <x:c r="B300" s="5" t="str">
        <x:v>수동</x:v>
      </x:c>
      <x:c r="C300" s="5" t="str"/>
      <x:c r="D300" s="5" t="str">
        <x:v>DOC-003 통과의 전제조건</x:v>
      </x:c>
      <x:c r="E300" s="5" t="str">
        <x:v>DOC-003</x:v>
      </x:c>
      <x:c r="F300" s="5" t="str">
        <x:v>1. 원문 SRC-003  / 쪽과 적용조건을 확인한다. 2. S01~S08 / 공통의 일반사용자·관리자 및 기본/오류/로딩/완료/모바일 상태 중 관련 범위를 열어 확인한다. 3. 일부 필드만 채운 상태가 통과되지 않음을 확인. 4. 미검사 범위와 실제 환경·검사자·관찰·증빙을 기록한다.</x:v>
      </x:c>
      <x:c r="G300" s="5" t="str">
        <x:v>구현·필요 자동/수동 시험·증빙·검토가 모두 있어야 통과다. 구체화: 증빙 없는 PASS를 집계에서 제외</x:v>
      </x:c>
      <x:c r="H300" s="5" t="str">
        <x:v>원문 검토 + 실제 브라우저/필요 AT. NVDA·TalkBack·VoiceOver는 확보한 실제 조합만 기록</x:v>
      </x:c>
      <x:c r="I300" s="5" t="str">
        <x:v>미실행</x:v>
      </x:c>
      <x:c r="J300" s="5" t="str">
        <x:v>사람의 평가/원문등급 판정을 자동 생성하지 않음</x:v>
      </x:c>
      <x:c r="K300" s="5" t="str"/>
      <x:c r="L300" s="5" t="str"/>
      <x:c r="M300" s="5" t="str"/>
    </x:row>
    <x:row r="301" ht="39.599998474121094" hidden="0" customHeight="1">
      <x:c r="A301" s="5" t="str">
        <x:v>MAN-DOC-004</x:v>
      </x:c>
      <x:c r="B301" s="5" t="str">
        <x:v>수동</x:v>
      </x:c>
      <x:c r="C301" s="5" t="str"/>
      <x:c r="D301" s="5" t="str">
        <x:v>DOC-004 예외와 미실행 구분</x:v>
      </x:c>
      <x:c r="E301" s="5" t="str">
        <x:v>DOC-004</x:v>
      </x:c>
      <x:c r="F301" s="5" t="str">
        <x:v>1. 원문 SRC-003  / 쪽과 적용조건을 확인한다. 2. S01~S08 / 공통의 일반사용자·관리자 및 기본/오류/로딩/완료/모바일 상태 중 관련 범위를 열어 확인한다. 3. 회사 승인 편차를 외부표준 PASS로 집계 금지. 4. 미검사 범위와 실제 환경·검사자·관찰·증빙을 기록한다.</x:v>
      </x:c>
      <x:c r="G301" s="5" t="str">
        <x:v>공식 허용 예외·회사 편차·미실행을 분리한다. 구체화: 공식조항/조건증빙과 회사 승인/만료일 별도</x:v>
      </x:c>
      <x:c r="H301" s="5" t="str">
        <x:v>원문 검토 + 실제 브라우저/필요 AT. NVDA·TalkBack·VoiceOver는 확보한 실제 조합만 기록</x:v>
      </x:c>
      <x:c r="I301" s="5" t="str">
        <x:v>미실행</x:v>
      </x:c>
      <x:c r="J301" s="5" t="str">
        <x:v>사람의 평가/원문등급 판정을 자동 생성하지 않음</x:v>
      </x:c>
      <x:c r="K301" s="5" t="str"/>
      <x:c r="L301" s="5" t="str"/>
      <x:c r="M301" s="5" t="str"/>
    </x:row>
    <x:row r="302" ht="39.599998474121094" hidden="0" customHeight="1">
      <x:c r="A302" s="5" t="str">
        <x:v>MAN-DOC-005</x:v>
      </x:c>
      <x:c r="B302" s="5" t="str">
        <x:v>수동</x:v>
      </x:c>
      <x:c r="C302" s="5" t="str"/>
      <x:c r="D302" s="5" t="str">
        <x:v>DOC-005 접근 가능한 보고서</x:v>
      </x:c>
      <x:c r="E302" s="5" t="str">
        <x:v>DOC-005</x:v>
      </x:c>
      <x:c r="F302" s="5" t="str">
        <x:v>1. 원문 SRC-003  / 쪽과 적용조건을 확인한다. 2. S03의 일반사용자·관리자 및 기본/오류/로딩/완료/모바일 상태 중 관련 범위를 열어 확인한다. 3. 읽기순서·텍스트 검색·배율·시각 QA. 4. 미검사 범위와 실제 환경·검사자·관찰·증빙을 기록한다.</x:v>
      </x:c>
      <x:c r="G302" s="5" t="str">
        <x:v>편집 가능한 표·제목·대체텍스트·대비와 HTML 대안을 제공한다. 구체화: PPT native objects, Excel 헤더/필터, HTML 보고서</x:v>
      </x:c>
      <x:c r="H302" s="5" t="str">
        <x:v>원문 검토 + 실제 브라우저/필요 AT. NVDA·TalkBack·VoiceOver는 확보한 실제 조합만 기록</x:v>
      </x:c>
      <x:c r="I302" s="5" t="str">
        <x:v>미실행</x:v>
      </x:c>
      <x:c r="J302" s="5" t="str">
        <x:v>사람의 평가/원문등급 판정을 자동 생성하지 않음</x:v>
      </x:c>
      <x:c r="K302" s="5" t="str"/>
      <x:c r="L302" s="5" t="str"/>
      <x:c r="M302" s="5" t="str"/>
    </x:row>
    <x:row r="303" ht="39.599998474121094" hidden="0" customHeight="1">
      <x:c r="A303" s="5" t="str">
        <x:v>MAN-DOC-006</x:v>
      </x:c>
      <x:c r="B303" s="5" t="str">
        <x:v>수동</x:v>
      </x:c>
      <x:c r="C303" s="5" t="str"/>
      <x:c r="D303" s="5" t="str">
        <x:v>DOC-006 변경요약과 재사용</x:v>
      </x:c>
      <x:c r="E303" s="5" t="str">
        <x:v>DOC-006</x:v>
      </x:c>
      <x:c r="F303" s="5" t="str">
        <x:v>1. 원문 SRC-003  / 쪽과 적용조건을 확인한다. 2. S01~S08 / 공통의 일반사용자·관리자 및 기본/오류/로딩/완료/모바일 상태 중 관련 범위를 열어 확인한다. 3. 새 프로젝트가 동일 기준을 재현하는지 검토. 4. 미검사 범위와 실제 환경·검사자·관찰·증빙을 기록한다.</x:v>
      </x:c>
      <x:c r="G303" s="5" t="str">
        <x:v>표준·코드·도구설정 변경과 영향규칙을 함께 남긴다. 구체화: CHANGE_SUMMARY와 ADR, 회사 템플릿 분리</x:v>
      </x:c>
      <x:c r="H303" s="5" t="str">
        <x:v>원문 검토 + 실제 브라우저/필요 AT. NVDA·TalkBack·VoiceOver는 확보한 실제 조합만 기록</x:v>
      </x:c>
      <x:c r="I303" s="5" t="str">
        <x:v>미실행</x:v>
      </x:c>
      <x:c r="J303" s="5" t="str">
        <x:v>사람의 평가/원문등급 판정을 자동 생성하지 않음</x:v>
      </x:c>
      <x:c r="K303" s="5" t="str"/>
      <x:c r="L303" s="5" t="str"/>
      <x:c r="M303" s="5" t="str"/>
    </x:row>
    <x:row r="304" ht="79.19999694824219" hidden="0" customHeight="1">
      <x:c r="A304" s="5" t="str">
        <x:v>AUTO-LEDGER</x:v>
      </x:c>
      <x:c r="B304" s="5" t="str">
        <x:v>자동</x:v>
      </x:c>
      <x:c r="C304" s="5" t="str"/>
      <x:c r="D304" s="5" t="str">
        <x:v>AUTO-LEDGER</x:v>
      </x:c>
      <x:c r="E304" s="5" t="str">
        <x:v>GOV-004
GOV-007
DOC-001
DOC-002
DOC-003
DOC-004</x:v>
      </x:c>
      <x:c r="F304" s="5" t="str">
        <x:v>evidence의 command와 환경으로 실제 실행; 기록된 assertion 범위만 확인</x:v>
      </x:c>
      <x:c r="G304" s="5" t="str">
        <x:v>실제 검사 assertion 및 로그 일치. 관련 원문 조항의 전수 통과를 의미하지 않음</x:v>
      </x:c>
      <x:c r="H304" s="5" t="str">
        <x:v>로컬 macOS / Chromium / Node / .NET10</x:v>
      </x:c>
      <x:c r="I304" s="5" t="str">
        <x:v>통과</x:v>
      </x:c>
      <x:c r="J304" s="5" t="str">
        <x:v>실제 종료코드 0. 명령의 출력 로그 참조</x:v>
      </x:c>
      <x:c r="K304" s="5" t="str">
        <x:v>AUTO-LEDGER-2026-10-20T06-18-33-156Z</x:v>
      </x:c>
      <x:c r="L304" s="5" t="str"/>
      <x:c r="M304" s="5" t="str"/>
    </x:row>
    <x:row r="305" ht="92.4000015258789" hidden="0" customHeight="1">
      <x:c r="A305" s="5" t="str">
        <x:v>AUTO-FRONTEND</x:v>
      </x:c>
      <x:c r="B305" s="5" t="str">
        <x:v>자동</x:v>
      </x:c>
      <x:c r="C305" s="5" t="str"/>
      <x:c r="D305" s="5" t="str">
        <x:v>AUTO-FRONTEND</x:v>
      </x:c>
      <x:c r="E305" s="5" t="str">
        <x:v>COD-001
COD-002
COD-003
COD-009
COD-011
COD-012
QA-001</x:v>
      </x:c>
      <x:c r="F305" s="5" t="str">
        <x:v>evidence의 command와 환경으로 실제 실행; 기록된 assertion 범위만 확인</x:v>
      </x:c>
      <x:c r="G305" s="5" t="str">
        <x:v>실제 검사 assertion 및 로그 일치. 관련 원문 조항의 전수 통과를 의미하지 않음</x:v>
      </x:c>
      <x:c r="H305" s="5" t="str">
        <x:v>로컬 macOS / Chromium / Node / .NET10</x:v>
      </x:c>
      <x:c r="I305" s="5" t="str">
        <x:v>통과</x:v>
      </x:c>
      <x:c r="J305" s="5" t="str">
        <x:v>실제 종료코드 0. 명령의 출력 로그 참조</x:v>
      </x:c>
      <x:c r="K305" s="5" t="str">
        <x:v>AUTO-FRONTEND-2026-10-20T06-16-58-989Z</x:v>
      </x:c>
      <x:c r="L305" s="5" t="str"/>
      <x:c r="M305" s="5" t="str"/>
    </x:row>
    <x:row r="306" ht="330" hidden="0" customHeight="1">
      <x:c r="A306" s="5" t="str">
        <x:v>AUTO-BACKEND</x:v>
      </x:c>
      <x:c r="B306" s="5" t="str">
        <x:v>자동</x:v>
      </x:c>
      <x:c r="C306" s="5" t="str"/>
      <x:c r="D306" s="5" t="str">
        <x:v>AUTO-BACKEND</x:v>
      </x:c>
      <x:c r="E306" s="5" t="str">
        <x:v>COD-004
COD-005
COD-006
COD-007
COD-008
COD-015
COD-016
COD-017
COD-018
SEC-002
SEC-004
SEC-005
SEC-006
SEC-007
SEC-008
SEC-009
SEC-010
SEC-012
SEC-013
QA-002
QA-003
QA-004
OPS-001
OPS-002
OPS-004</x:v>
      </x:c>
      <x:c r="F306" s="5" t="str">
        <x:v>evidence의 command와 환경으로 실제 실행; 기록된 assertion 범위만 확인</x:v>
      </x:c>
      <x:c r="G306" s="5" t="str">
        <x:v>실제 검사 assertion 및 로그 일치. 관련 원문 조항의 전수 통과를 의미하지 않음</x:v>
      </x:c>
      <x:c r="H306" s="5" t="str">
        <x:v>로컬 macOS / Chromium / Node / .NET10</x:v>
      </x:c>
      <x:c r="I306" s="5" t="str">
        <x:v>통과</x:v>
      </x:c>
      <x:c r="J306" s="5" t="str">
        <x:v>실제 종료코드 0. 명령의 출력 로그 참조</x:v>
      </x:c>
      <x:c r="K306" s="5" t="str">
        <x:v>AUTO-BACKEND-2026-10-20T06-17-05-753Z</x:v>
      </x:c>
      <x:c r="L306" s="5" t="str"/>
      <x:c r="M306" s="5" t="str"/>
    </x:row>
    <x:row r="307" ht="39.599998474121094" hidden="0" customHeight="1">
      <x:c r="A307" s="5" t="str">
        <x:v>AUTO-EXPORT</x:v>
      </x:c>
      <x:c r="B307" s="5" t="str">
        <x:v>자동</x:v>
      </x:c>
      <x:c r="C307" s="5" t="str"/>
      <x:c r="D307" s="5" t="str">
        <x:v>AUTO-EXPORT</x:v>
      </x:c>
      <x:c r="E307" s="5" t="str">
        <x:v>SEC-015
DOC-001
UI-127</x:v>
      </x:c>
      <x:c r="F307" s="5" t="str">
        <x:v>evidence의 command와 환경으로 실제 실행; 기록된 assertion 범위만 확인</x:v>
      </x:c>
      <x:c r="G307" s="5" t="str">
        <x:v>실제 검사 assertion 및 로그 일치. 관련 원문 조항의 전수 통과를 의미하지 않음</x:v>
      </x:c>
      <x:c r="H307" s="5" t="str">
        <x:v>로컬 macOS / Chromium / Node / .NET10</x:v>
      </x:c>
      <x:c r="I307" s="5" t="str">
        <x:v>통과</x:v>
      </x:c>
      <x:c r="J307" s="5" t="str">
        <x:v>실제 종료코드 0. 명령의 출력 로그 참조</x:v>
      </x:c>
      <x:c r="K307" s="5" t="str">
        <x:v>AUTO-EXPORT-2026-10-20T06-18-28-443Z</x:v>
      </x:c>
      <x:c r="L307" s="5" t="str"/>
      <x:c r="M307" s="5" t="str"/>
    </x:row>
    <x:row r="308" ht="211.1999969482422" hidden="0" customHeight="1">
      <x:c r="A308" s="5" t="str">
        <x:v>E2E-WORKFLOW</x:v>
      </x:c>
      <x:c r="B308" s="5" t="str">
        <x:v>자동</x:v>
      </x:c>
      <x:c r="C308" s="5" t="str"/>
      <x:c r="D308" s="5" t="str">
        <x:v>E2E-WORKFLOW</x:v>
      </x:c>
      <x:c r="E308" s="5" t="str">
        <x:v>QA-005
UI-084
UI-085
UI-092
UI-093
WCA-048
WCA-049
WCA-052
KWA-028
KWA-029
KWA-031</x:v>
      </x:c>
      <x:c r="F308" s="5" t="str">
        <x:v>evidence의 command와 환경으로 실제 실행; 기록된 assertion 범위만 확인</x:v>
      </x:c>
      <x:c r="G308" s="5" t="str">
        <x:v>실제 검사 assertion 및 로그 일치. 관련 원문 조항의 전수 통과를 의미하지 않음</x:v>
      </x:c>
      <x:c r="H308" s="5" t="str">
        <x:v>로컬 macOS / Chromium / Node / .NET10</x:v>
      </x:c>
      <x:c r="I308" s="5" t="str">
        <x:v>통과</x:v>
      </x:c>
      <x:c r="J308" s="5" t="str">
        <x:v>{"assertions":"실제 로그인→검증오류→단계뒤로입력보존→첨부포함등록→파일바이트다운로드→관리자처리중/완료→이력 확인","requestUrl":"/requests/14","screenshots":[{"path":"evidence/browser/2026-10-20T06-15-00-647Z/screenshots/login.png","sha256":"15b92f0d047b5d78b64693b5990a0109c3179ac4d543ff7bff03e9f85e10e096"},{"path":"evidence/browser/2026-10-20T06-15-00-647Z/screenshots/dashboard.png","sha256":"be0315651867b88c923967d2dd3c8e499d938af7dfee5c6bc0b76eefb9c422e7"},{"path":"evidence/browser/2026-10-20T06-15-00-647Z/screenshots/form-error.png","sha256":"4e307ce1ecdc495a6c23731b88da323d25b518d904c76ce2d1c8ea7b59fd1e5c"},{"path":"evidence/browser/2026-10-20T06-15-00-647Z/screenshots/form.png","sha256":"44406594c3e19291c558252f168d45df6140a95c28ebbb7061c7069bb86e491b"},{"path":"evidence/browser/2026-10-20T06-15-00-647Z/screenshots/complete.png","sha256":"77ba00249f30b5a8de0267e9cd2a1ca66946546f6880ff088d701f18b07613f5"},{"path":"evidence/browser/2026-10-20T06-15-00-647Z/screenshots/detail.png","sha256":"66ecd576ecc4676865de0acc934525f5c6730e5d8d87aff0b6c4f439161e9d35"},{"path":"evidence/browser/2026-10-20T06-15-00-647Z/screenshots/modal.png","sha256":"2b5be3c554ba3e148cec6e1c3c03bdc68a54f942420f3e23ebc02b2190f59b14"}]}</x:v>
      </x:c>
      <x:c r="K308" s="5" t="str">
        <x:v>E2E-WORKFLOW-2026-10-20T06-15-00-647Z</x:v>
      </x:c>
      <x:c r="L308" s="5" t="str"/>
      <x:c r="M308" s="5" t="str"/>
    </x:row>
    <x:row r="309" ht="118.80000305175781" hidden="0" customHeight="1">
      <x:c r="A309" s="5" t="str">
        <x:v>E2E-HELP</x:v>
      </x:c>
      <x:c r="B309" s="5" t="str">
        <x:v>자동</x:v>
      </x:c>
      <x:c r="C309" s="5" t="str"/>
      <x:c r="D309" s="5" t="str">
        <x:v>E2E-HELP</x:v>
      </x:c>
      <x:c r="E309" s="5" t="str">
        <x:v>DOC-001
DOC-006
SEC-015
UI-127
INC-012</x:v>
      </x:c>
      <x:c r="F309" s="5" t="str">
        <x:v>evidence의 command와 환경으로 실제 실행; 기록된 assertion 범위만 확인</x:v>
      </x:c>
      <x:c r="G309" s="5" t="str">
        <x:v>실제 검사 assertion 및 로그 일치. 관련 원문 조항의 전수 통과를 의미하지 않음</x:v>
      </x:c>
      <x:c r="H309" s="5" t="str">
        <x:v>로컬 macOS / Chromium / Node / .NET10</x:v>
      </x:c>
      <x:c r="I309" s="5" t="str">
        <x:v>통과</x:v>
      </x:c>
      <x:c r="J309" s="5" t="str">
        <x:v>{"assertions":"297개 원장 로드, MDR확인필요, ID검색, 출처/시험/증빙 복사, JSON/CSV/Markdown 필터결과 다운로드, 권한거부시 수동복사 대화상자","downloads":[{"name":"FlowCore_표준_2026-10-20.json","bytes":654221,"sha256":"a46388a98f2fe96407e89a84d91de0e45f6384c8f5d856c9811c64eef0234bd1"},{"name":"FlowCore_표준_2026-10-20.csv","bytes":9863,"sha256":"2ae6f50b749afe3cd1ed9e91c79bb7b40f069d6adbd66831f54b3856815f8631"},{"name":"FlowCore_표준_2026-10-20.md","bytes":12620,"sha256":"d12f5bc7812929b27338abe3484de9ec536fcb0d687374918e6d18524dea127b"}],"screenshots":[{"path":"evidence/browser/2026-10-20T06-15-00-647Z/screenshots/help.png","sha256":"3c31b2f849ee469051a02a99fc0dd1d27df4e1f3897948cc11445aac8040debe"}]}</x:v>
      </x:c>
      <x:c r="K309" s="5" t="str">
        <x:v>E2E-HELP-2026-10-20T06-15-00-647Z</x:v>
      </x:c>
      <x:c r="L309" s="5" t="str"/>
      <x:c r="M309" s="5" t="str"/>
    </x:row>
    <x:row r="310" ht="105.5999984741211" hidden="0" customHeight="1">
      <x:c r="A310" s="5" t="str">
        <x:v>E2E-KEYBOARD</x:v>
      </x:c>
      <x:c r="B310" s="5" t="str">
        <x:v>자동</x:v>
      </x:c>
      <x:c r="C310" s="5" t="str"/>
      <x:c r="D310" s="5" t="str">
        <x:v>E2E-KEYBOARD</x:v>
      </x:c>
      <x:c r="E310" s="5" t="str">
        <x:v>KWA-010
KWA-011
KWA-017
WCA-021
WCA-022
WCA-027
WCA-029
WCA-033</x:v>
      </x:c>
      <x:c r="F310" s="5" t="str">
        <x:v>evidence의 command와 환경으로 실제 실행; 기록된 assertion 범위만 확인</x:v>
      </x:c>
      <x:c r="G310" s="5" t="str">
        <x:v>실제 검사 assertion 및 로그 일치. 관련 원문 조항의 전수 통과를 의미하지 않음</x:v>
      </x:c>
      <x:c r="H310" s="5" t="str">
        <x:v>로컬 macOS / Chromium / Node / .NET10</x:v>
      </x:c>
      <x:c r="I310" s="5" t="str">
        <x:v>통과</x:v>
      </x:c>
      <x:c r="J310" s="5" t="str">
        <x:v>{"assertions":"키보드로 모달열기/Tab8회내부유지/Escape닫기/원래버튼초점복귀, 본문바로가기 초점, 갤러리오류·로딩","screenshots":[{"path":"evidence/browser/2026-10-20T06-15-00-647Z/screenshots/gallery.png","sha256":"082261576c7bf5a37601af3a1d223a1ed10ca12003aa240212b846f05945afb6"}],"limitations":"전체 업무과정 키보드 전수 수동평가는 별도 미실행"}</x:v>
      </x:c>
      <x:c r="K310" s="5" t="str">
        <x:v>E2E-KEYBOARD-2026-10-20T06-15-00-647Z</x:v>
      </x:c>
      <x:c r="L310" s="5" t="str"/>
      <x:c r="M310" s="5" t="str"/>
    </x:row>
    <x:row r="311" ht="118.80000305175781" hidden="0" customHeight="1">
      <x:c r="A311" s="5" t="str">
        <x:v>E2E-REFLOW</x:v>
      </x:c>
      <x:c r="B311" s="5" t="str">
        <x:v>자동</x:v>
      </x:c>
      <x:c r="C311" s="5" t="str"/>
      <x:c r="D311" s="5" t="str">
        <x:v>E2E-REFLOW</x:v>
      </x:c>
      <x:c r="E311" s="5" t="str">
        <x:v>QA-009
WCA-010
WCA-015
WCA-017
WCA-019
INC-002</x:v>
      </x:c>
      <x:c r="F311" s="5" t="str">
        <x:v>evidence의 command와 환경으로 실제 실행; 기록된 assertion 범위만 확인</x:v>
      </x:c>
      <x:c r="G311" s="5" t="str">
        <x:v>실제 검사 assertion 및 로그 일치. 관련 원문 조항의 전수 통과를 의미하지 않음</x:v>
      </x:c>
      <x:c r="H311" s="5" t="str">
        <x:v>로컬 macOS / Chromium / Node / .NET10</x:v>
      </x:c>
      <x:c r="I311" s="5" t="str">
        <x:v>통과</x:v>
      </x:c>
      <x:c r="J311" s="5" t="str">
        <x:v>{"widths":[{"route":"/","viewport":320,"document":320},{"route":"/requests","viewport":320,"document":320},{"route":"/requests/new","viewport":320,"document":320},{"route":"/help","viewport":320,"document":320},{"route":"/gallery","viewport":320,"document":320},{"route":"/privacy","viewport":320,"document":320}],"screenshots":[{"path":"evidence/browser/2026-10-20T06-15-00-647Z/screenshots/mobile.png","sha256":"85228a02d757ebfa32484e1a827db9f5e3ae064ad96a5db2607a70cea8a52151"},{"path":"evidence/browser/2026-10-20T06-15-00-647Z/screenshots/text-spacing.png","sha256":"e90f024ddbf74ed3423ad4dc70f47bf8ea1196bf43c25c7d381286cbfc2458bc"}],"limitations":"320CSS px 가상viewport 및 DOM검사. 실제400%브라우저확대/200%텍스트확대/시각정보손실 전수판정 미실행"}</x:v>
      </x:c>
      <x:c r="K311" s="5" t="str">
        <x:v>E2E-REFLOW-2026-10-20T06-15-00-647Z</x:v>
      </x:c>
      <x:c r="L311" s="5" t="str"/>
      <x:c r="M311" s="5" t="str"/>
    </x:row>
    <x:row r="312" ht="105.5999984741211" hidden="0" customHeight="1">
      <x:c r="A312" s="5" t="str">
        <x:v>E2E-ERROR</x:v>
      </x:c>
      <x:c r="B312" s="5" t="str">
        <x:v>자동</x:v>
      </x:c>
      <x:c r="C312" s="5" t="str"/>
      <x:c r="D312" s="5" t="str">
        <x:v>E2E-ERROR</x:v>
      </x:c>
      <x:c r="E312" s="5" t="str">
        <x:v>UI-098
WCA-048
WCA-050
WCA-055
KWA-028</x:v>
      </x:c>
      <x:c r="F312" s="5" t="str">
        <x:v>evidence의 command와 환경으로 실제 실행; 기록된 assertion 범위만 확인</x:v>
      </x:c>
      <x:c r="G312" s="5" t="str">
        <x:v>실제 검사 assertion 및 로그 일치. 관련 원문 조항의 전수 통과를 의미하지 않음</x:v>
      </x:c>
      <x:c r="H312" s="5" t="str">
        <x:v>로컬 macOS / Chromium / Node / .NET10</x:v>
      </x:c>
      <x:c r="I312" s="5" t="str">
        <x:v>통과</x:v>
      </x:c>
      <x:c r="J312" s="5" t="str">
        <x:v>{"assertions":"503주입/재시도복구·빈검색결과·URL유지 및 실제API로변조된DTO전송→실제400→오류단계복귀/필드오류/입력보존","screenshots":[{"path":"evidence/browser/2026-10-20T06-15-00-647Z/screenshots/server-error.png","sha256":"18088e47f98c80c8ff67a1467bc789949f8c265f77158c0a0e36e2174538464f"},{"path":"evidence/browser/2026-10-20T06-15-00-647Z/screenshots/empty-results.png","sha256":"c155b96f1efca6471f64c9534e2145d9542bdc77a0802703b1f591579a746975"},{"path":"evidence/browser/2026-10-20T06-15-00-647Z/screenshots/server-validation.png","sha256":"3ed35d8b24232c6c1ff3edfb2dc243ff440118bd85baaa97f89e76823043e410"}]}</x:v>
      </x:c>
      <x:c r="K312" s="5" t="str">
        <x:v>E2E-ERROR-2026-10-20T06-15-00-647Z</x:v>
      </x:c>
      <x:c r="L312" s="5" t="str"/>
      <x:c r="M312" s="5" t="str"/>
    </x:row>
    <x:row r="313" ht="198" hidden="0" customHeight="1">
      <x:c r="A313" s="5" t="str">
        <x:v>E2E-AXE</x:v>
      </x:c>
      <x:c r="B313" s="5" t="str">
        <x:v>자동</x:v>
      </x:c>
      <x:c r="C313" s="5" t="str"/>
      <x:c r="D313" s="5" t="str">
        <x:v>E2E-AXE</x:v>
      </x:c>
      <x:c r="E313" s="5" t="str">
        <x:v>QA-006
KWA-003
KWA-008
KWA-018
KWA-023
KWA-025
KWA-029
KWA-032
WCA-007
WCA-014
WCA-028
WCA-037
WCA-041
WCA-049
WCA-054</x:v>
      </x:c>
      <x:c r="F313" s="5" t="str">
        <x:v>evidence의 command와 환경으로 실제 실행; 기록된 assertion 범위만 확인</x:v>
      </x:c>
      <x:c r="G313" s="5" t="str">
        <x:v>실제 검사 assertion 및 로그 일치. 관련 원문 조항의 전수 통과를 의미하지 않음</x:v>
      </x:c>
      <x:c r="H313" s="5" t="str">
        <x:v>로컬 macOS / Chromium / Node / .NET10</x:v>
      </x:c>
      <x:c r="I313" s="5" t="str">
        <x:v>통과</x:v>
      </x:c>
      <x:c r="J313" s="5" t="str">
        <x:v>{"states":21,"violations":0,"incomplete":20,"raw":"evidence/browser/2026-10-20T06-15-00-647Z/axe-states.json","limitations":"incomplete는 자동판정 불가이며 통과로 간주하지 않음. 대표 상태의 자동검사만 수행."}</x:v>
      </x:c>
      <x:c r="K313" s="5" t="str">
        <x:v>E2E-AXE-2026-10-20T06-15-00-647Z</x:v>
      </x:c>
      <x:c r="L313" s="5" t="str"/>
      <x:c r="M313" s="5" t="str"/>
    </x:row>
    <x:row r="314" ht="39.599998474121094" hidden="0" customHeight="1">
      <x:c r="A314" s="5" t="str">
        <x:v>AUTO-AUDIT</x:v>
      </x:c>
      <x:c r="B314" s="5" t="str">
        <x:v>자동</x:v>
      </x:c>
      <x:c r="C314" s="5" t="str"/>
      <x:c r="D314" s="5" t="str">
        <x:v>AUTO-AUDIT</x:v>
      </x:c>
      <x:c r="E314" s="5" t="str">
        <x:v>GOV-008
SEC-014
OPS-005</x:v>
      </x:c>
      <x:c r="F314" s="5" t="str">
        <x:v>evidence의 command와 환경으로 실제 실행; 기록된 assertion 범위만 확인</x:v>
      </x:c>
      <x:c r="G314" s="5" t="str">
        <x:v>실제 검사 assertion 및 로그 일치. 관련 원문 조항의 전수 통과를 의미하지 않음</x:v>
      </x:c>
      <x:c r="H314" s="5" t="str">
        <x:v>로컬 macOS / Chromium / Node / .NET10</x:v>
      </x:c>
      <x:c r="I314" s="5" t="str">
        <x:v>통과</x:v>
      </x:c>
      <x:c r="J314" s="5" t="str">
        <x:v>실제 종료코드 0. 명령의 출력 로그 참조</x:v>
      </x:c>
      <x:c r="K314" s="5" t="str">
        <x:v>AUTO-AUDIT-2026-10-20T06-18-28-772Z</x:v>
      </x:c>
      <x:c r="L314" s="5" t="str"/>
      <x:c r="M314" s="5" t="str"/>
    </x:row>
    <x:row r="315" ht="39.599998474121094" hidden="0" customHeight="1">
      <x:c r="A315" s="5" t="str">
        <x:v>AUTO-SECRET</x:v>
      </x:c>
      <x:c r="B315" s="5" t="str">
        <x:v>자동</x:v>
      </x:c>
      <x:c r="C315" s="5" t="str"/>
      <x:c r="D315" s="5" t="str">
        <x:v>AUTO-SECRET</x:v>
      </x:c>
      <x:c r="E315" s="5" t="str">
        <x:v>SEC-008
SEC-014
QA-001</x:v>
      </x:c>
      <x:c r="F315" s="5" t="str">
        <x:v>evidence의 command와 환경으로 실제 실행; 기록된 assertion 범위만 확인</x:v>
      </x:c>
      <x:c r="G315" s="5" t="str">
        <x:v>실제 검사 assertion 및 로그 일치. 관련 원문 조항의 전수 통과를 의미하지 않음</x:v>
      </x:c>
      <x:c r="H315" s="5" t="str">
        <x:v>로컬 macOS / Chromium / Node / .NET10</x:v>
      </x:c>
      <x:c r="I315" s="5" t="str">
        <x:v>통과</x:v>
      </x:c>
      <x:c r="J315" s="5" t="str">
        <x:v>실제 종료코드 0. 명령의 출력 로그 참조</x:v>
      </x:c>
      <x:c r="K315" s="5" t="str">
        <x:v>AUTO-SECRET-2026-10-20T06-18-32-896Z</x:v>
      </x:c>
      <x:c r="L315" s="5" t="str"/>
      <x:c r="M315" s="5" t="str"/>
    </x:row>
    <x:row r="316" ht="66" hidden="0" customHeight="1">
      <x:c r="A316" s="5" t="str">
        <x:v>AUTO-DISTRIBUTION</x:v>
      </x:c>
      <x:c r="B316" s="5" t="str">
        <x:v>자동</x:v>
      </x:c>
      <x:c r="C316" s="5" t="str"/>
      <x:c r="D316" s="5" t="str">
        <x:v>AUTO-DISTRIBUTION</x:v>
      </x:c>
      <x:c r="E316" s="5" t="str">
        <x:v>OPS-006
GOV-006
DOC-005
SEC-011</x:v>
      </x:c>
      <x:c r="F316" s="5" t="str">
        <x:v>evidence의 command와 환경으로 실제 실행; 기록된 assertion 범위만 확인</x:v>
      </x:c>
      <x:c r="G316" s="5" t="str">
        <x:v>실제 검사 assertion 및 로그 일치. 관련 원문 조항의 전수 통과를 의미하지 않음</x:v>
      </x:c>
      <x:c r="H316" s="5" t="str">
        <x:v>로컬 macOS / Chromium / Node / .NET10</x:v>
      </x:c>
      <x:c r="I316" s="5" t="str">
        <x:v>통과</x:v>
      </x:c>
      <x:c r="J316" s="5" t="str">
        <x:v>{"observations":[{"file":"Company_SW_Standards_Register.xlsx","bytes":296757,"contentType":"application/vnd.openxmlformats-officedocument.spreadsheetml.sheet"},{"file":"Company_SW_Standards_Application_Report.pptx","bytes":1294677,"contentType":"application/vnd.openxmlformats-officedocument.presentationml.presentation"},{"reportSearch":"MDR-000 = 1개","clipboardReadback":true,"scriptErrors":[],"browser":"156.0.8078.4"}],"failure":""}</x:v>
      </x:c>
      <x:c r="K316" s="5" t="str">
        <x:v>AUTO-DISTRIBUTION-2026-10-20T06-16-19-409Z</x:v>
      </x:c>
      <x:c r="L316" s="5" t="str"/>
      <x:c r="M316" s="5" t="str"/>
    </x:row>
    <x:row r="317" ht="79.19999694824219" hidden="0" customHeight="1">
      <x:c r="A317" s="5" t="str">
        <x:v>SCREEN-LOGIN</x:v>
      </x:c>
      <x:c r="B317" s="5" t="str">
        <x:v>캡처</x:v>
      </x:c>
      <x:c r="C317" s="5" t="str"/>
      <x:c r="D317" s="5" t="str">
        <x:v>SCREEN-LOGIN</x:v>
      </x:c>
      <x:c r="E317" s="5" t="str">
        <x:v>UI-081
UI-082
UI-084
SEC-004
KWA-030
WCA-053</x:v>
      </x:c>
      <x:c r="F317" s="5" t="str">
        <x:v>evidence의 command와 환경으로 실제 실행; 기록된 assertion 범위만 확인</x:v>
      </x:c>
      <x:c r="G317" s="5" t="str">
        <x:v>실제 검사 assertion 및 로그 일치. 관련 원문 조항의 전수 통과를 의미하지 않음</x:v>
      </x:c>
      <x:c r="H317" s="5" t="str">
        <x:v>로컬 macOS / Chromium / Node / .NET10</x:v>
      </x:c>
      <x:c r="I317" s="5" t="str">
        <x:v>부분확인</x:v>
      </x:c>
      <x:c r="J317" s="5" t="str">
        <x:v>실제 실행화면 login, http://localhost:8000/, {"width":1440,"height":1100}</x:v>
      </x:c>
      <x:c r="K317" s="5" t="str">
        <x:v>SCREEN-LOGIN-2026-10-20T06-15-00-647Z</x:v>
      </x:c>
      <x:c r="L317" s="5" t="str"/>
      <x:c r="M317" s="5" t="str"/>
    </x:row>
    <x:row r="318" ht="26.399999618530273" hidden="0" customHeight="1">
      <x:c r="A318" s="5" t="str">
        <x:v>SCREEN-DASHBOARD</x:v>
      </x:c>
      <x:c r="B318" s="5" t="str">
        <x:v>캡처</x:v>
      </x:c>
      <x:c r="C318" s="5" t="str"/>
      <x:c r="D318" s="5" t="str">
        <x:v>SCREEN-DASHBOARD</x:v>
      </x:c>
      <x:c r="E318" s="5" t="str">
        <x:v>INC-009
UI-003</x:v>
      </x:c>
      <x:c r="F318" s="5" t="str">
        <x:v>evidence의 command와 환경으로 실제 실행; 기록된 assertion 범위만 확인</x:v>
      </x:c>
      <x:c r="G318" s="5" t="str">
        <x:v>실제 검사 assertion 및 로그 일치. 관련 원문 조항의 전수 통과를 의미하지 않음</x:v>
      </x:c>
      <x:c r="H318" s="5" t="str">
        <x:v>로컬 macOS / Chromium / Node / .NET10</x:v>
      </x:c>
      <x:c r="I318" s="5" t="str">
        <x:v>부분확인</x:v>
      </x:c>
      <x:c r="J318" s="5" t="str">
        <x:v>실제 실행화면 dashboard, http://localhost:8000/, {"width":1440,"height":1100}</x:v>
      </x:c>
      <x:c r="K318" s="5" t="str">
        <x:v>SCREEN-DASHBOARD-2026-10-20T06-15-00-647Z</x:v>
      </x:c>
      <x:c r="L318" s="5" t="str"/>
      <x:c r="M318" s="5" t="str"/>
    </x:row>
    <x:row r="319" ht="39.599998474121094" hidden="0" customHeight="1">
      <x:c r="A319" s="5" t="str">
        <x:v>SCREEN-FORM</x:v>
      </x:c>
      <x:c r="B319" s="5" t="str">
        <x:v>캡처</x:v>
      </x:c>
      <x:c r="C319" s="5" t="str"/>
      <x:c r="D319" s="5" t="str">
        <x:v>SCREEN-FORM</x:v>
      </x:c>
      <x:c r="E319" s="5" t="str">
        <x:v>KWA-029
WCA-049
WCA-052</x:v>
      </x:c>
      <x:c r="F319" s="5" t="str">
        <x:v>evidence의 command와 환경으로 실제 실행; 기록된 assertion 범위만 확인</x:v>
      </x:c>
      <x:c r="G319" s="5" t="str">
        <x:v>실제 검사 assertion 및 로그 일치. 관련 원문 조항의 전수 통과를 의미하지 않음</x:v>
      </x:c>
      <x:c r="H319" s="5" t="str">
        <x:v>로컬 macOS / Chromium / Node / .NET10</x:v>
      </x:c>
      <x:c r="I319" s="5" t="str">
        <x:v>부분확인</x:v>
      </x:c>
      <x:c r="J319" s="5" t="str">
        <x:v>실제 실행화면 form, http://localhost:8000/requests/new, {"width":1440,"height":1100}</x:v>
      </x:c>
      <x:c r="K319" s="5" t="str">
        <x:v>SCREEN-FORM-2026-10-20T06-15-00-647Z</x:v>
      </x:c>
      <x:c r="L319" s="5" t="str"/>
      <x:c r="M319" s="5" t="str"/>
    </x:row>
    <x:row r="320" ht="39.599998474121094" hidden="0" customHeight="1">
      <x:c r="A320" s="5" t="str">
        <x:v>SCREEN-FORM-ERROR</x:v>
      </x:c>
      <x:c r="B320" s="5" t="str">
        <x:v>캡처</x:v>
      </x:c>
      <x:c r="C320" s="5" t="str"/>
      <x:c r="D320" s="5" t="str">
        <x:v>SCREEN-FORM-ERROR</x:v>
      </x:c>
      <x:c r="E320" s="5" t="str">
        <x:v>KWA-028
WCA-048
WCA-050</x:v>
      </x:c>
      <x:c r="F320" s="5" t="str">
        <x:v>evidence의 command와 환경으로 실제 실행; 기록된 assertion 범위만 확인</x:v>
      </x:c>
      <x:c r="G320" s="5" t="str">
        <x:v>실제 검사 assertion 및 로그 일치. 관련 원문 조항의 전수 통과를 의미하지 않음</x:v>
      </x:c>
      <x:c r="H320" s="5" t="str">
        <x:v>로컬 macOS / Chromium / Node / .NET10</x:v>
      </x:c>
      <x:c r="I320" s="5" t="str">
        <x:v>부분확인</x:v>
      </x:c>
      <x:c r="J320" s="5" t="str">
        <x:v>실제 실행화면 form-error, http://localhost:8000/requests/new, {"width":1440,"height":1100}</x:v>
      </x:c>
      <x:c r="K320" s="5" t="str">
        <x:v>SCREEN-FORM-ERROR-2026-10-20T06-15-00-647Z</x:v>
      </x:c>
      <x:c r="L320" s="5" t="str"/>
      <x:c r="M320" s="5" t="str"/>
    </x:row>
    <x:row r="321" ht="26.399999618530273" hidden="0" customHeight="1">
      <x:c r="A321" s="5" t="str">
        <x:v>SCREEN-COMPLETE</x:v>
      </x:c>
      <x:c r="B321" s="5" t="str">
        <x:v>캡처</x:v>
      </x:c>
      <x:c r="C321" s="5" t="str"/>
      <x:c r="D321" s="5" t="str">
        <x:v>SCREEN-COMPLETE</x:v>
      </x:c>
      <x:c r="E321" s="5" t="str">
        <x:v>WCA-055
KWA-031</x:v>
      </x:c>
      <x:c r="F321" s="5" t="str">
        <x:v>evidence의 command와 환경으로 실제 실행; 기록된 assertion 범위만 확인</x:v>
      </x:c>
      <x:c r="G321" s="5" t="str">
        <x:v>실제 검사 assertion 및 로그 일치. 관련 원문 조항의 전수 통과를 의미하지 않음</x:v>
      </x:c>
      <x:c r="H321" s="5" t="str">
        <x:v>로컬 macOS / Chromium / Node / .NET10</x:v>
      </x:c>
      <x:c r="I321" s="5" t="str">
        <x:v>부분확인</x:v>
      </x:c>
      <x:c r="J321" s="5" t="str">
        <x:v>실제 실행화면 complete, http://localhost:8000/requests/new, {"width":1440,"height":1100}</x:v>
      </x:c>
      <x:c r="K321" s="5" t="str">
        <x:v>SCREEN-COMPLETE-2026-10-20T06-15-00-647Z</x:v>
      </x:c>
      <x:c r="L321" s="5" t="str"/>
      <x:c r="M321" s="5" t="str"/>
    </x:row>
    <x:row r="322" ht="26.399999618530273" hidden="0" customHeight="1">
      <x:c r="A322" s="5" t="str">
        <x:v>SCREEN-DETAIL</x:v>
      </x:c>
      <x:c r="B322" s="5" t="str">
        <x:v>캡처</x:v>
      </x:c>
      <x:c r="C322" s="5" t="str"/>
      <x:c r="D322" s="5" t="str">
        <x:v>SCREEN-DETAIL</x:v>
      </x:c>
      <x:c r="E322" s="5" t="str">
        <x:v>UI-067
SEC-005</x:v>
      </x:c>
      <x:c r="F322" s="5" t="str">
        <x:v>evidence의 command와 환경으로 실제 실행; 기록된 assertion 범위만 확인</x:v>
      </x:c>
      <x:c r="G322" s="5" t="str">
        <x:v>실제 검사 assertion 및 로그 일치. 관련 원문 조항의 전수 통과를 의미하지 않음</x:v>
      </x:c>
      <x:c r="H322" s="5" t="str">
        <x:v>로컬 macOS / Chromium / Node / .NET10</x:v>
      </x:c>
      <x:c r="I322" s="5" t="str">
        <x:v>부분확인</x:v>
      </x:c>
      <x:c r="J322" s="5" t="str">
        <x:v>실제 실행화면 detail, http://localhost:8000/requests/14, {"width":1440,"height":1100}</x:v>
      </x:c>
      <x:c r="K322" s="5" t="str">
        <x:v>SCREEN-DETAIL-2026-10-20T06-15-00-647Z</x:v>
      </x:c>
      <x:c r="L322" s="5" t="str"/>
      <x:c r="M322" s="5" t="str"/>
    </x:row>
    <x:row r="323" ht="26.399999618530273" hidden="0" customHeight="1">
      <x:c r="A323" s="5" t="str">
        <x:v>SCREEN-LIST</x:v>
      </x:c>
      <x:c r="B323" s="5" t="str">
        <x:v>캡처</x:v>
      </x:c>
      <x:c r="C323" s="5" t="str"/>
      <x:c r="D323" s="5" t="str">
        <x:v>SCREEN-LIST</x:v>
      </x:c>
      <x:c r="E323" s="5" t="str">
        <x:v>UI-076
UI-078</x:v>
      </x:c>
      <x:c r="F323" s="5" t="str">
        <x:v>evidence의 command와 환경으로 실제 실행; 기록된 assertion 범위만 확인</x:v>
      </x:c>
      <x:c r="G323" s="5" t="str">
        <x:v>실제 검사 assertion 및 로그 일치. 관련 원문 조항의 전수 통과를 의미하지 않음</x:v>
      </x:c>
      <x:c r="H323" s="5" t="str">
        <x:v>로컬 macOS / Chromium / Node / .NET10</x:v>
      </x:c>
      <x:c r="I323" s="5" t="str">
        <x:v>부분확인</x:v>
      </x:c>
      <x:c r="J323" s="5" t="str">
        <x:v>실제 실행화면 list, http://localhost:8000/requests, {"width":1440,"height":1100}</x:v>
      </x:c>
      <x:c r="K323" s="5" t="str">
        <x:v>SCREEN-LIST-2026-10-20T06-15-00-647Z</x:v>
      </x:c>
      <x:c r="L323" s="5" t="str"/>
      <x:c r="M323" s="5" t="str"/>
    </x:row>
    <x:row r="324" ht="39.599998474121094" hidden="0" customHeight="1">
      <x:c r="A324" s="5" t="str">
        <x:v>SCREEN-MODAL</x:v>
      </x:c>
      <x:c r="B324" s="5" t="str">
        <x:v>캡처</x:v>
      </x:c>
      <x:c r="C324" s="5" t="str"/>
      <x:c r="D324" s="5" t="str">
        <x:v>SCREEN-MODAL</x:v>
      </x:c>
      <x:c r="E324" s="5" t="str">
        <x:v>KWA-011
WCA-022
WCA-029</x:v>
      </x:c>
      <x:c r="F324" s="5" t="str">
        <x:v>evidence의 command와 환경으로 실제 실행; 기록된 assertion 범위만 확인</x:v>
      </x:c>
      <x:c r="G324" s="5" t="str">
        <x:v>실제 검사 assertion 및 로그 일치. 관련 원문 조항의 전수 통과를 의미하지 않음</x:v>
      </x:c>
      <x:c r="H324" s="5" t="str">
        <x:v>로컬 macOS / Chromium / Node / .NET10</x:v>
      </x:c>
      <x:c r="I324" s="5" t="str">
        <x:v>부분확인</x:v>
      </x:c>
      <x:c r="J324" s="5" t="str">
        <x:v>실제 실행화면 modal, http://localhost:8000/requests/14, {"width":1440,"height":1100}</x:v>
      </x:c>
      <x:c r="K324" s="5" t="str">
        <x:v>SCREEN-MODAL-2026-10-20T06-15-00-647Z</x:v>
      </x:c>
      <x:c r="L324" s="5" t="str"/>
      <x:c r="M324" s="5" t="str"/>
    </x:row>
    <x:row r="325" ht="39.599998474121094" hidden="0" customHeight="1">
      <x:c r="A325" s="5" t="str">
        <x:v>SCREEN-HELP</x:v>
      </x:c>
      <x:c r="B325" s="5" t="str">
        <x:v>캡처</x:v>
      </x:c>
      <x:c r="C325" s="5" t="str"/>
      <x:c r="D325" s="5" t="str">
        <x:v>SCREEN-HELP</x:v>
      </x:c>
      <x:c r="E325" s="5" t="str">
        <x:v>DOC-001
DOC-006
INC-012</x:v>
      </x:c>
      <x:c r="F325" s="5" t="str">
        <x:v>evidence의 command와 환경으로 실제 실행; 기록된 assertion 범위만 확인</x:v>
      </x:c>
      <x:c r="G325" s="5" t="str">
        <x:v>실제 검사 assertion 및 로그 일치. 관련 원문 조항의 전수 통과를 의미하지 않음</x:v>
      </x:c>
      <x:c r="H325" s="5" t="str">
        <x:v>로컬 macOS / Chromium / Node / .NET10</x:v>
      </x:c>
      <x:c r="I325" s="5" t="str">
        <x:v>부분확인</x:v>
      </x:c>
      <x:c r="J325" s="5" t="str">
        <x:v>실제 실행화면 help, http://localhost:8000/help, {"width":1440,"height":1100}</x:v>
      </x:c>
      <x:c r="K325" s="5" t="str">
        <x:v>SCREEN-HELP-2026-10-20T06-15-00-647Z</x:v>
      </x:c>
      <x:c r="L325" s="5" t="str"/>
      <x:c r="M325" s="5" t="str"/>
    </x:row>
    <x:row r="326" ht="39.599998474121094" hidden="0" customHeight="1">
      <x:c r="A326" s="5" t="str">
        <x:v>SCREEN-GALLERY</x:v>
      </x:c>
      <x:c r="B326" s="5" t="str">
        <x:v>캡처</x:v>
      </x:c>
      <x:c r="C326" s="5" t="str"/>
      <x:c r="D326" s="5" t="str">
        <x:v>SCREEN-GALLERY</x:v>
      </x:c>
      <x:c r="E326" s="5" t="str">
        <x:v>UI-003
UI-010
KWA-033</x:v>
      </x:c>
      <x:c r="F326" s="5" t="str">
        <x:v>evidence의 command와 환경으로 실제 실행; 기록된 assertion 범위만 확인</x:v>
      </x:c>
      <x:c r="G326" s="5" t="str">
        <x:v>실제 검사 assertion 및 로그 일치. 관련 원문 조항의 전수 통과를 의미하지 않음</x:v>
      </x:c>
      <x:c r="H326" s="5" t="str">
        <x:v>로컬 macOS / Chromium / Node / .NET10</x:v>
      </x:c>
      <x:c r="I326" s="5" t="str">
        <x:v>부분확인</x:v>
      </x:c>
      <x:c r="J326" s="5" t="str">
        <x:v>실제 실행화면 gallery, http://localhost:8000/gallery, {"width":1440,"height":1100}</x:v>
      </x:c>
      <x:c r="K326" s="5" t="str">
        <x:v>SCREEN-GALLERY-2026-10-20T06-15-00-647Z</x:v>
      </x:c>
      <x:c r="L326" s="5" t="str"/>
      <x:c r="M326" s="5" t="str"/>
    </x:row>
    <x:row r="327" ht="26.399999618530273" hidden="0" customHeight="1">
      <x:c r="A327" s="5" t="str">
        <x:v>SCREEN-MOBILE</x:v>
      </x:c>
      <x:c r="B327" s="5" t="str">
        <x:v>캡처</x:v>
      </x:c>
      <x:c r="C327" s="5" t="str"/>
      <x:c r="D327" s="5" t="str">
        <x:v>SCREEN-MOBILE</x:v>
      </x:c>
      <x:c r="E327" s="5" t="str">
        <x:v>WCA-017
QA-009</x:v>
      </x:c>
      <x:c r="F327" s="5" t="str">
        <x:v>evidence의 command와 환경으로 실제 실행; 기록된 assertion 범위만 확인</x:v>
      </x:c>
      <x:c r="G327" s="5" t="str">
        <x:v>실제 검사 assertion 및 로그 일치. 관련 원문 조항의 전수 통과를 의미하지 않음</x:v>
      </x:c>
      <x:c r="H327" s="5" t="str">
        <x:v>로컬 macOS / Chromium / Node / .NET10</x:v>
      </x:c>
      <x:c r="I327" s="5" t="str">
        <x:v>부분확인</x:v>
      </x:c>
      <x:c r="J327" s="5" t="str">
        <x:v>실제 실행화면 mobile, http://localhost:8000/privacy, {"width":320,"height":800}</x:v>
      </x:c>
      <x:c r="K327" s="5" t="str">
        <x:v>SCREEN-MOBILE-2026-10-20T06-15-00-647Z</x:v>
      </x:c>
      <x:c r="L327" s="5" t="str"/>
      <x:c r="M327" s="5" t="str"/>
    </x:row>
    <x:row r="328" ht="15" hidden="0" customHeight="1">
      <x:c r="A328" s="5" t="str">
        <x:v>SCREEN-TEXT-SPACING</x:v>
      </x:c>
      <x:c r="B328" s="5" t="str">
        <x:v>캡처</x:v>
      </x:c>
      <x:c r="C328" s="5" t="str"/>
      <x:c r="D328" s="5" t="str">
        <x:v>SCREEN-TEXT-SPACING</x:v>
      </x:c>
      <x:c r="E328" s="5" t="str">
        <x:v>WCA-019</x:v>
      </x:c>
      <x:c r="F328" s="5" t="str">
        <x:v>evidence의 command와 환경으로 실제 실행; 기록된 assertion 범위만 확인</x:v>
      </x:c>
      <x:c r="G328" s="5" t="str">
        <x:v>실제 검사 assertion 및 로그 일치. 관련 원문 조항의 전수 통과를 의미하지 않음</x:v>
      </x:c>
      <x:c r="H328" s="5" t="str">
        <x:v>로컬 macOS / Chromium / Node / .NET10</x:v>
      </x:c>
      <x:c r="I328" s="5" t="str">
        <x:v>부분확인</x:v>
      </x:c>
      <x:c r="J328" s="5" t="str">
        <x:v>실제 실행화면 text-spacing, http://localhost:8000/help?tab=guide, {"width":1440,"height":1100}</x:v>
      </x:c>
      <x:c r="K328" s="5" t="str">
        <x:v>SCREEN-TEXT-SPACING-2026-10-20T06-15-00-647Z</x:v>
      </x:c>
      <x:c r="L328" s="5" t="str"/>
      <x:c r="M328" s="5" t="str"/>
    </x:row>
    <x:row r="329" ht="26.399999618530273" hidden="0" customHeight="1">
      <x:c r="A329" s="5" t="str">
        <x:v>SCREEN-SERVER-ERROR</x:v>
      </x:c>
      <x:c r="B329" s="5" t="str">
        <x:v>캡처</x:v>
      </x:c>
      <x:c r="C329" s="5" t="str"/>
      <x:c r="D329" s="5" t="str">
        <x:v>SCREEN-SERVER-ERROR</x:v>
      </x:c>
      <x:c r="E329" s="5" t="str">
        <x:v>UI-068
WCA-055</x:v>
      </x:c>
      <x:c r="F329" s="5" t="str">
        <x:v>evidence의 command와 환경으로 실제 실행; 기록된 assertion 범위만 확인</x:v>
      </x:c>
      <x:c r="G329" s="5" t="str">
        <x:v>실제 검사 assertion 및 로그 일치. 관련 원문 조항의 전수 통과를 의미하지 않음</x:v>
      </x:c>
      <x:c r="H329" s="5" t="str">
        <x:v>로컬 macOS / Chromium / Node / .NET10</x:v>
      </x:c>
      <x:c r="I329" s="5" t="str">
        <x:v>부분확인</x:v>
      </x:c>
      <x:c r="J329" s="5" t="str">
        <x:v>실제 실행화면 server-error, http://localhost:8000/requests, {"width":1440,"height":1100}</x:v>
      </x:c>
      <x:c r="K329" s="5" t="str">
        <x:v>SCREEN-SERVER-ERROR-2026-10-20T06-15-00-647Z</x:v>
      </x:c>
      <x:c r="L329" s="5" t="str"/>
      <x:c r="M329" s="5" t="str"/>
    </x:row>
    <x:row r="330" ht="39.599998474121094" hidden="0" customHeight="1">
      <x:c r="A330" s="5" t="str">
        <x:v>SCREEN-EMPTY-RESULTS</x:v>
      </x:c>
      <x:c r="B330" s="5" t="str">
        <x:v>캡처</x:v>
      </x:c>
      <x:c r="C330" s="5" t="str"/>
      <x:c r="D330" s="5" t="str">
        <x:v>SCREEN-EMPTY-RESULTS</x:v>
      </x:c>
      <x:c r="E330" s="5" t="str">
        <x:v>WCA-055
UI-078</x:v>
      </x:c>
      <x:c r="F330" s="5" t="str">
        <x:v>evidence의 command와 환경으로 실제 실행; 기록된 assertion 범위만 확인</x:v>
      </x:c>
      <x:c r="G330" s="5" t="str">
        <x:v>실제 검사 assertion 및 로그 일치. 관련 원문 조항의 전수 통과를 의미하지 않음</x:v>
      </x:c>
      <x:c r="H330" s="5" t="str">
        <x:v>로컬 macOS / Chromium / Node / .NET10</x:v>
      </x:c>
      <x:c r="I330" s="5" t="str">
        <x:v>부분확인</x:v>
      </x:c>
      <x:c r="J330" s="5" t="str">
        <x:v>실제 실행화면 empty-results, http://localhost:8000/requests?q=%EA%B2%B0%EA%B3%BC%EC%97%86%EC%9D%8C-unique-xyz&amp;sort=created_desc&amp;page=1, {"width":1440,"height":1100}</x:v>
      </x:c>
      <x:c r="K330" s="5" t="str">
        <x:v>SCREEN-EMPTY-RESULTS-2026-10-20T06-15-00-647Z</x:v>
      </x:c>
      <x:c r="L330" s="5" t="str"/>
      <x:c r="M330" s="5" t="str"/>
    </x:row>
    <x:row r="331" ht="52.79999923706055" hidden="0" customHeight="1">
      <x:c r="A331" s="5" t="str">
        <x:v>SCREEN-SERVER-VALIDATION</x:v>
      </x:c>
      <x:c r="B331" s="5" t="str">
        <x:v>캡처</x:v>
      </x:c>
      <x:c r="C331" s="5" t="str"/>
      <x:c r="D331" s="5" t="str">
        <x:v>SCREEN-SERVER-VALIDATION</x:v>
      </x:c>
      <x:c r="E331" s="5" t="str">
        <x:v>KWA-028
WCA-048
WCA-050
UI-068</x:v>
      </x:c>
      <x:c r="F331" s="5" t="str">
        <x:v>evidence의 command와 환경으로 실제 실행; 기록된 assertion 범위만 확인</x:v>
      </x:c>
      <x:c r="G331" s="5" t="str">
        <x:v>실제 검사 assertion 및 로그 일치. 관련 원문 조항의 전수 통과를 의미하지 않음</x:v>
      </x:c>
      <x:c r="H331" s="5" t="str">
        <x:v>로컬 macOS / Chromium / Node / .NET10</x:v>
      </x:c>
      <x:c r="I331" s="5" t="str">
        <x:v>부분확인</x:v>
      </x:c>
      <x:c r="J331" s="5" t="str">
        <x:v>실제 실행화면 server-validation, http://localhost:8000/requests/new, {"width":1440,"height":1100}</x:v>
      </x:c>
      <x:c r="K331" s="5" t="str">
        <x:v>SCREEN-SERVER-VALIDATION-2026-10-20T06-15-00-647Z</x:v>
      </x:c>
      <x:c r="L331" s="5" t="str"/>
      <x:c r="M331" s="5" t="str"/>
    </x:row>
    <x:row r="332" ht="52.79999923706055" hidden="0" customHeight="1">
      <x:c r="A332" s="5" t="str">
        <x:v>AT-01</x:v>
      </x:c>
      <x:c r="B332" s="5" t="str">
        <x:v>수동</x:v>
      </x:c>
      <x:c r="C332" s="5" t="str"/>
      <x:c r="D332" s="5" t="str">
        <x:v>키보드 전체 업무</x:v>
      </x:c>
      <x:c r="E332" s="5" t="str">
        <x:v>KWA-010
KWA-011
WCA-021
WCA-022</x:v>
      </x:c>
      <x:c r="F332" s="5" t="str">
        <x:v>로그인 → 요청 검색 → 상세 → 등록 → 첨부 → 완료 → 상태 확인</x:v>
      </x:c>
      <x:c r="G332" s="5" t="str">
        <x:v>Tab/Shift+Tab/Enter/Space/Escape로 모든 단계 완료, 초점 손실·함정 없음</x:v>
      </x:c>
      <x:c r="H332" s="5" t="str">
        <x:v>PC Chrome/Edge + 키보드</x:v>
      </x:c>
      <x:c r="I332" s="5" t="str">
        <x:v>미실행</x:v>
      </x:c>
      <x:c r="J332" s="5" t="str">
        <x:v>보조기술·당사자 환경에서 실제 수행하지 않음</x:v>
      </x:c>
      <x:c r="K332" s="5" t="str"/>
      <x:c r="L332" s="5" t="str"/>
      <x:c r="M332" s="5" t="str"/>
    </x:row>
    <x:row r="333" ht="66" hidden="0" customHeight="1">
      <x:c r="A333" s="5" t="str">
        <x:v>AT-02</x:v>
      </x:c>
      <x:c r="B333" s="5" t="str">
        <x:v>수동</x:v>
      </x:c>
      <x:c r="C333" s="5" t="str"/>
      <x:c r="D333" s="5" t="str">
        <x:v>화면낭독 전체 업무</x:v>
      </x:c>
      <x:c r="E333" s="5" t="str">
        <x:v>KWA-003
KWA-029
KWA-033
WCA-054
WCA-055</x:v>
      </x:c>
      <x:c r="F333" s="5" t="str">
        <x:v>문서 제목·영역 탐색, 폼 입력, 오류 정정, 제출 완료 확인</x:v>
      </x:c>
      <x:c r="G333" s="5" t="str">
        <x:v>레이블·설명·오류·진행상태를 문맥에 맞게 낭독, 핵심업무 독립완수</x:v>
      </x:c>
      <x:c r="H333" s="5" t="str">
        <x:v>Windows NVDA + Chrome 또는 Firefox (실제 버전 기록)</x:v>
      </x:c>
      <x:c r="I333" s="5" t="str">
        <x:v>미실행</x:v>
      </x:c>
      <x:c r="J333" s="5" t="str">
        <x:v>보조기술·당사자 환경에서 실제 수행하지 않음</x:v>
      </x:c>
      <x:c r="K333" s="5" t="str"/>
      <x:c r="L333" s="5" t="str"/>
      <x:c r="M333" s="5" t="str"/>
    </x:row>
    <x:row r="334" ht="39.599998474121094" hidden="0" customHeight="1">
      <x:c r="A334" s="5" t="str">
        <x:v>AT-03</x:v>
      </x:c>
      <x:c r="B334" s="5" t="str">
        <x:v>수동</x:v>
      </x:c>
      <x:c r="C334" s="5" t="str"/>
      <x:c r="D334" s="5" t="str">
        <x:v>모바일 화면낭독</x:v>
      </x:c>
      <x:c r="E334" s="5" t="str">
        <x:v>KWA-004
KWA-023
WCA-037</x:v>
      </x:c>
      <x:c r="F334" s="5" t="str">
        <x:v>스와이프로 메뉴·입력·첨부·완료 이동 후 활성화</x:v>
      </x:c>
      <x:c r="G334" s="5" t="str">
        <x:v>읽기순서와 이름 정확, 가려진 요소 중복 탐색 없음</x:v>
      </x:c>
      <x:c r="H334" s="5" t="str">
        <x:v>Android TalkBack + Chrome 및 iOS VoiceOver + Safari 중 실제 확보 조합</x:v>
      </x:c>
      <x:c r="I334" s="5" t="str">
        <x:v>미실행</x:v>
      </x:c>
      <x:c r="J334" s="5" t="str">
        <x:v>보조기술·당사자 환경에서 실제 수행하지 않음</x:v>
      </x:c>
      <x:c r="K334" s="5" t="str"/>
      <x:c r="L334" s="5" t="str"/>
      <x:c r="M334" s="5" t="str"/>
    </x:row>
    <x:row r="335" ht="26.399999618530273" hidden="0" customHeight="1">
      <x:c r="A335" s="5" t="str">
        <x:v>AT-04</x:v>
      </x:c>
      <x:c r="B335" s="5" t="str">
        <x:v>수동</x:v>
      </x:c>
      <x:c r="C335" s="5" t="str"/>
      <x:c r="D335" s="5" t="str">
        <x:v>확대와 재배치</x:v>
      </x:c>
      <x:c r="E335" s="5" t="str">
        <x:v>WCA-015
WCA-017</x:v>
      </x:c>
      <x:c r="F335" s="5" t="str">
        <x:v>텍스트200%와 1280px뷰포트400% 확대, 320CSS px 폭에서 등록</x:v>
      </x:c>
      <x:c r="G335" s="5" t="str">
        <x:v>정보·기능 손실 없음. 본문 양방향 스크롤 없음. 본질적 2D표는 해당 영역의 예외 근거</x:v>
      </x:c>
      <x:c r="H335" s="5" t="str">
        <x:v>데스크톱 브라우저 확대·텍스트확대</x:v>
      </x:c>
      <x:c r="I335" s="5" t="str">
        <x:v>미실행</x:v>
      </x:c>
      <x:c r="J335" s="5" t="str">
        <x:v>보조기술·당사자 환경에서 실제 수행하지 않음</x:v>
      </x:c>
      <x:c r="K335" s="5" t="str"/>
      <x:c r="L335" s="5" t="str"/>
      <x:c r="M335" s="5" t="str"/>
    </x:row>
    <x:row r="336" ht="52.79999923706055" hidden="0" customHeight="1">
      <x:c r="A336" s="5" t="str">
        <x:v>AT-05</x:v>
      </x:c>
      <x:c r="B336" s="5" t="str">
        <x:v>수동</x:v>
      </x:c>
      <x:c r="C336" s="5" t="str"/>
      <x:c r="D336" s="5" t="str">
        <x:v>고대비·색 단독정보</x:v>
      </x:c>
      <x:c r="E336" s="5" t="str">
        <x:v>KWA-006
KWA-008
WCA-014
WCA-018</x:v>
      </x:c>
      <x:c r="F336" s="5" t="str">
        <x:v>기본 화면과 모든 제공 테마의 문자·필수 비텍스트 대비비를 측정한다. OS forced-colors 및 흑백에서 상태·오류·선택·초점을 별도 확인한다.</x:v>
      </x:c>
      <x:c r="G336" s="5" t="str">
        <x:v>일반 문자 4.5:1, 해당 큰 문자 3:1, 필요한 비텍스트 정보 3:1 이상(공식 예외별 근거 기록). 선명한 모드의 회사 채택 KRDS 역할별 목표는 별도 확인. 고대비에서 초점·입력테두리·상태문구가 유지되고 색·아이콘만으로 의미를 전달하지 않음.</x:v>
      </x:c>
      <x:c r="H336" s="5" t="str">
        <x:v>Windows 고대비 + 브라우저</x:v>
      </x:c>
      <x:c r="I336" s="5" t="str">
        <x:v>미실행</x:v>
      </x:c>
      <x:c r="J336" s="5" t="str">
        <x:v>보조기술·당사자 환경에서 실제 수행하지 않음</x:v>
      </x:c>
      <x:c r="K336" s="5" t="str"/>
      <x:c r="L336" s="5" t="str"/>
      <x:c r="M336" s="5" t="str"/>
    </x:row>
    <x:row r="337" ht="66" hidden="0" customHeight="1">
      <x:c r="A337" s="5" t="str">
        <x:v>AT-06</x:v>
      </x:c>
      <x:c r="B337" s="5" t="str">
        <x:v>수동</x:v>
      </x:c>
      <x:c r="C337" s="5" t="str"/>
      <x:c r="D337" s="5" t="str">
        <x:v>크기와 포인터 취소</x:v>
      </x:c>
      <x:c r="E337" s="5" t="str">
        <x:v>KWA-012
KWA-021
KWA-022
WCA-039
WCA-040</x:v>
      </x:c>
      <x:c r="F337" s="5" t="str">
        <x:v>주요 제어 터치, 누른 채 밖으로 이동, 파일선택으로 첨부</x:v>
      </x:c>
      <x:c r="G337" s="5" t="str">
        <x:v>핵심 타깃 회사목표44~48, AA 최소24/간격예외 점검, 오작동 확정 없음</x:v>
      </x:c>
      <x:c r="H337" s="5" t="str">
        <x:v>터치 실기기·마우스</x:v>
      </x:c>
      <x:c r="I337" s="5" t="str">
        <x:v>미실행</x:v>
      </x:c>
      <x:c r="J337" s="5" t="str">
        <x:v>보조기술·당사자 환경에서 실제 수행하지 않음</x:v>
      </x:c>
      <x:c r="K337" s="5" t="str"/>
      <x:c r="L337" s="5" t="str"/>
      <x:c r="M337" s="5" t="str"/>
    </x:row>
    <x:row r="338" ht="39.599998474121094" hidden="0" customHeight="1">
      <x:c r="A338" s="5" t="str">
        <x:v>AT-07</x:v>
      </x:c>
      <x:c r="B338" s="5" t="str">
        <x:v>수동</x:v>
      </x:c>
      <x:c r="C338" s="5" t="str"/>
      <x:c r="D338" s="5" t="str">
        <x:v>표시문구로 조작</x:v>
      </x:c>
      <x:c r="E338" s="5" t="str">
        <x:v>KWA-013
KWA-023
WCA-037</x:v>
      </x:c>
      <x:c r="F338" s="5" t="str">
        <x:v>보이는 버튼명으로 활성화, 텍스트 받아쓰기 중 단축키 간섭 확인</x:v>
      </x:c>
      <x:c r="G338" s="5" t="str">
        <x:v>표시문구와 접근명 일치, 전역 한글자 단축키 오작동 없음</x:v>
      </x:c>
      <x:c r="H338" s="5" t="str">
        <x:v>OS 음성제어/음성입력 (실제 확보 도구 기록)</x:v>
      </x:c>
      <x:c r="I338" s="5" t="str">
        <x:v>미실행</x:v>
      </x:c>
      <x:c r="J338" s="5" t="str">
        <x:v>보조기술·당사자 환경에서 실제 수행하지 않음</x:v>
      </x:c>
      <x:c r="K338" s="5" t="str"/>
      <x:c r="L338" s="5" t="str"/>
      <x:c r="M338" s="5" t="str"/>
    </x:row>
    <x:row r="339" ht="66" hidden="0" customHeight="1">
      <x:c r="A339" s="5" t="str">
        <x:v>AT-08</x:v>
      </x:c>
      <x:c r="B339" s="5" t="str">
        <x:v>수동</x:v>
      </x:c>
      <x:c r="C339" s="5" t="str"/>
      <x:c r="D339" s="5" t="str">
        <x:v>쉬운 입력과 복구</x:v>
      </x:c>
      <x:c r="E339" s="5" t="str">
        <x:v>KWA-028
KWA-031
WCA-048
WCA-050
WCA-052</x:v>
      </x:c>
      <x:c r="F339" s="5" t="str">
        <x:v>설명만 읽고 단계형 폼 작성, 이전 단계 복귀, 잘못된 값 수정</x:v>
      </x:c>
      <x:c r="G339" s="5" t="str">
        <x:v>현재 단계·남은 단계·필수조건 명확, 입력 보존, 오류 수정방법 설명</x:v>
      </x:c>
      <x:c r="H339" s="5" t="str">
        <x:v>대표사용자 과업평가 + 진행기록</x:v>
      </x:c>
      <x:c r="I339" s="5" t="str">
        <x:v>미실행</x:v>
      </x:c>
      <x:c r="J339" s="5" t="str">
        <x:v>보조기술·당사자 환경에서 실제 수행하지 않음</x:v>
      </x:c>
      <x:c r="K339" s="5" t="str"/>
      <x:c r="L339" s="5" t="str"/>
      <x:c r="M339" s="5" t="str"/>
    </x:row>
    <x:row r="340" ht="26.399999618530273" hidden="0" customHeight="1">
      <x:c r="A340" s="5" t="str">
        <x:v>AT-09</x:v>
      </x:c>
      <x:c r="B340" s="5" t="str">
        <x:v>수동</x:v>
      </x:c>
      <x:c r="C340" s="5" t="str"/>
      <x:c r="D340" s="5" t="str">
        <x:v>로그인 접근성</x:v>
      </x:c>
      <x:c r="E340" s="5" t="str">
        <x:v>KWA-030
WCA-053</x:v>
      </x:c>
      <x:c r="F340" s="5" t="str">
        <x:v>암호관리자·붙여넣기 사용, 오류 후 재시도, 인증 도움말 탐색</x:v>
      </x:c>
      <x:c r="G340" s="5" t="str">
        <x:v>암호입력 보조 차단 없음, 기억·퍼즐 과제만으로 인증 강제 안 함</x:v>
      </x:c>
      <x:c r="H340" s="5" t="str">
        <x:v>브라우저 암호관리자 + 키보드·화면낭독</x:v>
      </x:c>
      <x:c r="I340" s="5" t="str">
        <x:v>미실행</x:v>
      </x:c>
      <x:c r="J340" s="5" t="str">
        <x:v>보조기술·당사자 환경에서 실제 수행하지 않음</x:v>
      </x:c>
      <x:c r="K340" s="5" t="str"/>
      <x:c r="L340" s="5" t="str"/>
      <x:c r="M340" s="5" t="str"/>
    </x:row>
    <x:row r="341" ht="26.399999618530273" hidden="0" customHeight="1">
      <x:c r="A341" s="5" t="str">
        <x:v>AT-10</x:v>
      </x:c>
      <x:c r="B341" s="5" t="str">
        <x:v>수동</x:v>
      </x:c>
      <x:c r="C341" s="5" t="str"/>
      <x:c r="D341" s="5" t="str">
        <x:v>무음 상태 사용</x:v>
      </x:c>
      <x:c r="E341" s="5" t="str">
        <x:v>INC-005
INC-010</x:v>
      </x:c>
      <x:c r="F341" s="5" t="str">
        <x:v>기기 소리 끄고 요청완료·실패·상태변경 확인</x:v>
      </x:c>
      <x:c r="G341" s="5" t="str">
        <x:v>모든 중요 피드백이 시각적 텍스트로 제공, 전화만 가능한 문의 경로 없음</x:v>
      </x:c>
      <x:c r="H341" s="5" t="str">
        <x:v>음소거 + 화면 검토</x:v>
      </x:c>
      <x:c r="I341" s="5" t="str">
        <x:v>미실행</x:v>
      </x:c>
      <x:c r="J341" s="5" t="str">
        <x:v>보조기술·당사자 환경에서 실제 수행하지 않음</x:v>
      </x:c>
      <x:c r="K341" s="5" t="str"/>
      <x:c r="L341" s="5" t="str"/>
      <x:c r="M341" s="5" t="str"/>
    </x:row>
    <x:row r="342" ht="52.79999923706055" hidden="0" customHeight="1">
      <x:c r="A342" s="5" t="str">
        <x:v>AT-11</x:v>
      </x:c>
      <x:c r="B342" s="5" t="str">
        <x:v>수동</x:v>
      </x:c>
      <x:c r="C342" s="5" t="str"/>
      <x:c r="D342" s="5" t="str">
        <x:v>움직임 줄이기</x:v>
      </x:c>
      <x:c r="E342" s="5" t="str">
        <x:v>KWA-015
KWA-016
WCA-025
WCA-026</x:v>
      </x:c>
      <x:c r="F342" s="5" t="str">
        <x:v>OS prefers-reduced-motion 적용 후 화면전환·로딩·알림 사용</x:v>
      </x:c>
      <x:c r="G342" s="5" t="str">
        <x:v>불필요 모션 제거·감소, 점멸효과 없음, 제어되지 않는 자동회전 없음</x:v>
      </x:c>
      <x:c r="H342" s="5" t="str">
        <x:v>OS 모션감소 + 브라우저</x:v>
      </x:c>
      <x:c r="I342" s="5" t="str">
        <x:v>미실행</x:v>
      </x:c>
      <x:c r="J342" s="5" t="str">
        <x:v>보조기술·당사자 환경에서 실제 수행하지 않음</x:v>
      </x:c>
      <x:c r="K342" s="5" t="str"/>
      <x:c r="L342" s="5" t="str"/>
      <x:c r="M342" s="5" t="str"/>
    </x:row>
    <x:row r="343" ht="52.79999923706055" hidden="0" customHeight="1">
      <x:c r="A343" s="5" t="str">
        <x:v>AT-12</x:v>
      </x:c>
      <x:c r="B343" s="5" t="str">
        <x:v>수동</x:v>
      </x:c>
      <x:c r="C343" s="5" t="str"/>
      <x:c r="D343" s="5" t="str">
        <x:v>대화상자·툴팁</x:v>
      </x:c>
      <x:c r="E343" s="5" t="str">
        <x:v>KWA-011
WCA-020
WCA-022
WCA-029</x:v>
      </x:c>
      <x:c r="F343" s="5" t="str">
        <x:v>삭제 확인 열기·초점순환·Escape·닫기 및 도움말 호버/초점</x:v>
      </x:c>
      <x:c r="G343" s="5" t="str">
        <x:v>대화상자 이름 낭독, 배경 비활성, 종료 후 원래 버튼 복귀, 툴팁 유지·닫기 가능</x:v>
      </x:c>
      <x:c r="H343" s="5" t="str">
        <x:v>키보드 + NVDA</x:v>
      </x:c>
      <x:c r="I343" s="5" t="str">
        <x:v>미실행</x:v>
      </x:c>
      <x:c r="J343" s="5" t="str">
        <x:v>보조기술·당사자 환경에서 실제 수행하지 않음</x:v>
      </x:c>
      <x:c r="K343" s="5" t="str"/>
      <x:c r="L343" s="5" t="str"/>
      <x:c r="M343" s="5" t="str"/>
    </x:row>
    <x:row r="344" ht="26.399999618530273" hidden="0" customHeight="1">
      <x:c r="A344" s="5" t="str">
        <x:v>AT-13</x:v>
      </x:c>
      <x:c r="B344" s="5" t="str">
        <x:v>수동</x:v>
      </x:c>
      <x:c r="C344" s="5" t="str"/>
      <x:c r="D344" s="5" t="str">
        <x:v>문자간격과 고정요소</x:v>
      </x:c>
      <x:c r="E344" s="5" t="str">
        <x:v>WCA-019
WCA-034</x:v>
      </x:c>
      <x:c r="F344" s="5" t="str">
        <x:v>문자간격 커스텀CSS 적용, 고정헤더·하단바 아래 폼 이동</x:v>
      </x:c>
      <x:c r="G344" s="5" t="str">
        <x:v>텍스트 잘림·중첩 없음, 초점요소 완전 가림 없음</x:v>
      </x:c>
      <x:c r="H344" s="5" t="str">
        <x:v>데스크톱·모바일 좁은 폭</x:v>
      </x:c>
      <x:c r="I344" s="5" t="str">
        <x:v>미실행</x:v>
      </x:c>
      <x:c r="J344" s="5" t="str">
        <x:v>보조기술·당사자 환경에서 실제 수행하지 않음</x:v>
      </x:c>
      <x:c r="K344" s="5" t="str"/>
      <x:c r="L344" s="5" t="str"/>
      <x:c r="M344" s="5" t="str"/>
    </x:row>
    <x:row r="345" ht="39.599998474121094" hidden="0" customHeight="1">
      <x:c r="A345" s="5" t="str">
        <x:v>AT-14</x:v>
      </x:c>
      <x:c r="B345" s="5" t="str">
        <x:v>수동</x:v>
      </x:c>
      <x:c r="C345" s="5" t="str"/>
      <x:c r="D345" s="5" t="str">
        <x:v>시간제한과 복구</x:v>
      </x:c>
      <x:c r="E345" s="5" t="str">
        <x:v>KWA-014
WCA-024</x:v>
      </x:c>
      <x:c r="F345" s="5" t="str">
        <x:v>만료 임박 경고를 기다려 연장하고 저장 실패 후 다시 제출</x:v>
      </x:c>
      <x:c r="G345" s="5" t="str">
        <x:v>시간 연장 방식을 채택하면 만료 전 최소 20초의 조작 기회와 최소 10회 연장을 제공한다. 다른 공식 허용 방법·예외를 쓰면 조항과 조건 증빙을 기록한다. 경고·연장이 키보드·화면낭독기로 가능하며 입력 손실이 없고 서버가 중복 처리를 차단함.</x:v>
      </x:c>
      <x:c r="H345" s="5" t="str">
        <x:v>테스트환경 짧은 만료 + 네트워크 오류</x:v>
      </x:c>
      <x:c r="I345" s="5" t="str">
        <x:v>미실행</x:v>
      </x:c>
      <x:c r="J345" s="5" t="str">
        <x:v>보조기술·당사자 환경에서 실제 수행하지 않음</x:v>
      </x:c>
      <x:c r="K345" s="5" t="str"/>
      <x:c r="L345" s="5" t="str"/>
      <x:c r="M345" s="5" t="str"/>
    </x:row>
    <x:row r="346" ht="39.599998474121094" hidden="0" customHeight="1">
      <x:c r="A346" s="5" t="str">
        <x:v>AT-15</x:v>
      </x:c>
      <x:c r="B346" s="5" t="str">
        <x:v>수동</x:v>
      </x:c>
      <x:c r="C346" s="5" t="str"/>
      <x:c r="D346" s="5" t="str">
        <x:v>실사용자 과업평가</x:v>
      </x:c>
      <x:c r="E346" s="5" t="str">
        <x:v>INC-001
QA-007
QA-008</x:v>
      </x:c>
      <x:c r="F346" s="5" t="str">
        <x:v>요청 찾기·신규등록·오류복구·처리확인 과업 수행</x:v>
      </x:c>
      <x:c r="G346" s="5" t="str">
        <x:v>성공여부·도움요청·막힘원인 기록, 대표적 장애유형 포함, 보조기술 시험으로 대체 주장 금지</x:v>
      </x:c>
      <x:c r="H346" s="5" t="str">
        <x:v>사용자 동의하 실제 참여; 미확보 시 미실시</x:v>
      </x:c>
      <x:c r="I346" s="5" t="str">
        <x:v>미실행</x:v>
      </x:c>
      <x:c r="J346" s="5" t="str">
        <x:v>보조기술·당사자 환경에서 실제 수행하지 않음</x:v>
      </x:c>
      <x:c r="K346" s="5" t="str"/>
      <x:c r="L346" s="5" t="str"/>
      <x:c r="M346" s="5" t="str"/>
    </x:row>
  </x:sheetData>
  <x:conditionalFormatting sqref="I7:I346">
    <x:cfRule type="containsText" dxfId="40" priority="1" operator="containsText" text="실패"/>
    <x:cfRule type="containsText" dxfId="41" priority="2" operator="containsText" text="미실행"/>
    <x:cfRule type="containsText" dxfId="42" priority="3" operator="containsText" text="확인필요"/>
    <x:cfRule type="containsText" dxfId="43" priority="4" operator="containsText" text="부분확인"/>
    <x:cfRule type="containsText" dxfId="44" priority="5" operator="containsText" text="보류"/>
  </x:conditionalFormatting>
  <x:dataValidations count="1">
    <x:dataValidation type="list" sqref="I7:I346">
      <x:formula1>"미실행,통과,실패,부분확인,해당없음"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b71699d1446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9" hidden="0" customWidth="1"/>
    <x:col min="2" max="2" width="24" hidden="0" customWidth="1"/>
    <x:col min="3" max="3" width="22" hidden="0" customWidth="1"/>
    <x:col min="4" max="4" width="24" hidden="0" customWidth="1"/>
    <x:col min="5" max="5" width="33" hidden="0" customWidth="1"/>
    <x:col min="6" max="6" width="30" hidden="0" customWidth="1"/>
    <x:col min="7" max="7" width="12" hidden="0" customWidth="1"/>
    <x:col min="8" max="8" width="15" hidden="0" customWidth="1"/>
    <x:col min="9" max="9" width="18" hidden="0" customWidth="1"/>
    <x:col min="10" max="10" width="18" hidden="0" customWidth="1"/>
    <x:col min="11" max="11" width="90" hidden="0" customWidth="1"/>
    <x:col min="12" max="12" width="27" hidden="0" customWidth="1"/>
    <x:col min="13" max="13" width="60" hidden="0" customWidth="1"/>
    <x:col min="14" max="14" width="38" hidden="0" customWidth="1"/>
    <x:col min="15" max="15" width="44" hidden="0" customWidth="1"/>
  </x:cols>
  <x:sheetData>
    <x:row r="2">
      <x:c r="A2" s="1" t="str">
        <x:v>KRDS 번호별 원문 참조 후보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2" t="str">
        <x:v>725개 추출 후보를 전부 보존. 번호 없는 규칙과 원문 등급·예외의 전수 확인은 별도입니다.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6" ht="42" customHeight="1">
      <x:c r="A6" s="9" t="str">
        <x:v>원문 후보 ID</x:v>
      </x:c>
      <x:c r="B6" s="9" t="str">
        <x:v>원문 섹션</x:v>
      </x:c>
      <x:c r="C6" s="9" t="str">
        <x:v>장</x:v>
      </x:c>
      <x:c r="D6" s="9" t="str">
        <x:v>범주</x:v>
      </x:c>
      <x:c r="E6" s="9" t="str">
        <x:v>절 제목</x:v>
      </x:c>
      <x:c r="F6" s="9" t="str">
        <x:v>유형</x:v>
      </x:c>
      <x:c r="G6" s="9" t="str">
        <x:v>번호</x:v>
      </x:c>
      <x:c r="H6" s="9" t="str">
        <x:v>인쇄 페이지</x:v>
      </x:c>
      <x:c r="I6" s="9" t="str">
        <x:v>PDF 실제 페이지</x:v>
      </x:c>
      <x:c r="J6" s="9" t="str">
        <x:v>세부 페이지</x:v>
      </x:c>
      <x:c r="K6" s="9" t="str">
        <x:v>원문 문장</x:v>
      </x:c>
      <x:c r="L6" s="9" t="str">
        <x:v>원문 등급</x:v>
      </x:c>
      <x:c r="M6" s="9" t="str">
        <x:v>원문검토 상태</x:v>
      </x:c>
      <x:c r="N6" s="9" t="str">
        <x:v>통합 규칙 매핑</x:v>
      </x:c>
      <x:c r="O6" s="9" t="str">
        <x:v>목록 성격</x:v>
      </x:c>
    </x:row>
    <x:row r="7" ht="15" hidden="0" customHeight="1">
      <x:c r="A7" s="5" t="str">
        <x:v>KRDS-SEC-017-U-01</x:v>
      </x:c>
      <x:c r="B7" s="5" t="str">
        <x:v>KRDS-SEC-017</x:v>
      </x:c>
      <x:c r="C7" s="5" t="str">
        <x:v>컴포넌트</x:v>
      </x:c>
      <x:c r="D7" s="5" t="str">
        <x:v>아이덴티티</x:v>
      </x:c>
      <x:c r="E7" s="5" t="str">
        <x:v>공식 배너</x:v>
      </x:c>
      <x:c r="F7" s="5" t="str">
        <x:v>사용성 가이드라인</x:v>
      </x:c>
      <x:c r="G7" s="5" t="str">
        <x:v>01</x:v>
      </x:c>
      <x:c r="H7" s="5" t="n">
        <x:v>221</x:v>
      </x:c>
      <x:c r="I7" s="5" t="n">
        <x:v>221</x:v>
      </x:c>
      <x:c r="J7" s="5" t="str">
        <x:v>222</x:v>
      </x:c>
      <x:c r="K7" s="5" t="str">
        <x:v>배너는 모든 화면의 최상단에 제공한다.</x:v>
      </x:c>
      <x:c r="L7" s="5" t="str">
        <x:v>원문 세부기준</x:v>
      </x:c>
      <x:c r="M7" s="5" t="str">
        <x:v>추출 후 기본 구조 검토; 원문 적용수준·전체 맥락 재확인 필요</x:v>
      </x:c>
      <x:c r="N7" s="5" t="str">
        <x:v>UI-016</x:v>
      </x:c>
      <x:c r="O7" s="5" t="str">
        <x:v>자동 추출 후보 / 공식 전수 체크리스트 아님</x:v>
      </x:c>
    </x:row>
    <x:row r="8" ht="15" hidden="0" customHeight="1">
      <x:c r="A8" s="5" t="str">
        <x:v>KRDS-SEC-017-U-02</x:v>
      </x:c>
      <x:c r="B8" s="5" t="str">
        <x:v>KRDS-SEC-017</x:v>
      </x:c>
      <x:c r="C8" s="5" t="str">
        <x:v>컴포넌트</x:v>
      </x:c>
      <x:c r="D8" s="5" t="str">
        <x:v>아이덴티티</x:v>
      </x:c>
      <x:c r="E8" s="5" t="str">
        <x:v>공식 배너</x:v>
      </x:c>
      <x:c r="F8" s="5" t="str">
        <x:v>사용성 가이드라인</x:v>
      </x:c>
      <x:c r="G8" s="5" t="str">
        <x:v>02</x:v>
      </x:c>
      <x:c r="H8" s="5" t="n">
        <x:v>221</x:v>
      </x:c>
      <x:c r="I8" s="5" t="n">
        <x:v>221</x:v>
      </x:c>
      <x:c r="J8" s="5" t="str">
        <x:v>223</x:v>
      </x:c>
      <x:c r="K8" s="5" t="str">
        <x:v>배너가 지나치게 주의를 끌지 않도록 표현한다.</x:v>
      </x:c>
      <x:c r="L8" s="5" t="str">
        <x:v>원문 세부기준</x:v>
      </x:c>
      <x:c r="M8" s="5" t="str">
        <x:v>추출 후 기본 구조 검토; 원문 적용수준·전체 맥락 재확인 필요</x:v>
      </x:c>
      <x:c r="N8" s="5" t="str">
        <x:v>UI-016</x:v>
      </x:c>
      <x:c r="O8" s="5" t="str">
        <x:v>자동 추출 후보 / 공식 전수 체크리스트 아님</x:v>
      </x:c>
    </x:row>
    <x:row r="9" ht="15" hidden="0" customHeight="1">
      <x:c r="A9" s="5" t="str">
        <x:v>KRDS-SEC-017-U-03</x:v>
      </x:c>
      <x:c r="B9" s="5" t="str">
        <x:v>KRDS-SEC-017</x:v>
      </x:c>
      <x:c r="C9" s="5" t="str">
        <x:v>컴포넌트</x:v>
      </x:c>
      <x:c r="D9" s="5" t="str">
        <x:v>아이덴티티</x:v>
      </x:c>
      <x:c r="E9" s="5" t="str">
        <x:v>공식 배너</x:v>
      </x:c>
      <x:c r="F9" s="5" t="str">
        <x:v>사용성 가이드라인</x:v>
      </x:c>
      <x:c r="G9" s="5" t="str">
        <x:v>03</x:v>
      </x:c>
      <x:c r="H9" s="5" t="n">
        <x:v>221</x:v>
      </x:c>
      <x:c r="I9" s="5" t="n">
        <x:v>221</x:v>
      </x:c>
      <x:c r="J9" s="5" t="str">
        <x:v>224</x:v>
      </x:c>
      <x:c r="K9" s="5" t="str">
        <x:v>배너 텍스트와 스타일을 변형하지 않는다.</x:v>
      </x:c>
      <x:c r="L9" s="5" t="str">
        <x:v>원문 세부기준</x:v>
      </x:c>
      <x:c r="M9" s="5" t="str">
        <x:v>추출 후 기본 구조 검토; 원문 적용수준·전체 맥락 재확인 필요</x:v>
      </x:c>
      <x:c r="N9" s="5" t="str">
        <x:v>UI-016</x:v>
      </x:c>
      <x:c r="O9" s="5" t="str">
        <x:v>자동 추출 후보 / 공식 전수 체크리스트 아님</x:v>
      </x:c>
    </x:row>
    <x:row r="10" ht="15" hidden="0" customHeight="1">
      <x:c r="A10" s="5" t="str">
        <x:v>KRDS-SEC-017-U-04</x:v>
      </x:c>
      <x:c r="B10" s="5" t="str">
        <x:v>KRDS-SEC-017</x:v>
      </x:c>
      <x:c r="C10" s="5" t="str">
        <x:v>컴포넌트</x:v>
      </x:c>
      <x:c r="D10" s="5" t="str">
        <x:v>아이덴티티</x:v>
      </x:c>
      <x:c r="E10" s="5" t="str">
        <x:v>공식 배너</x:v>
      </x:c>
      <x:c r="F10" s="5" t="str">
        <x:v>사용성 가이드라인</x:v>
      </x:c>
      <x:c r="G10" s="5" t="str">
        <x:v>04</x:v>
      </x:c>
      <x:c r="H10" s="5" t="n">
        <x:v>221</x:v>
      </x:c>
      <x:c r="I10" s="5" t="n">
        <x:v>221</x:v>
      </x:c>
      <x:c r="J10" s="5" t="str">
        <x:v>225</x:v>
      </x:c>
      <x:c r="K10" s="5" t="str">
        <x:v>공식 디지털 정부서비스가 아닌 사이트에서는 배너를 사용하지 않아야 한다.</x:v>
      </x:c>
      <x:c r="L10" s="5" t="str">
        <x:v>원문 세부기준</x:v>
      </x:c>
      <x:c r="M10" s="5" t="str">
        <x:v>추출 후 기본 구조 검토; 원문 적용수준·전체 맥락 재확인 필요</x:v>
      </x:c>
      <x:c r="N10" s="5" t="str">
        <x:v>UI-016</x:v>
      </x:c>
      <x:c r="O10" s="5" t="str">
        <x:v>자동 추출 후보 / 공식 전수 체크리스트 아님</x:v>
      </x:c>
    </x:row>
    <x:row r="11" ht="15" hidden="0" customHeight="1">
      <x:c r="A11" s="5" t="str">
        <x:v>KRDS-SEC-017-A-01</x:v>
      </x:c>
      <x:c r="B11" s="5" t="str">
        <x:v>KRDS-SEC-017</x:v>
      </x:c>
      <x:c r="C11" s="5" t="str">
        <x:v>컴포넌트</x:v>
      </x:c>
      <x:c r="D11" s="5" t="str">
        <x:v>아이덴티티</x:v>
      </x:c>
      <x:c r="E11" s="5" t="str">
        <x:v>공식 배너</x:v>
      </x:c>
      <x:c r="F11" s="5" t="str">
        <x:v>접근성 가이드라인</x:v>
      </x:c>
      <x:c r="G11" s="5" t="str">
        <x:v>01</x:v>
      </x:c>
      <x:c r="H11" s="5" t="n">
        <x:v>226</x:v>
      </x:c>
      <x:c r="I11" s="5" t="n">
        <x:v>226</x:v>
      </x:c>
      <x:c r="J11" s="5" t="str"/>
      <x:c r="K11" s="5" t="str">
        <x:v>건너뛰기 링크는 공식 배너 이전에 제공한다.</x:v>
      </x:c>
      <x:c r="L11" s="5" t="str">
        <x:v>원문 세부기준</x:v>
      </x:c>
      <x:c r="M11" s="5" t="str">
        <x:v>추출 후 기본 구조 검토; 원문 적용수준·전체 맥락 재확인 필요</x:v>
      </x:c>
      <x:c r="N11" s="5" t="str">
        <x:v>UI-016</x:v>
      </x:c>
      <x:c r="O11" s="5" t="str">
        <x:v>자동 추출 후보 / 공식 전수 체크리스트 아님</x:v>
      </x:c>
    </x:row>
    <x:row r="12" ht="26.399999618530273" hidden="0" customHeight="1">
      <x:c r="A12" s="5" t="str">
        <x:v>KRDS-SEC-018-U-01</x:v>
      </x:c>
      <x:c r="B12" s="5" t="str">
        <x:v>KRDS-SEC-018</x:v>
      </x:c>
      <x:c r="C12" s="5" t="str">
        <x:v>컴포넌트</x:v>
      </x:c>
      <x:c r="D12" s="5" t="str">
        <x:v>아이덴티티</x:v>
      </x:c>
      <x:c r="E12" s="5" t="str">
        <x:v>운영기관 식별자</x:v>
      </x:c>
      <x:c r="F12" s="5" t="str">
        <x:v>사용성 가이드라인</x:v>
      </x:c>
      <x:c r="G12" s="5" t="str">
        <x:v>01</x:v>
      </x:c>
      <x:c r="H12" s="5" t="n">
        <x:v>230</x:v>
      </x:c>
      <x:c r="I12" s="5" t="n">
        <x:v>230</x:v>
      </x:c>
      <x:c r="J12" s="5" t="str"/>
      <x:c r="K12" s="5" t="str">
        <x:v>식별자가 지나치게 주의를 끌지 않도록 표현한다.</x:v>
      </x:c>
      <x:c r="L12" s="5" t="str">
        <x:v>원문 세부기준</x:v>
      </x:c>
      <x:c r="M12" s="5" t="str">
        <x:v>추출 후 기본 구조 검토; 원문 적용수준·전체 맥락 재확인 필요</x:v>
      </x:c>
      <x:c r="N12" s="5" t="str">
        <x:v>UI-017
UI-126</x:v>
      </x:c>
      <x:c r="O12" s="5" t="str">
        <x:v>자동 추출 후보 / 공식 전수 체크리스트 아님</x:v>
      </x:c>
    </x:row>
    <x:row r="13" ht="26.399999618530273" hidden="0" customHeight="1">
      <x:c r="A13" s="5" t="str">
        <x:v>KRDS-SEC-018-U-02</x:v>
      </x:c>
      <x:c r="B13" s="5" t="str">
        <x:v>KRDS-SEC-018</x:v>
      </x:c>
      <x:c r="C13" s="5" t="str">
        <x:v>컴포넌트</x:v>
      </x:c>
      <x:c r="D13" s="5" t="str">
        <x:v>아이덴티티</x:v>
      </x:c>
      <x:c r="E13" s="5" t="str">
        <x:v>운영기관 식별자</x:v>
      </x:c>
      <x:c r="F13" s="5" t="str">
        <x:v>사용성 가이드라인</x:v>
      </x:c>
      <x:c r="G13" s="5" t="str">
        <x:v>02</x:v>
      </x:c>
      <x:c r="H13" s="5" t="n">
        <x:v>230</x:v>
      </x:c>
      <x:c r="I13" s="5" t="n">
        <x:v>230</x:v>
      </x:c>
      <x:c r="J13" s="5" t="str"/>
      <x:c r="K13" s="5" t="str">
        <x:v>로고 영역에는 서비스의 로고가 아니라 서비스 운영 주체와 관련된 기관의 로고를 제공한다.</x:v>
      </x:c>
      <x:c r="L13" s="5" t="str">
        <x:v>원문 세부기준</x:v>
      </x:c>
      <x:c r="M13" s="5" t="str">
        <x:v>추출 후 기본 구조 검토; 원문 적용수준·전체 맥락 재확인 필요</x:v>
      </x:c>
      <x:c r="N13" s="5" t="str">
        <x:v>UI-017
UI-126</x:v>
      </x:c>
      <x:c r="O13" s="5" t="str">
        <x:v>자동 추출 후보 / 공식 전수 체크리스트 아님</x:v>
      </x:c>
    </x:row>
    <x:row r="14" ht="26.399999618530273" hidden="0" customHeight="1">
      <x:c r="A14" s="5" t="str">
        <x:v>KRDS-SEC-018-U-03</x:v>
      </x:c>
      <x:c r="B14" s="5" t="str">
        <x:v>KRDS-SEC-018</x:v>
      </x:c>
      <x:c r="C14" s="5" t="str">
        <x:v>컴포넌트</x:v>
      </x:c>
      <x:c r="D14" s="5" t="str">
        <x:v>아이덴티티</x:v>
      </x:c>
      <x:c r="E14" s="5" t="str">
        <x:v>운영기관 식별자</x:v>
      </x:c>
      <x:c r="F14" s="5" t="str">
        <x:v>사용성 가이드라인</x:v>
      </x:c>
      <x:c r="G14" s="5" t="str">
        <x:v>03</x:v>
      </x:c>
      <x:c r="H14" s="5" t="n">
        <x:v>231</x:v>
      </x:c>
      <x:c r="I14" s="5" t="n">
        <x:v>231</x:v>
      </x:c>
      <x:c r="J14" s="5" t="str"/>
      <x:c r="K14" s="5" t="str">
        <x:v>안내 텍스트와 요소의 배치를 변경하지 않는다.</x:v>
      </x:c>
      <x:c r="L14" s="5" t="str">
        <x:v>원문 세부기준</x:v>
      </x:c>
      <x:c r="M14" s="5" t="str">
        <x:v>추출 후 기본 구조 검토; 원문 적용수준·전체 맥락 재확인 필요</x:v>
      </x:c>
      <x:c r="N14" s="5" t="str">
        <x:v>UI-017
UI-126</x:v>
      </x:c>
      <x:c r="O14" s="5" t="str">
        <x:v>자동 추출 후보 / 공식 전수 체크리스트 아님</x:v>
      </x:c>
    </x:row>
    <x:row r="15" ht="26.399999618530273" hidden="0" customHeight="1">
      <x:c r="A15" s="5" t="str">
        <x:v>KRDS-SEC-018-U-04</x:v>
      </x:c>
      <x:c r="B15" s="5" t="str">
        <x:v>KRDS-SEC-018</x:v>
      </x:c>
      <x:c r="C15" s="5" t="str">
        <x:v>컴포넌트</x:v>
      </x:c>
      <x:c r="D15" s="5" t="str">
        <x:v>아이덴티티</x:v>
      </x:c>
      <x:c r="E15" s="5" t="str">
        <x:v>운영기관 식별자</x:v>
      </x:c>
      <x:c r="F15" s="5" t="str">
        <x:v>사용성 가이드라인</x:v>
      </x:c>
      <x:c r="G15" s="5" t="str">
        <x:v>04</x:v>
      </x:c>
      <x:c r="H15" s="5" t="n">
        <x:v>231</x:v>
      </x:c>
      <x:c r="I15" s="5" t="n">
        <x:v>231</x:v>
      </x:c>
      <x:c r="J15" s="5" t="str"/>
      <x:c r="K15" s="5" t="str">
        <x:v>공식 디지털 정부서비스가 아닌 사이트에서는 식별자를 사용하지 않아야 한다.</x:v>
      </x:c>
      <x:c r="L15" s="5" t="str">
        <x:v>원문 세부기준</x:v>
      </x:c>
      <x:c r="M15" s="5" t="str">
        <x:v>추출 후 기본 구조 검토; 원문 적용수준·전체 맥락 재확인 필요</x:v>
      </x:c>
      <x:c r="N15" s="5" t="str">
        <x:v>UI-017
UI-126</x:v>
      </x:c>
      <x:c r="O15" s="5" t="str">
        <x:v>자동 추출 후보 / 공식 전수 체크리스트 아님</x:v>
      </x:c>
    </x:row>
    <x:row r="16" ht="26.399999618530273" hidden="0" customHeight="1">
      <x:c r="A16" s="5" t="str">
        <x:v>KRDS-SEC-018-A-01</x:v>
      </x:c>
      <x:c r="B16" s="5" t="str">
        <x:v>KRDS-SEC-018</x:v>
      </x:c>
      <x:c r="C16" s="5" t="str">
        <x:v>컴포넌트</x:v>
      </x:c>
      <x:c r="D16" s="5" t="str">
        <x:v>아이덴티티</x:v>
      </x:c>
      <x:c r="E16" s="5" t="str">
        <x:v>운영기관 식별자</x:v>
      </x:c>
      <x:c r="F16" s="5" t="str">
        <x:v>접근성 가이드라인</x:v>
      </x:c>
      <x:c r="G16" s="5" t="str">
        <x:v>01</x:v>
      </x:c>
      <x:c r="H16" s="5" t="n">
        <x:v>232</x:v>
      </x:c>
      <x:c r="I16" s="5" t="n">
        <x:v>232</x:v>
      </x:c>
      <x:c r="J16" s="5" t="str"/>
      <x:c r="K16" s="5" t="str">
        <x:v>식별자 영역은 구조적으로 푸터 내부에 포함되도록 제공한다.</x:v>
      </x:c>
      <x:c r="L16" s="5" t="str">
        <x:v>원문 세부기준</x:v>
      </x:c>
      <x:c r="M16" s="5" t="str">
        <x:v>추출 후 기본 구조 검토; 원문 적용수준·전체 맥락 재확인 필요</x:v>
      </x:c>
      <x:c r="N16" s="5" t="str">
        <x:v>UI-017
UI-126</x:v>
      </x:c>
      <x:c r="O16" s="5" t="str">
        <x:v>자동 추출 후보 / 공식 전수 체크리스트 아님</x:v>
      </x:c>
    </x:row>
    <x:row r="17" ht="26.399999618530273" hidden="0" customHeight="1">
      <x:c r="A17" s="5" t="str">
        <x:v>KRDS-SEC-018-A-02</x:v>
      </x:c>
      <x:c r="B17" s="5" t="str">
        <x:v>KRDS-SEC-018</x:v>
      </x:c>
      <x:c r="C17" s="5" t="str">
        <x:v>컴포넌트</x:v>
      </x:c>
      <x:c r="D17" s="5" t="str">
        <x:v>아이덴티티</x:v>
      </x:c>
      <x:c r="E17" s="5" t="str">
        <x:v>운영기관 식별자</x:v>
      </x:c>
      <x:c r="F17" s="5" t="str">
        <x:v>접근성 가이드라인</x:v>
      </x:c>
      <x:c r="G17" s="5" t="str">
        <x:v>02</x:v>
      </x:c>
      <x:c r="H17" s="5" t="n">
        <x:v>232</x:v>
      </x:c>
      <x:c r="I17" s="5" t="n">
        <x:v>232</x:v>
      </x:c>
      <x:c r="J17" s="5" t="str"/>
      <x:c r="K17" s="5" t="str">
        <x:v>로고 이미지에 대체 텍스트를 제공한다.</x:v>
      </x:c>
      <x:c r="L17" s="5" t="str">
        <x:v>원문 세부기준</x:v>
      </x:c>
      <x:c r="M17" s="5" t="str">
        <x:v>추출 후 기본 구조 검토; 원문 적용수준·전체 맥락 재확인 필요</x:v>
      </x:c>
      <x:c r="N17" s="5" t="str">
        <x:v>UI-017
UI-126</x:v>
      </x:c>
      <x:c r="O17" s="5" t="str">
        <x:v>자동 추출 후보 / 공식 전수 체크리스트 아님</x:v>
      </x:c>
    </x:row>
    <x:row r="18" ht="26.399999618530273" hidden="0" customHeight="1">
      <x:c r="A18" s="5" t="str">
        <x:v>KRDS-SEC-019-U-01</x:v>
      </x:c>
      <x:c r="B18" s="5" t="str">
        <x:v>KRDS-SEC-019</x:v>
      </x:c>
      <x:c r="C18" s="5" t="str">
        <x:v>컴포넌트</x:v>
      </x:c>
      <x:c r="D18" s="5" t="str">
        <x:v>아이덴티티</x:v>
      </x:c>
      <x:c r="E18" s="5" t="str">
        <x:v>헤더</x:v>
      </x:c>
      <x:c r="F18" s="5" t="str">
        <x:v>사용성 가이드라인</x:v>
      </x:c>
      <x:c r="G18" s="5" t="str">
        <x:v>01</x:v>
      </x:c>
      <x:c r="H18" s="5" t="n">
        <x:v>235</x:v>
      </x:c>
      <x:c r="I18" s="5" t="n">
        <x:v>235</x:v>
      </x:c>
      <x:c r="J18" s="5" t="str">
        <x:v>236</x:v>
      </x:c>
      <x:c r="K18" s="5" t="str">
        <x:v>헤더의 스타일 수정을 최소화한다.</x:v>
      </x:c>
      <x:c r="L18" s="5" t="str">
        <x:v>원문 세부기준</x:v>
      </x:c>
      <x:c r="M18" s="5" t="str">
        <x:v>추출 후 기본 구조 검토; 원문 적용수준·전체 맥락 재확인 필요</x:v>
      </x:c>
      <x:c r="N18" s="5" t="str">
        <x:v>UI-018
UI-101</x:v>
      </x:c>
      <x:c r="O18" s="5" t="str">
        <x:v>자동 추출 후보 / 공식 전수 체크리스트 아님</x:v>
      </x:c>
    </x:row>
    <x:row r="19" ht="26.399999618530273" hidden="0" customHeight="1">
      <x:c r="A19" s="5" t="str">
        <x:v>KRDS-SEC-019-U-02</x:v>
      </x:c>
      <x:c r="B19" s="5" t="str">
        <x:v>KRDS-SEC-019</x:v>
      </x:c>
      <x:c r="C19" s="5" t="str">
        <x:v>컴포넌트</x:v>
      </x:c>
      <x:c r="D19" s="5" t="str">
        <x:v>아이덴티티</x:v>
      </x:c>
      <x:c r="E19" s="5" t="str">
        <x:v>헤더</x:v>
      </x:c>
      <x:c r="F19" s="5" t="str">
        <x:v>사용성 가이드라인</x:v>
      </x:c>
      <x:c r="G19" s="5" t="str">
        <x:v>02</x:v>
      </x:c>
      <x:c r="H19" s="5" t="n">
        <x:v>235</x:v>
      </x:c>
      <x:c r="I19" s="5" t="n">
        <x:v>235</x:v>
      </x:c>
      <x:c r="J19" s="5" t="str">
        <x:v>236</x:v>
      </x:c>
      <x:c r="K19" s="5" t="str">
        <x:v>정부 로고는 항상 헤더의 왼쪽 상단에 제공한다.</x:v>
      </x:c>
      <x:c r="L19" s="5" t="str">
        <x:v>원문 세부기준</x:v>
      </x:c>
      <x:c r="M19" s="5" t="str">
        <x:v>추출 후 기본 구조 검토; 원문 적용수준·전체 맥락 재확인 필요</x:v>
      </x:c>
      <x:c r="N19" s="5" t="str">
        <x:v>UI-018
UI-101</x:v>
      </x:c>
      <x:c r="O19" s="5" t="str">
        <x:v>자동 추출 후보 / 공식 전수 체크리스트 아님</x:v>
      </x:c>
    </x:row>
    <x:row r="20" ht="26.399999618530273" hidden="0" customHeight="1">
      <x:c r="A20" s="5" t="str">
        <x:v>KRDS-SEC-019-U-03</x:v>
      </x:c>
      <x:c r="B20" s="5" t="str">
        <x:v>KRDS-SEC-019</x:v>
      </x:c>
      <x:c r="C20" s="5" t="str">
        <x:v>컴포넌트</x:v>
      </x:c>
      <x:c r="D20" s="5" t="str">
        <x:v>아이덴티티</x:v>
      </x:c>
      <x:c r="E20" s="5" t="str">
        <x:v>헤더</x:v>
      </x:c>
      <x:c r="F20" s="5" t="str">
        <x:v>사용성 가이드라인</x:v>
      </x:c>
      <x:c r="G20" s="5" t="str">
        <x:v>03</x:v>
      </x:c>
      <x:c r="H20" s="5" t="n">
        <x:v>235</x:v>
      </x:c>
      <x:c r="I20" s="5" t="n">
        <x:v>235</x:v>
      </x:c>
      <x:c r="J20" s="5" t="str">
        <x:v>236</x:v>
      </x:c>
      <x:c r="K20" s="5" t="str">
        <x:v>헤더의 내부 컴포넌트를 일관된 순서로 배치한다.</x:v>
      </x:c>
      <x:c r="L20" s="5" t="str">
        <x:v>원문 세부기준</x:v>
      </x:c>
      <x:c r="M20" s="5" t="str">
        <x:v>추출 후 기본 구조 검토; 원문 적용수준·전체 맥락 재확인 필요</x:v>
      </x:c>
      <x:c r="N20" s="5" t="str">
        <x:v>UI-018
UI-101</x:v>
      </x:c>
      <x:c r="O20" s="5" t="str">
        <x:v>자동 추출 후보 / 공식 전수 체크리스트 아님</x:v>
      </x:c>
    </x:row>
    <x:row r="21" ht="26.399999618530273" hidden="0" customHeight="1">
      <x:c r="A21" s="5" t="str">
        <x:v>KRDS-SEC-019-U-04</x:v>
      </x:c>
      <x:c r="B21" s="5" t="str">
        <x:v>KRDS-SEC-019</x:v>
      </x:c>
      <x:c r="C21" s="5" t="str">
        <x:v>컴포넌트</x:v>
      </x:c>
      <x:c r="D21" s="5" t="str">
        <x:v>아이덴티티</x:v>
      </x:c>
      <x:c r="E21" s="5" t="str">
        <x:v>헤더</x:v>
      </x:c>
      <x:c r="F21" s="5" t="str">
        <x:v>사용성 가이드라인</x:v>
      </x:c>
      <x:c r="G21" s="5" t="str">
        <x:v>04</x:v>
      </x:c>
      <x:c r="H21" s="5" t="n">
        <x:v>235</x:v>
      </x:c>
      <x:c r="I21" s="5" t="n">
        <x:v>235</x:v>
      </x:c>
      <x:c r="J21" s="5" t="str">
        <x:v>236</x:v>
      </x:c>
      <x:c r="K21" s="5" t="str">
        <x:v>핵심적인 정보만 간결하게 제공한다.</x:v>
      </x:c>
      <x:c r="L21" s="5" t="str">
        <x:v>원문 세부기준</x:v>
      </x:c>
      <x:c r="M21" s="5" t="str">
        <x:v>추출 후 기본 구조 검토; 원문 적용수준·전체 맥락 재확인 필요</x:v>
      </x:c>
      <x:c r="N21" s="5" t="str">
        <x:v>UI-018
UI-101</x:v>
      </x:c>
      <x:c r="O21" s="5" t="str">
        <x:v>자동 추출 후보 / 공식 전수 체크리스트 아님</x:v>
      </x:c>
    </x:row>
    <x:row r="22" ht="26.399999618530273" hidden="0" customHeight="1">
      <x:c r="A22" s="5" t="str">
        <x:v>KRDS-SEC-019-U-05</x:v>
      </x:c>
      <x:c r="B22" s="5" t="str">
        <x:v>KRDS-SEC-019</x:v>
      </x:c>
      <x:c r="C22" s="5" t="str">
        <x:v>컴포넌트</x:v>
      </x:c>
      <x:c r="D22" s="5" t="str">
        <x:v>아이덴티티</x:v>
      </x:c>
      <x:c r="E22" s="5" t="str">
        <x:v>헤더</x:v>
      </x:c>
      <x:c r="F22" s="5" t="str">
        <x:v>사용성 가이드라인</x:v>
      </x:c>
      <x:c r="G22" s="5" t="str">
        <x:v>05</x:v>
      </x:c>
      <x:c r="H22" s="5" t="n">
        <x:v>235</x:v>
      </x:c>
      <x:c r="I22" s="5" t="n">
        <x:v>235</x:v>
      </x:c>
      <x:c r="J22" s="5" t="str">
        <x:v>237</x:v>
      </x:c>
      <x:c r="K22" s="5" t="str">
        <x:v>유틸리티 링크 그룹은 헤더 우측 상단에 제공한다.</x:v>
      </x:c>
      <x:c r="L22" s="5" t="str">
        <x:v>원문 세부기준</x:v>
      </x:c>
      <x:c r="M22" s="5" t="str">
        <x:v>추출 후 기본 구조 검토; 원문 적용수준·전체 맥락 재확인 필요</x:v>
      </x:c>
      <x:c r="N22" s="5" t="str">
        <x:v>UI-018
UI-101</x:v>
      </x:c>
      <x:c r="O22" s="5" t="str">
        <x:v>자동 추출 후보 / 공식 전수 체크리스트 아님</x:v>
      </x:c>
    </x:row>
    <x:row r="23" ht="26.399999618530273" hidden="0" customHeight="1">
      <x:c r="A23" s="5" t="str">
        <x:v>KRDS-SEC-019-U-06</x:v>
      </x:c>
      <x:c r="B23" s="5" t="str">
        <x:v>KRDS-SEC-019</x:v>
      </x:c>
      <x:c r="C23" s="5" t="str">
        <x:v>컴포넌트</x:v>
      </x:c>
      <x:c r="D23" s="5" t="str">
        <x:v>아이덴티티</x:v>
      </x:c>
      <x:c r="E23" s="5" t="str">
        <x:v>헤더</x:v>
      </x:c>
      <x:c r="F23" s="5" t="str">
        <x:v>사용성 가이드라인</x:v>
      </x:c>
      <x:c r="G23" s="5" t="str">
        <x:v>06</x:v>
      </x:c>
      <x:c r="H23" s="5" t="n">
        <x:v>235</x:v>
      </x:c>
      <x:c r="I23" s="5" t="n">
        <x:v>235</x:v>
      </x:c>
      <x:c r="J23" s="5" t="str">
        <x:v>237</x:v>
      </x:c>
      <x:c r="K23" s="5" t="str">
        <x:v>유틸리티 링크 그룹을 디바이더로 구분하여 표현한다.</x:v>
      </x:c>
      <x:c r="L23" s="5" t="str">
        <x:v>원문 세부기준</x:v>
      </x:c>
      <x:c r="M23" s="5" t="str">
        <x:v>추출 후 기본 구조 검토; 원문 적용수준·전체 맥락 재확인 필요</x:v>
      </x:c>
      <x:c r="N23" s="5" t="str">
        <x:v>UI-018
UI-101</x:v>
      </x:c>
      <x:c r="O23" s="5" t="str">
        <x:v>자동 추출 후보 / 공식 전수 체크리스트 아님</x:v>
      </x:c>
    </x:row>
    <x:row r="24" ht="26.399999618530273" hidden="0" customHeight="1">
      <x:c r="A24" s="5" t="str">
        <x:v>KRDS-SEC-019-U-07</x:v>
      </x:c>
      <x:c r="B24" s="5" t="str">
        <x:v>KRDS-SEC-019</x:v>
      </x:c>
      <x:c r="C24" s="5" t="str">
        <x:v>컴포넌트</x:v>
      </x:c>
      <x:c r="D24" s="5" t="str">
        <x:v>아이덴티티</x:v>
      </x:c>
      <x:c r="E24" s="5" t="str">
        <x:v>헤더</x:v>
      </x:c>
      <x:c r="F24" s="5" t="str">
        <x:v>사용성 가이드라인</x:v>
      </x:c>
      <x:c r="G24" s="5" t="str">
        <x:v>07</x:v>
      </x:c>
      <x:c r="H24" s="5" t="n">
        <x:v>235</x:v>
      </x:c>
      <x:c r="I24" s="5" t="n">
        <x:v>235</x:v>
      </x:c>
      <x:c r="J24" s="5" t="str">
        <x:v>238</x:v>
      </x:c>
      <x:c r="K24" s="5" t="str">
        <x:v>유틸리티 링크가 5개 이상 필요한 경우 드롭다운 메뉴를 사용한다.</x:v>
      </x:c>
      <x:c r="L24" s="5" t="str">
        <x:v>원문 세부기준</x:v>
      </x:c>
      <x:c r="M24" s="5" t="str">
        <x:v>추출 후 기본 구조 검토; 원문 적용수준·전체 맥락 재확인 필요</x:v>
      </x:c>
      <x:c r="N24" s="5" t="str">
        <x:v>UI-018
UI-101</x:v>
      </x:c>
      <x:c r="O24" s="5" t="str">
        <x:v>자동 추출 후보 / 공식 전수 체크리스트 아님</x:v>
      </x:c>
    </x:row>
    <x:row r="25" ht="26.399999618530273" hidden="0" customHeight="1">
      <x:c r="A25" s="5" t="str">
        <x:v>KRDS-SEC-019-U-08</x:v>
      </x:c>
      <x:c r="B25" s="5" t="str">
        <x:v>KRDS-SEC-019</x:v>
      </x:c>
      <x:c r="C25" s="5" t="str">
        <x:v>컴포넌트</x:v>
      </x:c>
      <x:c r="D25" s="5" t="str">
        <x:v>아이덴티티</x:v>
      </x:c>
      <x:c r="E25" s="5" t="str">
        <x:v>헤더</x:v>
      </x:c>
      <x:c r="F25" s="5" t="str">
        <x:v>사용성 가이드라인</x:v>
      </x:c>
      <x:c r="G25" s="5" t="str">
        <x:v>08</x:v>
      </x:c>
      <x:c r="H25" s="5" t="n">
        <x:v>235</x:v>
      </x:c>
      <x:c r="I25" s="5" t="n">
        <x:v>235</x:v>
      </x:c>
      <x:c r="J25" s="5" t="str">
        <x:v>239</x:v>
      </x:c>
      <x:c r="K25" s="5" t="str">
        <x:v>언어 설정을 위한 드롭다운 메뉴에 국기를 사용하지 않는다.</x:v>
      </x:c>
      <x:c r="L25" s="5" t="str">
        <x:v>원문 세부기준</x:v>
      </x:c>
      <x:c r="M25" s="5" t="str">
        <x:v>추출 후 기본 구조 검토; 원문 적용수준·전체 맥락 재확인 필요</x:v>
      </x:c>
      <x:c r="N25" s="5" t="str">
        <x:v>UI-018
UI-101</x:v>
      </x:c>
      <x:c r="O25" s="5" t="str">
        <x:v>자동 추출 후보 / 공식 전수 체크리스트 아님</x:v>
      </x:c>
    </x:row>
    <x:row r="26" ht="26.399999618530273" hidden="0" customHeight="1">
      <x:c r="A26" s="5" t="str">
        <x:v>KRDS-SEC-019-U-09</x:v>
      </x:c>
      <x:c r="B26" s="5" t="str">
        <x:v>KRDS-SEC-019</x:v>
      </x:c>
      <x:c r="C26" s="5" t="str">
        <x:v>컴포넌트</x:v>
      </x:c>
      <x:c r="D26" s="5" t="str">
        <x:v>아이덴티티</x:v>
      </x:c>
      <x:c r="E26" s="5" t="str">
        <x:v>헤더</x:v>
      </x:c>
      <x:c r="F26" s="5" t="str">
        <x:v>사용성 가이드라인</x:v>
      </x:c>
      <x:c r="G26" s="5" t="str">
        <x:v>09</x:v>
      </x:c>
      <x:c r="H26" s="5" t="n">
        <x:v>235</x:v>
      </x:c>
      <x:c r="I26" s="5" t="n">
        <x:v>235</x:v>
      </x:c>
      <x:c r="J26" s="5" t="str">
        <x:v>240</x:v>
      </x:c>
      <x:c r="K26" s="5" t="str">
        <x:v>아이콘 버튼/링크에 텍스트 레이블을 제공한다.</x:v>
      </x:c>
      <x:c r="L26" s="5" t="str">
        <x:v>원문 세부기준</x:v>
      </x:c>
      <x:c r="M26" s="5" t="str">
        <x:v>추출 후 기본 구조 검토; 원문 적용수준·전체 맥락 재확인 필요</x:v>
      </x:c>
      <x:c r="N26" s="5" t="str">
        <x:v>UI-018
UI-101</x:v>
      </x:c>
      <x:c r="O26" s="5" t="str">
        <x:v>자동 추출 후보 / 공식 전수 체크리스트 아님</x:v>
      </x:c>
    </x:row>
    <x:row r="27" ht="26.399999618530273" hidden="0" customHeight="1">
      <x:c r="A27" s="5" t="str">
        <x:v>KRDS-SEC-019-U-10</x:v>
      </x:c>
      <x:c r="B27" s="5" t="str">
        <x:v>KRDS-SEC-019</x:v>
      </x:c>
      <x:c r="C27" s="5" t="str">
        <x:v>컴포넌트</x:v>
      </x:c>
      <x:c r="D27" s="5" t="str">
        <x:v>아이덴티티</x:v>
      </x:c>
      <x:c r="E27" s="5" t="str">
        <x:v>헤더</x:v>
      </x:c>
      <x:c r="F27" s="5" t="str">
        <x:v>사용성 가이드라인</x:v>
      </x:c>
      <x:c r="G27" s="5" t="str">
        <x:v>10</x:v>
      </x:c>
      <x:c r="H27" s="5" t="n">
        <x:v>235</x:v>
      </x:c>
      <x:c r="I27" s="5" t="n">
        <x:v>235</x:v>
      </x:c>
      <x:c r="J27" s="5" t="str">
        <x:v>241</x:v>
      </x:c>
      <x:c r="K27" s="5" t="str">
        <x:v>메인 메뉴와 검색의 위치는 웹사이트의 목적에 적합한 형태로 제공한다.</x:v>
      </x:c>
      <x:c r="L27" s="5" t="str">
        <x:v>원문 세부기준</x:v>
      </x:c>
      <x:c r="M27" s="5" t="str">
        <x:v>추출 후 기본 구조 검토; 원문 적용수준·전체 맥락 재확인 필요</x:v>
      </x:c>
      <x:c r="N27" s="5" t="str">
        <x:v>UI-018
UI-101</x:v>
      </x:c>
      <x:c r="O27" s="5" t="str">
        <x:v>자동 추출 후보 / 공식 전수 체크리스트 아님</x:v>
      </x:c>
    </x:row>
    <x:row r="28" ht="26.399999618530273" hidden="0" customHeight="1">
      <x:c r="A28" s="5" t="str">
        <x:v>KRDS-SEC-019-U-11</x:v>
      </x:c>
      <x:c r="B28" s="5" t="str">
        <x:v>KRDS-SEC-019</x:v>
      </x:c>
      <x:c r="C28" s="5" t="str">
        <x:v>컴포넌트</x:v>
      </x:c>
      <x:c r="D28" s="5" t="str">
        <x:v>아이덴티티</x:v>
      </x:c>
      <x:c r="E28" s="5" t="str">
        <x:v>헤더</x:v>
      </x:c>
      <x:c r="F28" s="5" t="str">
        <x:v>사용성 가이드라인</x:v>
      </x:c>
      <x:c r="G28" s="5" t="str">
        <x:v>11</x:v>
      </x:c>
      <x:c r="H28" s="5" t="n">
        <x:v>235</x:v>
      </x:c>
      <x:c r="I28" s="5" t="n">
        <x:v>235</x:v>
      </x:c>
      <x:c r="J28" s="5" t="str">
        <x:v>242</x:v>
      </x:c>
      <x:c r="K28" s="5" t="str">
        <x:v>화면을 스크롤 했을 때 헤더를 뷰포트 상단에 고정할 수 있다.</x:v>
      </x:c>
      <x:c r="L28" s="5" t="str">
        <x:v>원문 세부기준</x:v>
      </x:c>
      <x:c r="M28" s="5" t="str">
        <x:v>추출 후 기본 구조 검토; 원문 적용수준·전체 맥락 재확인 필요</x:v>
      </x:c>
      <x:c r="N28" s="5" t="str">
        <x:v>UI-018
UI-101</x:v>
      </x:c>
      <x:c r="O28" s="5" t="str">
        <x:v>자동 추출 후보 / 공식 전수 체크리스트 아님</x:v>
      </x:c>
    </x:row>
    <x:row r="29" ht="26.399999618530273" hidden="0" customHeight="1">
      <x:c r="A29" s="5" t="str">
        <x:v>KRDS-SEC-019-P-01</x:v>
      </x:c>
      <x:c r="B29" s="5" t="str">
        <x:v>KRDS-SEC-019</x:v>
      </x:c>
      <x:c r="C29" s="5" t="str">
        <x:v>컴포넌트</x:v>
      </x:c>
      <x:c r="D29" s="5" t="str">
        <x:v>아이덴티티</x:v>
      </x:c>
      <x:c r="E29" s="5" t="str">
        <x:v>헤더</x:v>
      </x:c>
      <x:c r="F29" s="5" t="str">
        <x:v>플랫폼에 대한 고려 사항</x:v>
      </x:c>
      <x:c r="G29" s="5" t="str">
        <x:v>01</x:v>
      </x:c>
      <x:c r="H29" s="5" t="n">
        <x:v>244</x:v>
      </x:c>
      <x:c r="I29" s="5" t="n">
        <x:v>244</x:v>
      </x:c>
      <x:c r="J29" s="5" t="str"/>
      <x:c r="K29" s="5" t="str">
        <x:v>화면 너비가 충분하지 않아 메인 메뉴를 표시할 수 없을 때 햄버거 메뉴 형태로 제공할 수 있다.</x:v>
      </x:c>
      <x:c r="L29" s="5" t="str">
        <x:v>원문 세부기준</x:v>
      </x:c>
      <x:c r="M29" s="5" t="str">
        <x:v>추출 후 기본 구조 검토; 원문 적용수준·전체 맥락 재확인 필요</x:v>
      </x:c>
      <x:c r="N29" s="5" t="str">
        <x:v>UI-018
UI-101</x:v>
      </x:c>
      <x:c r="O29" s="5" t="str">
        <x:v>자동 추출 후보 / 공식 전수 체크리스트 아님</x:v>
      </x:c>
    </x:row>
    <x:row r="30" ht="26.399999618530273" hidden="0" customHeight="1">
      <x:c r="A30" s="5" t="str">
        <x:v>KRDS-SEC-019-A-01</x:v>
      </x:c>
      <x:c r="B30" s="5" t="str">
        <x:v>KRDS-SEC-019</x:v>
      </x:c>
      <x:c r="C30" s="5" t="str">
        <x:v>컴포넌트</x:v>
      </x:c>
      <x:c r="D30" s="5" t="str">
        <x:v>아이덴티티</x:v>
      </x:c>
      <x:c r="E30" s="5" t="str">
        <x:v>헤더</x:v>
      </x:c>
      <x:c r="F30" s="5" t="str">
        <x:v>접근성 가이드라인</x:v>
      </x:c>
      <x:c r="G30" s="5" t="str">
        <x:v>01</x:v>
      </x:c>
      <x:c r="H30" s="5" t="n">
        <x:v>245</x:v>
      </x:c>
      <x:c r="I30" s="5" t="n">
        <x:v>245</x:v>
      </x:c>
      <x:c r="J30" s="5" t="str"/>
      <x:c r="K30" s="5" t="str">
        <x:v>건너뛰기 링크를 최상단에 배치한다.</x:v>
      </x:c>
      <x:c r="L30" s="5" t="str">
        <x:v>원문 세부기준</x:v>
      </x:c>
      <x:c r="M30" s="5" t="str">
        <x:v>추출 후 기본 구조 검토; 원문 적용수준·전체 맥락 재확인 필요</x:v>
      </x:c>
      <x:c r="N30" s="5" t="str">
        <x:v>UI-018
UI-101</x:v>
      </x:c>
      <x:c r="O30" s="5" t="str">
        <x:v>자동 추출 후보 / 공식 전수 체크리스트 아님</x:v>
      </x:c>
    </x:row>
    <x:row r="31" ht="26.399999618530273" hidden="0" customHeight="1">
      <x:c r="A31" s="5" t="str">
        <x:v>KRDS-SEC-019-A-02</x:v>
      </x:c>
      <x:c r="B31" s="5" t="str">
        <x:v>KRDS-SEC-019</x:v>
      </x:c>
      <x:c r="C31" s="5" t="str">
        <x:v>컴포넌트</x:v>
      </x:c>
      <x:c r="D31" s="5" t="str">
        <x:v>아이덴티티</x:v>
      </x:c>
      <x:c r="E31" s="5" t="str">
        <x:v>헤더</x:v>
      </x:c>
      <x:c r="F31" s="5" t="str">
        <x:v>접근성 가이드라인</x:v>
      </x:c>
      <x:c r="G31" s="5" t="str">
        <x:v>02</x:v>
      </x:c>
      <x:c r="H31" s="5" t="n">
        <x:v>245</x:v>
      </x:c>
      <x:c r="I31" s="5" t="n">
        <x:v>245</x:v>
      </x:c>
      <x:c r="J31" s="5" t="str"/>
      <x:c r="K31" s="5" t="str">
        <x:v>로고 이미지에 대체 텍스트를 제공한다.</x:v>
      </x:c>
      <x:c r="L31" s="5" t="str">
        <x:v>원문 세부기준</x:v>
      </x:c>
      <x:c r="M31" s="5" t="str">
        <x:v>추출 후 기본 구조 검토; 원문 적용수준·전체 맥락 재확인 필요</x:v>
      </x:c>
      <x:c r="N31" s="5" t="str">
        <x:v>UI-018
UI-101</x:v>
      </x:c>
      <x:c r="O31" s="5" t="str">
        <x:v>자동 추출 후보 / 공식 전수 체크리스트 아님</x:v>
      </x:c>
    </x:row>
    <x:row r="32" ht="39.599998474121094" hidden="0" customHeight="1">
      <x:c r="A32" s="5" t="str">
        <x:v>KRDS-SEC-020-U-01</x:v>
      </x:c>
      <x:c r="B32" s="5" t="str">
        <x:v>KRDS-SEC-020</x:v>
      </x:c>
      <x:c r="C32" s="5" t="str">
        <x:v>컴포넌트</x:v>
      </x:c>
      <x:c r="D32" s="5" t="str">
        <x:v>아이덴티티</x:v>
      </x:c>
      <x:c r="E32" s="5" t="str">
        <x:v>푸터</x:v>
      </x:c>
      <x:c r="F32" s="5" t="str">
        <x:v>사용성 가이드라인</x:v>
      </x:c>
      <x:c r="G32" s="5" t="str">
        <x:v>01</x:v>
      </x:c>
      <x:c r="H32" s="5" t="n">
        <x:v>247</x:v>
      </x:c>
      <x:c r="I32" s="5" t="n">
        <x:v>247</x:v>
      </x:c>
      <x:c r="J32" s="5" t="str">
        <x:v>248</x:v>
      </x:c>
      <x:c r="K32" s="5" t="str">
        <x:v>모든 화면에 푸터를 일관된 위치에 제공해야 한다.</x:v>
      </x:c>
      <x:c r="L32" s="5" t="str">
        <x:v>원문 세부기준</x:v>
      </x:c>
      <x:c r="M32" s="5" t="str">
        <x:v>추출 후 기본 구조 검토; 원문 적용수준·전체 맥락 재확인 필요</x:v>
      </x:c>
      <x:c r="N32" s="5" t="str">
        <x:v>UI-019
UI-125
UI-127</x:v>
      </x:c>
      <x:c r="O32" s="5" t="str">
        <x:v>자동 추출 후보 / 공식 전수 체크리스트 아님</x:v>
      </x:c>
    </x:row>
    <x:row r="33" ht="39.599998474121094" hidden="0" customHeight="1">
      <x:c r="A33" s="5" t="str">
        <x:v>KRDS-SEC-020-U-02</x:v>
      </x:c>
      <x:c r="B33" s="5" t="str">
        <x:v>KRDS-SEC-020</x:v>
      </x:c>
      <x:c r="C33" s="5" t="str">
        <x:v>컴포넌트</x:v>
      </x:c>
      <x:c r="D33" s="5" t="str">
        <x:v>아이덴티티</x:v>
      </x:c>
      <x:c r="E33" s="5" t="str">
        <x:v>푸터</x:v>
      </x:c>
      <x:c r="F33" s="5" t="str">
        <x:v>사용성 가이드라인</x:v>
      </x:c>
      <x:c r="G33" s="5" t="str">
        <x:v>02</x:v>
      </x:c>
      <x:c r="H33" s="5" t="n">
        <x:v>247</x:v>
      </x:c>
      <x:c r="I33" s="5" t="n">
        <x:v>247</x:v>
      </x:c>
      <x:c r="J33" s="5" t="str">
        <x:v>249</x:v>
      </x:c>
      <x:c r="K33" s="5" t="str">
        <x:v>모든 디지털 정부서비스에서 푸터 섹션의 정보는 일관된 순서로 제공한다.</x:v>
      </x:c>
      <x:c r="L33" s="5" t="str">
        <x:v>원문 세부기준</x:v>
      </x:c>
      <x:c r="M33" s="5" t="str">
        <x:v>추출 후 기본 구조 검토; 원문 적용수준·전체 맥락 재확인 필요</x:v>
      </x:c>
      <x:c r="N33" s="5" t="str">
        <x:v>UI-019
UI-125
UI-127</x:v>
      </x:c>
      <x:c r="O33" s="5" t="str">
        <x:v>자동 추출 후보 / 공식 전수 체크리스트 아님</x:v>
      </x:c>
    </x:row>
    <x:row r="34" ht="39.599998474121094" hidden="0" customHeight="1">
      <x:c r="A34" s="5" t="str">
        <x:v>KRDS-SEC-020-U-03</x:v>
      </x:c>
      <x:c r="B34" s="5" t="str">
        <x:v>KRDS-SEC-020</x:v>
      </x:c>
      <x:c r="C34" s="5" t="str">
        <x:v>컴포넌트</x:v>
      </x:c>
      <x:c r="D34" s="5" t="str">
        <x:v>아이덴티티</x:v>
      </x:c>
      <x:c r="E34" s="5" t="str">
        <x:v>푸터</x:v>
      </x:c>
      <x:c r="F34" s="5" t="str">
        <x:v>사용성 가이드라인</x:v>
      </x:c>
      <x:c r="G34" s="5" t="str">
        <x:v>03</x:v>
      </x:c>
      <x:c r="H34" s="5" t="n">
        <x:v>247</x:v>
      </x:c>
      <x:c r="I34" s="5" t="n">
        <x:v>247</x:v>
      </x:c>
      <x:c r="J34" s="5" t="str">
        <x:v>249</x:v>
      </x:c>
      <x:c r="K34" s="5" t="str">
        <x:v>개인정보처리방침을 반드시 표시한다.</x:v>
      </x:c>
      <x:c r="L34" s="5" t="str">
        <x:v>원문 세부기준</x:v>
      </x:c>
      <x:c r="M34" s="5" t="str">
        <x:v>추출 후 기본 구조 검토; 원문 적용수준·전체 맥락 재확인 필요</x:v>
      </x:c>
      <x:c r="N34" s="5" t="str">
        <x:v>UI-019
UI-125
UI-127</x:v>
      </x:c>
      <x:c r="O34" s="5" t="str">
        <x:v>자동 추출 후보 / 공식 전수 체크리스트 아님</x:v>
      </x:c>
    </x:row>
    <x:row r="35" ht="39.599998474121094" hidden="0" customHeight="1">
      <x:c r="A35" s="5" t="str">
        <x:v>KRDS-SEC-020-U-04</x:v>
      </x:c>
      <x:c r="B35" s="5" t="str">
        <x:v>KRDS-SEC-020</x:v>
      </x:c>
      <x:c r="C35" s="5" t="str">
        <x:v>컴포넌트</x:v>
      </x:c>
      <x:c r="D35" s="5" t="str">
        <x:v>아이덴티티</x:v>
      </x:c>
      <x:c r="E35" s="5" t="str">
        <x:v>푸터</x:v>
      </x:c>
      <x:c r="F35" s="5" t="str">
        <x:v>사용성 가이드라인</x:v>
      </x:c>
      <x:c r="G35" s="5" t="str">
        <x:v>04</x:v>
      </x:c>
      <x:c r="H35" s="5" t="n">
        <x:v>247</x:v>
      </x:c>
      <x:c r="I35" s="5" t="n">
        <x:v>247</x:v>
      </x:c>
      <x:c r="J35" s="5" t="str">
        <x:v>249</x:v>
      </x:c>
      <x:c r="K35" s="5" t="str">
        <x:v>전자상거래가 포함된 경우 이용약관을 반드시 표시한다.</x:v>
      </x:c>
      <x:c r="L35" s="5" t="str">
        <x:v>원문 세부기준</x:v>
      </x:c>
      <x:c r="M35" s="5" t="str">
        <x:v>추출 후 기본 구조 검토; 원문 적용수준·전체 맥락 재확인 필요</x:v>
      </x:c>
      <x:c r="N35" s="5" t="str">
        <x:v>UI-019
UI-125
UI-127</x:v>
      </x:c>
      <x:c r="O35" s="5" t="str">
        <x:v>자동 추출 후보 / 공식 전수 체크리스트 아님</x:v>
      </x:c>
    </x:row>
    <x:row r="36" ht="39.599998474121094" hidden="0" customHeight="1">
      <x:c r="A36" s="5" t="str">
        <x:v>KRDS-SEC-020-U-05</x:v>
      </x:c>
      <x:c r="B36" s="5" t="str">
        <x:v>KRDS-SEC-020</x:v>
      </x:c>
      <x:c r="C36" s="5" t="str">
        <x:v>컴포넌트</x:v>
      </x:c>
      <x:c r="D36" s="5" t="str">
        <x:v>아이덴티티</x:v>
      </x:c>
      <x:c r="E36" s="5" t="str">
        <x:v>푸터</x:v>
      </x:c>
      <x:c r="F36" s="5" t="str">
        <x:v>사용성 가이드라인</x:v>
      </x:c>
      <x:c r="G36" s="5" t="str">
        <x:v>05</x:v>
      </x:c>
      <x:c r="H36" s="5" t="n">
        <x:v>247</x:v>
      </x:c>
      <x:c r="I36" s="5" t="n">
        <x:v>247</x:v>
      </x:c>
      <x:c r="J36" s="5" t="str">
        <x:v>250</x:v>
      </x:c>
      <x:c r="K36" s="5" t="str">
        <x:v>사용자들이 빈번하게 찾는 링크를 배치한다.</x:v>
      </x:c>
      <x:c r="L36" s="5" t="str">
        <x:v>원문 세부기준</x:v>
      </x:c>
      <x:c r="M36" s="5" t="str">
        <x:v>추출 후 기본 구조 검토; 원문 적용수준·전체 맥락 재확인 필요</x:v>
      </x:c>
      <x:c r="N36" s="5" t="str">
        <x:v>UI-019
UI-125
UI-127</x:v>
      </x:c>
      <x:c r="O36" s="5" t="str">
        <x:v>자동 추출 후보 / 공식 전수 체크리스트 아님</x:v>
      </x:c>
    </x:row>
    <x:row r="37" ht="39.599998474121094" hidden="0" customHeight="1">
      <x:c r="A37" s="5" t="str">
        <x:v>KRDS-SEC-020-U-06</x:v>
      </x:c>
      <x:c r="B37" s="5" t="str">
        <x:v>KRDS-SEC-020</x:v>
      </x:c>
      <x:c r="C37" s="5" t="str">
        <x:v>컴포넌트</x:v>
      </x:c>
      <x:c r="D37" s="5" t="str">
        <x:v>아이덴티티</x:v>
      </x:c>
      <x:c r="E37" s="5" t="str">
        <x:v>푸터</x:v>
      </x:c>
      <x:c r="F37" s="5" t="str">
        <x:v>사용성 가이드라인</x:v>
      </x:c>
      <x:c r="G37" s="5" t="str">
        <x:v>06</x:v>
      </x:c>
      <x:c r="H37" s="5" t="n">
        <x:v>247</x:v>
      </x:c>
      <x:c r="I37" s="5" t="n">
        <x:v>247</x:v>
      </x:c>
      <x:c r="J37" s="5" t="str">
        <x:v>250</x:v>
      </x:c>
      <x:c r="K37" s="5" t="str">
        <x:v>푸터에 제공하는 서비스 내비게이션은 기본 내비게이션과 동일한 구조 및 레이블을 따라야 한다.</x:v>
      </x:c>
      <x:c r="L37" s="5" t="str">
        <x:v>원문 세부기준</x:v>
      </x:c>
      <x:c r="M37" s="5" t="str">
        <x:v>추출 후 기본 구조 검토; 원문 적용수준·전체 맥락 재확인 필요</x:v>
      </x:c>
      <x:c r="N37" s="5" t="str">
        <x:v>UI-019
UI-125
UI-127</x:v>
      </x:c>
      <x:c r="O37" s="5" t="str">
        <x:v>자동 추출 후보 / 공식 전수 체크리스트 아님</x:v>
      </x:c>
    </x:row>
    <x:row r="38" ht="39.599998474121094" hidden="0" customHeight="1">
      <x:c r="A38" s="5" t="str">
        <x:v>KRDS-SEC-020-U-07</x:v>
      </x:c>
      <x:c r="B38" s="5" t="str">
        <x:v>KRDS-SEC-020</x:v>
      </x:c>
      <x:c r="C38" s="5" t="str">
        <x:v>컴포넌트</x:v>
      </x:c>
      <x:c r="D38" s="5" t="str">
        <x:v>아이덴티티</x:v>
      </x:c>
      <x:c r="E38" s="5" t="str">
        <x:v>푸터</x:v>
      </x:c>
      <x:c r="F38" s="5" t="str">
        <x:v>사용성 가이드라인</x:v>
      </x:c>
      <x:c r="G38" s="5" t="str">
        <x:v>07</x:v>
      </x:c>
      <x:c r="H38" s="5" t="n">
        <x:v>247</x:v>
      </x:c>
      <x:c r="I38" s="5" t="n">
        <x:v>247</x:v>
      </x:c>
      <x:c r="J38" s="5" t="str">
        <x:v>250</x:v>
      </x:c>
      <x:c r="K38" s="5" t="str">
        <x:v>연락처 정보와 각종 링크는 항상 최신 상태로 유지한다.</x:v>
      </x:c>
      <x:c r="L38" s="5" t="str">
        <x:v>원문 세부기준</x:v>
      </x:c>
      <x:c r="M38" s="5" t="str">
        <x:v>추출 후 기본 구조 검토; 원문 적용수준·전체 맥락 재확인 필요</x:v>
      </x:c>
      <x:c r="N38" s="5" t="str">
        <x:v>UI-019
UI-125
UI-127</x:v>
      </x:c>
      <x:c r="O38" s="5" t="str">
        <x:v>자동 추출 후보 / 공식 전수 체크리스트 아님</x:v>
      </x:c>
    </x:row>
    <x:row r="39" ht="39.599998474121094" hidden="0" customHeight="1">
      <x:c r="A39" s="5" t="str">
        <x:v>KRDS-SEC-020-P-01</x:v>
      </x:c>
      <x:c r="B39" s="5" t="str">
        <x:v>KRDS-SEC-020</x:v>
      </x:c>
      <x:c r="C39" s="5" t="str">
        <x:v>컴포넌트</x:v>
      </x:c>
      <x:c r="D39" s="5" t="str">
        <x:v>아이덴티티</x:v>
      </x:c>
      <x:c r="E39" s="5" t="str">
        <x:v>푸터</x:v>
      </x:c>
      <x:c r="F39" s="5" t="str">
        <x:v>플랫폼에 대한 고려 사항</x:v>
      </x:c>
      <x:c r="G39" s="5" t="str">
        <x:v>01</x:v>
      </x:c>
      <x:c r="H39" s="5" t="n">
        <x:v>251</x:v>
      </x:c>
      <x:c r="I39" s="5" t="n">
        <x:v>251</x:v>
      </x:c>
      <x:c r="J39" s="5" t="str"/>
      <x:c r="K39" s="5" t="str">
        <x:v>작은 화면 너비에서도 푸터의 정보 요소는 상대적으로 동일한 순서로 제공되도록 표현한다.</x:v>
      </x:c>
      <x:c r="L39" s="5" t="str">
        <x:v>원문 세부기준</x:v>
      </x:c>
      <x:c r="M39" s="5" t="str">
        <x:v>추출 후 기본 구조 검토; 원문 적용수준·전체 맥락 재확인 필요</x:v>
      </x:c>
      <x:c r="N39" s="5" t="str">
        <x:v>UI-019
UI-125
UI-127</x:v>
      </x:c>
      <x:c r="O39" s="5" t="str">
        <x:v>자동 추출 후보 / 공식 전수 체크리스트 아님</x:v>
      </x:c>
    </x:row>
    <x:row r="40" ht="39.599998474121094" hidden="0" customHeight="1">
      <x:c r="A40" s="5" t="str">
        <x:v>KRDS-SEC-020-A-01</x:v>
      </x:c>
      <x:c r="B40" s="5" t="str">
        <x:v>KRDS-SEC-020</x:v>
      </x:c>
      <x:c r="C40" s="5" t="str">
        <x:v>컴포넌트</x:v>
      </x:c>
      <x:c r="D40" s="5" t="str">
        <x:v>아이덴티티</x:v>
      </x:c>
      <x:c r="E40" s="5" t="str">
        <x:v>푸터</x:v>
      </x:c>
      <x:c r="F40" s="5" t="str">
        <x:v>접근성 가이드라인</x:v>
      </x:c>
      <x:c r="G40" s="5" t="str">
        <x:v>01</x:v>
      </x:c>
      <x:c r="H40" s="5" t="n">
        <x:v>252</x:v>
      </x:c>
      <x:c r="I40" s="5" t="n">
        <x:v>252</x:v>
      </x:c>
      <x:c r="J40" s="5" t="str"/>
      <x:c r="K40" s="5" t="str">
        <x:v>푸터 영역이 스크린 리더에 인지될 수 있는 방식으로 제공한다.</x:v>
      </x:c>
      <x:c r="L40" s="5" t="str">
        <x:v>원문 세부기준</x:v>
      </x:c>
      <x:c r="M40" s="5" t="str">
        <x:v>추출 후 기본 구조 검토; 원문 적용수준·전체 맥락 재확인 필요</x:v>
      </x:c>
      <x:c r="N40" s="5" t="str">
        <x:v>UI-019
UI-125
UI-127</x:v>
      </x:c>
      <x:c r="O40" s="5" t="str">
        <x:v>자동 추출 후보 / 공식 전수 체크리스트 아님</x:v>
      </x:c>
    </x:row>
    <x:row r="41" ht="39.599998474121094" hidden="0" customHeight="1">
      <x:c r="A41" s="5" t="str">
        <x:v>KRDS-SEC-020-A-02</x:v>
      </x:c>
      <x:c r="B41" s="5" t="str">
        <x:v>KRDS-SEC-020</x:v>
      </x:c>
      <x:c r="C41" s="5" t="str">
        <x:v>컴포넌트</x:v>
      </x:c>
      <x:c r="D41" s="5" t="str">
        <x:v>아이덴티티</x:v>
      </x:c>
      <x:c r="E41" s="5" t="str">
        <x:v>푸터</x:v>
      </x:c>
      <x:c r="F41" s="5" t="str">
        <x:v>접근성 가이드라인</x:v>
      </x:c>
      <x:c r="G41" s="5" t="str">
        <x:v>02</x:v>
      </x:c>
      <x:c r="H41" s="5" t="n">
        <x:v>252</x:v>
      </x:c>
      <x:c r="I41" s="5" t="n">
        <x:v>252</x:v>
      </x:c>
      <x:c r="J41" s="5" t="str"/>
      <x:c r="K41" s="5" t="str">
        <x:v>로고 이미지에 대체 텍스트를 제공한다.</x:v>
      </x:c>
      <x:c r="L41" s="5" t="str">
        <x:v>원문 세부기준</x:v>
      </x:c>
      <x:c r="M41" s="5" t="str">
        <x:v>추출 후 기본 구조 검토; 원문 적용수준·전체 맥락 재확인 필요</x:v>
      </x:c>
      <x:c r="N41" s="5" t="str">
        <x:v>UI-019
UI-125
UI-127</x:v>
      </x:c>
      <x:c r="O41" s="5" t="str">
        <x:v>자동 추출 후보 / 공식 전수 체크리스트 아님</x:v>
      </x:c>
    </x:row>
    <x:row r="42" ht="26.399999618530273" hidden="0" customHeight="1">
      <x:c r="A42" s="5" t="str">
        <x:v>KRDS-SEC-021-U-01</x:v>
      </x:c>
      <x:c r="B42" s="5" t="str">
        <x:v>KRDS-SEC-021</x:v>
      </x:c>
      <x:c r="C42" s="5" t="str">
        <x:v>컴포넌트</x:v>
      </x:c>
      <x:c r="D42" s="5" t="str">
        <x:v>탐색</x:v>
      </x:c>
      <x:c r="E42" s="5" t="str">
        <x:v>건너뛰기 링크</x:v>
      </x:c>
      <x:c r="F42" s="5" t="str">
        <x:v>사용성 가이드라인</x:v>
      </x:c>
      <x:c r="G42" s="5" t="str">
        <x:v>01</x:v>
      </x:c>
      <x:c r="H42" s="5" t="n">
        <x:v>257</x:v>
      </x:c>
      <x:c r="I42" s="5" t="n">
        <x:v>257</x:v>
      </x:c>
      <x:c r="J42" s="5" t="str">
        <x:v>258</x:v>
      </x:c>
      <x:c r="K42" s="5" t="str">
        <x:v>웹사이트의 모든 화면에 건너뛰기 링크를 제공한다.</x:v>
      </x:c>
      <x:c r="L42" s="5" t="str">
        <x:v>원문 세부기준</x:v>
      </x:c>
      <x:c r="M42" s="5" t="str">
        <x:v>추출 후 기본 구조 검토; 원문 적용수준·전체 맥락 재확인 필요</x:v>
      </x:c>
      <x:c r="N42" s="5" t="str">
        <x:v>UI-020
UI-102</x:v>
      </x:c>
      <x:c r="O42" s="5" t="str">
        <x:v>자동 추출 후보 / 공식 전수 체크리스트 아님</x:v>
      </x:c>
    </x:row>
    <x:row r="43" ht="26.399999618530273" hidden="0" customHeight="1">
      <x:c r="A43" s="5" t="str">
        <x:v>KRDS-SEC-021-U-02</x:v>
      </x:c>
      <x:c r="B43" s="5" t="str">
        <x:v>KRDS-SEC-021</x:v>
      </x:c>
      <x:c r="C43" s="5" t="str">
        <x:v>컴포넌트</x:v>
      </x:c>
      <x:c r="D43" s="5" t="str">
        <x:v>탐색</x:v>
      </x:c>
      <x:c r="E43" s="5" t="str">
        <x:v>건너뛰기 링크</x:v>
      </x:c>
      <x:c r="F43" s="5" t="str">
        <x:v>사용성 가이드라인</x:v>
      </x:c>
      <x:c r="G43" s="5" t="str">
        <x:v>02</x:v>
      </x:c>
      <x:c r="H43" s="5" t="n">
        <x:v>257</x:v>
      </x:c>
      <x:c r="I43" s="5" t="n">
        <x:v>257</x:v>
      </x:c>
      <x:c r="J43" s="5" t="str">
        <x:v>258</x:v>
      </x:c>
      <x:c r="K43" s="5" t="str">
        <x:v>건너뛰기 링크의 개수는 3개 이내로 제공한다.</x:v>
      </x:c>
      <x:c r="L43" s="5" t="str">
        <x:v>원문 세부기준</x:v>
      </x:c>
      <x:c r="M43" s="5" t="str">
        <x:v>추출 후 기본 구조 검토; 원문 적용수준·전체 맥락 재확인 필요</x:v>
      </x:c>
      <x:c r="N43" s="5" t="str">
        <x:v>UI-020
UI-102</x:v>
      </x:c>
      <x:c r="O43" s="5" t="str">
        <x:v>자동 추출 후보 / 공식 전수 체크리스트 아님</x:v>
      </x:c>
    </x:row>
    <x:row r="44" ht="26.399999618530273" hidden="0" customHeight="1">
      <x:c r="A44" s="5" t="str">
        <x:v>KRDS-SEC-021-U-03</x:v>
      </x:c>
      <x:c r="B44" s="5" t="str">
        <x:v>KRDS-SEC-021</x:v>
      </x:c>
      <x:c r="C44" s="5" t="str">
        <x:v>컴포넌트</x:v>
      </x:c>
      <x:c r="D44" s="5" t="str">
        <x:v>탐색</x:v>
      </x:c>
      <x:c r="E44" s="5" t="str">
        <x:v>건너뛰기 링크</x:v>
      </x:c>
      <x:c r="F44" s="5" t="str">
        <x:v>사용성 가이드라인</x:v>
      </x:c>
      <x:c r="G44" s="5" t="str">
        <x:v>03</x:v>
      </x:c>
      <x:c r="H44" s="5" t="n">
        <x:v>257</x:v>
      </x:c>
      <x:c r="I44" s="5" t="n">
        <x:v>257</x:v>
      </x:c>
      <x:c r="J44" s="5" t="str">
        <x:v>259</x:v>
      </x:c>
      <x:c r="K44" s="5" t="str">
        <x:v>건너뛰기 링크 외에 다른 콘텐츠 섹션 탐색 수단을 제공하는 방안을 고려한다.</x:v>
      </x:c>
      <x:c r="L44" s="5" t="str">
        <x:v>원문 세부기준</x:v>
      </x:c>
      <x:c r="M44" s="5" t="str">
        <x:v>추출 후 기본 구조 검토; 원문 적용수준·전체 맥락 재확인 필요</x:v>
      </x:c>
      <x:c r="N44" s="5" t="str">
        <x:v>UI-020
UI-102</x:v>
      </x:c>
      <x:c r="O44" s="5" t="str">
        <x:v>자동 추출 후보 / 공식 전수 체크리스트 아님</x:v>
      </x:c>
    </x:row>
    <x:row r="45" ht="26.399999618530273" hidden="0" customHeight="1">
      <x:c r="A45" s="5" t="str">
        <x:v>KRDS-SEC-021-U-04</x:v>
      </x:c>
      <x:c r="B45" s="5" t="str">
        <x:v>KRDS-SEC-021</x:v>
      </x:c>
      <x:c r="C45" s="5" t="str">
        <x:v>컴포넌트</x:v>
      </x:c>
      <x:c r="D45" s="5" t="str">
        <x:v>탐색</x:v>
      </x:c>
      <x:c r="E45" s="5" t="str">
        <x:v>건너뛰기 링크</x:v>
      </x:c>
      <x:c r="F45" s="5" t="str">
        <x:v>사용성 가이드라인</x:v>
      </x:c>
      <x:c r="G45" s="5" t="str">
        <x:v>04</x:v>
      </x:c>
      <x:c r="H45" s="5" t="n">
        <x:v>257</x:v>
      </x:c>
      <x:c r="I45" s="5" t="n">
        <x:v>257</x:v>
      </x:c>
      <x:c r="J45" s="5" t="str">
        <x:v>259</x:v>
      </x:c>
      <x:c r="K45" s="5" t="str">
        <x:v>건너뛰기 링크의 목적지를 적절하게 설정한다.</x:v>
      </x:c>
      <x:c r="L45" s="5" t="str">
        <x:v>원문 세부기준</x:v>
      </x:c>
      <x:c r="M45" s="5" t="str">
        <x:v>추출 후 기본 구조 검토; 원문 적용수준·전체 맥락 재확인 필요</x:v>
      </x:c>
      <x:c r="N45" s="5" t="str">
        <x:v>UI-020
UI-102</x:v>
      </x:c>
      <x:c r="O45" s="5" t="str">
        <x:v>자동 추출 후보 / 공식 전수 체크리스트 아님</x:v>
      </x:c>
    </x:row>
    <x:row r="46" ht="26.399999618530273" hidden="0" customHeight="1">
      <x:c r="A46" s="5" t="str">
        <x:v>KRDS-SEC-021-P-01</x:v>
      </x:c>
      <x:c r="B46" s="5" t="str">
        <x:v>KRDS-SEC-021</x:v>
      </x:c>
      <x:c r="C46" s="5" t="str">
        <x:v>컴포넌트</x:v>
      </x:c>
      <x:c r="D46" s="5" t="str">
        <x:v>탐색</x:v>
      </x:c>
      <x:c r="E46" s="5" t="str">
        <x:v>건너뛰기 링크</x:v>
      </x:c>
      <x:c r="F46" s="5" t="str">
        <x:v>플랫폼에 대한 고려 사항</x:v>
      </x:c>
      <x:c r="G46" s="5" t="str">
        <x:v>01</x:v>
      </x:c>
      <x:c r="H46" s="5" t="n">
        <x:v>260</x:v>
      </x:c>
      <x:c r="I46" s="5" t="n">
        <x:v>260</x:v>
      </x:c>
      <x:c r="J46" s="5" t="str"/>
      <x:c r="K46" s="5" t="str">
        <x:v>모바일 애플리케이션에서는 건너뛰기 링크를 제공하지 않을 수 있다.</x:v>
      </x:c>
      <x:c r="L46" s="5" t="str">
        <x:v>원문 세부기준</x:v>
      </x:c>
      <x:c r="M46" s="5" t="str">
        <x:v>추출 후 기본 구조 검토; 원문 적용수준·전체 맥락 재확인 필요</x:v>
      </x:c>
      <x:c r="N46" s="5" t="str">
        <x:v>UI-020
UI-102</x:v>
      </x:c>
      <x:c r="O46" s="5" t="str">
        <x:v>자동 추출 후보 / 공식 전수 체크리스트 아님</x:v>
      </x:c>
    </x:row>
    <x:row r="47" ht="26.399999618530273" hidden="0" customHeight="1">
      <x:c r="A47" s="5" t="str">
        <x:v>KRDS-SEC-021-A-01</x:v>
      </x:c>
      <x:c r="B47" s="5" t="str">
        <x:v>KRDS-SEC-021</x:v>
      </x:c>
      <x:c r="C47" s="5" t="str">
        <x:v>컴포넌트</x:v>
      </x:c>
      <x:c r="D47" s="5" t="str">
        <x:v>탐색</x:v>
      </x:c>
      <x:c r="E47" s="5" t="str">
        <x:v>건너뛰기 링크</x:v>
      </x:c>
      <x:c r="F47" s="5" t="str">
        <x:v>접근성 가이드라인</x:v>
      </x:c>
      <x:c r="G47" s="5" t="str">
        <x:v>01</x:v>
      </x:c>
      <x:c r="H47" s="5" t="n">
        <x:v>261</x:v>
      </x:c>
      <x:c r="I47" s="5" t="n">
        <x:v>261</x:v>
      </x:c>
      <x:c r="J47" s="5" t="str"/>
      <x:c r="K47" s="5" t="str">
        <x:v>건너뛰기 링크 목록은 문서의 가장 첫 요소로 제공한다.</x:v>
      </x:c>
      <x:c r="L47" s="5" t="str">
        <x:v>원문 세부기준</x:v>
      </x:c>
      <x:c r="M47" s="5" t="str">
        <x:v>추출 후 기본 구조 검토; 원문 적용수준·전체 맥락 재확인 필요</x:v>
      </x:c>
      <x:c r="N47" s="5" t="str">
        <x:v>UI-020
UI-102</x:v>
      </x:c>
      <x:c r="O47" s="5" t="str">
        <x:v>자동 추출 후보 / 공식 전수 체크리스트 아님</x:v>
      </x:c>
    </x:row>
    <x:row r="48" ht="26.399999618530273" hidden="0" customHeight="1">
      <x:c r="A48" s="5" t="str">
        <x:v>KRDS-SEC-021-A-02</x:v>
      </x:c>
      <x:c r="B48" s="5" t="str">
        <x:v>KRDS-SEC-021</x:v>
      </x:c>
      <x:c r="C48" s="5" t="str">
        <x:v>컴포넌트</x:v>
      </x:c>
      <x:c r="D48" s="5" t="str">
        <x:v>탐색</x:v>
      </x:c>
      <x:c r="E48" s="5" t="str">
        <x:v>건너뛰기 링크</x:v>
      </x:c>
      <x:c r="F48" s="5" t="str">
        <x:v>접근성 가이드라인</x:v>
      </x:c>
      <x:c r="G48" s="5" t="str">
        <x:v>02</x:v>
      </x:c>
      <x:c r="H48" s="5" t="n">
        <x:v>261</x:v>
      </x:c>
      <x:c r="I48" s="5" t="n">
        <x:v>261</x:v>
      </x:c>
      <x:c r="J48" s="5" t="str"/>
      <x:c r="K48" s="5" t="str">
        <x:v>건너뛰기 링크의 초점이 명확하게 구분되도록 표현한다.</x:v>
      </x:c>
      <x:c r="L48" s="5" t="str">
        <x:v>원문 세부기준</x:v>
      </x:c>
      <x:c r="M48" s="5" t="str">
        <x:v>추출 후 기본 구조 검토; 원문 적용수준·전체 맥락 재확인 필요</x:v>
      </x:c>
      <x:c r="N48" s="5" t="str">
        <x:v>UI-020
UI-102</x:v>
      </x:c>
      <x:c r="O48" s="5" t="str">
        <x:v>자동 추출 후보 / 공식 전수 체크리스트 아님</x:v>
      </x:c>
    </x:row>
    <x:row r="49" ht="26.399999618530273" hidden="0" customHeight="1">
      <x:c r="A49" s="5" t="str">
        <x:v>KRDS-SEC-021-A-03</x:v>
      </x:c>
      <x:c r="B49" s="5" t="str">
        <x:v>KRDS-SEC-021</x:v>
      </x:c>
      <x:c r="C49" s="5" t="str">
        <x:v>컴포넌트</x:v>
      </x:c>
      <x:c r="D49" s="5" t="str">
        <x:v>탐색</x:v>
      </x:c>
      <x:c r="E49" s="5" t="str">
        <x:v>건너뛰기 링크</x:v>
      </x:c>
      <x:c r="F49" s="5" t="str">
        <x:v>접근성 가이드라인</x:v>
      </x:c>
      <x:c r="G49" s="5" t="str">
        <x:v>03</x:v>
      </x:c>
      <x:c r="H49" s="5" t="n">
        <x:v>261</x:v>
      </x:c>
      <x:c r="I49" s="5" t="n">
        <x:v>261</x:v>
      </x:c>
      <x:c r="J49" s="5" t="str"/>
      <x:c r="K49" s="5" t="str">
        <x:v>건너뛰기 링크 실행 시 스크롤 동작과 함께 연결된 목적지 섹션으로 Focus 이벤트가 발생해야 한다.</x:v>
      </x:c>
      <x:c r="L49" s="5" t="str">
        <x:v>원문 세부기준</x:v>
      </x:c>
      <x:c r="M49" s="5" t="str">
        <x:v>추출 후 기본 구조 검토; 원문 적용수준·전체 맥락 재확인 필요</x:v>
      </x:c>
      <x:c r="N49" s="5" t="str">
        <x:v>UI-020
UI-102</x:v>
      </x:c>
      <x:c r="O49" s="5" t="str">
        <x:v>자동 추출 후보 / 공식 전수 체크리스트 아님</x:v>
      </x:c>
    </x:row>
    <x:row r="50" ht="26.399999618530273" hidden="0" customHeight="1">
      <x:c r="A50" s="5" t="str">
        <x:v>KRDS-SEC-022-U-01</x:v>
      </x:c>
      <x:c r="B50" s="5" t="str">
        <x:v>KRDS-SEC-022</x:v>
      </x:c>
      <x:c r="C50" s="5" t="str">
        <x:v>컴포넌트</x:v>
      </x:c>
      <x:c r="D50" s="5" t="str">
        <x:v>탐색</x:v>
      </x:c>
      <x:c r="E50" s="5" t="str">
        <x:v>메인 메뉴</x:v>
      </x:c>
      <x:c r="F50" s="5" t="str">
        <x:v>사용성 가이드라인</x:v>
      </x:c>
      <x:c r="G50" s="5" t="str">
        <x:v>01</x:v>
      </x:c>
      <x:c r="H50" s="5" t="n">
        <x:v>271</x:v>
      </x:c>
      <x:c r="I50" s="5" t="n">
        <x:v>271</x:v>
      </x:c>
      <x:c r="J50" s="5" t="str">
        <x:v>272</x:v>
      </x:c>
      <x:c r="K50" s="5" t="str">
        <x:v>드롭다운 메뉴 영역 내에서 레이블은 좌측으로 정렬한다.</x:v>
      </x:c>
      <x:c r="L50" s="5" t="str">
        <x:v>원문 세부기준</x:v>
      </x:c>
      <x:c r="M50" s="5" t="str">
        <x:v>추출 후 기본 구조 검토; 원문 적용수준·전체 맥락 재확인 필요</x:v>
      </x:c>
      <x:c r="N50" s="5" t="str">
        <x:v>UI-021
UI-103</x:v>
      </x:c>
      <x:c r="O50" s="5" t="str">
        <x:v>자동 추출 후보 / 공식 전수 체크리스트 아님</x:v>
      </x:c>
    </x:row>
    <x:row r="51" ht="26.399999618530273" hidden="0" customHeight="1">
      <x:c r="A51" s="5" t="str">
        <x:v>KRDS-SEC-022-U-02</x:v>
      </x:c>
      <x:c r="B51" s="5" t="str">
        <x:v>KRDS-SEC-022</x:v>
      </x:c>
      <x:c r="C51" s="5" t="str">
        <x:v>컴포넌트</x:v>
      </x:c>
      <x:c r="D51" s="5" t="str">
        <x:v>탐색</x:v>
      </x:c>
      <x:c r="E51" s="5" t="str">
        <x:v>메인 메뉴</x:v>
      </x:c>
      <x:c r="F51" s="5" t="str">
        <x:v>사용성 가이드라인</x:v>
      </x:c>
      <x:c r="G51" s="5" t="str">
        <x:v>02</x:v>
      </x:c>
      <x:c r="H51" s="5" t="n">
        <x:v>271</x:v>
      </x:c>
      <x:c r="I51" s="5" t="n">
        <x:v>271</x:v>
      </x:c>
      <x:c r="J51" s="5" t="str">
        <x:v>273</x:v>
      </x:c>
      <x:c r="K51" s="5" t="str">
        <x:v>드롭다운 영역의 최대 높이는 뷰포트를 초과하지 않도록 하고 최대 높이를 초과하는 경우에 스크롤이 생성되도록 제공한다.</x:v>
      </x:c>
      <x:c r="L51" s="5" t="str">
        <x:v>원문 세부기준</x:v>
      </x:c>
      <x:c r="M51" s="5" t="str">
        <x:v>추출 후 기본 구조 검토; 원문 적용수준·전체 맥락 재확인 필요</x:v>
      </x:c>
      <x:c r="N51" s="5" t="str">
        <x:v>UI-021
UI-103</x:v>
      </x:c>
      <x:c r="O51" s="5" t="str">
        <x:v>자동 추출 후보 / 공식 전수 체크리스트 아님</x:v>
      </x:c>
    </x:row>
    <x:row r="52" ht="26.399999618530273" hidden="0" customHeight="1">
      <x:c r="A52" s="5" t="str">
        <x:v>KRDS-SEC-022-U-03</x:v>
      </x:c>
      <x:c r="B52" s="5" t="str">
        <x:v>KRDS-SEC-022</x:v>
      </x:c>
      <x:c r="C52" s="5" t="str">
        <x:v>컴포넌트</x:v>
      </x:c>
      <x:c r="D52" s="5" t="str">
        <x:v>탐색</x:v>
      </x:c>
      <x:c r="E52" s="5" t="str">
        <x:v>메인 메뉴</x:v>
      </x:c>
      <x:c r="F52" s="5" t="str">
        <x:v>사용성 가이드라인</x:v>
      </x:c>
      <x:c r="G52" s="5" t="str">
        <x:v>03</x:v>
      </x:c>
      <x:c r="H52" s="5" t="n">
        <x:v>271</x:v>
      </x:c>
      <x:c r="I52" s="5" t="n">
        <x:v>271</x:v>
      </x:c>
      <x:c r="J52" s="5" t="str">
        <x:v>274</x:v>
      </x:c>
      <x:c r="K52" s="5" t="str">
        <x:v>링크의 활성화 상태, 선택 상태가 명확히 구분되도록 표현한다.</x:v>
      </x:c>
      <x:c r="L52" s="5" t="str">
        <x:v>원문 세부기준</x:v>
      </x:c>
      <x:c r="M52" s="5" t="str">
        <x:v>추출 후 기본 구조 검토; 원문 적용수준·전체 맥락 재확인 필요</x:v>
      </x:c>
      <x:c r="N52" s="5" t="str">
        <x:v>UI-021
UI-103</x:v>
      </x:c>
      <x:c r="O52" s="5" t="str">
        <x:v>자동 추출 후보 / 공식 전수 체크리스트 아님</x:v>
      </x:c>
    </x:row>
    <x:row r="53" ht="26.399999618530273" hidden="0" customHeight="1">
      <x:c r="A53" s="5" t="str">
        <x:v>KRDS-SEC-022-U-04</x:v>
      </x:c>
      <x:c r="B53" s="5" t="str">
        <x:v>KRDS-SEC-022</x:v>
      </x:c>
      <x:c r="C53" s="5" t="str">
        <x:v>컴포넌트</x:v>
      </x:c>
      <x:c r="D53" s="5" t="str">
        <x:v>탐색</x:v>
      </x:c>
      <x:c r="E53" s="5" t="str">
        <x:v>메인 메뉴</x:v>
      </x:c>
      <x:c r="F53" s="5" t="str">
        <x:v>사용성 가이드라인</x:v>
      </x:c>
      <x:c r="G53" s="5" t="str">
        <x:v>04</x:v>
      </x:c>
      <x:c r="H53" s="5" t="n">
        <x:v>271</x:v>
      </x:c>
      <x:c r="I53" s="5" t="n">
        <x:v>271</x:v>
      </x:c>
      <x:c r="J53" s="5" t="str">
        <x:v>274</x:v>
      </x:c>
      <x:c r="K53" s="5" t="str">
        <x:v>드롭다운 영역에 제목을 제공한다.</x:v>
      </x:c>
      <x:c r="L53" s="5" t="str">
        <x:v>원문 세부기준</x:v>
      </x:c>
      <x:c r="M53" s="5" t="str">
        <x:v>추출 후 기본 구조 검토; 원문 적용수준·전체 맥락 재확인 필요</x:v>
      </x:c>
      <x:c r="N53" s="5" t="str">
        <x:v>UI-021
UI-103</x:v>
      </x:c>
      <x:c r="O53" s="5" t="str">
        <x:v>자동 추출 후보 / 공식 전수 체크리스트 아님</x:v>
      </x:c>
    </x:row>
    <x:row r="54" ht="26.399999618530273" hidden="0" customHeight="1">
      <x:c r="A54" s="5" t="str">
        <x:v>KRDS-SEC-022-U-05</x:v>
      </x:c>
      <x:c r="B54" s="5" t="str">
        <x:v>KRDS-SEC-022</x:v>
      </x:c>
      <x:c r="C54" s="5" t="str">
        <x:v>컴포넌트</x:v>
      </x:c>
      <x:c r="D54" s="5" t="str">
        <x:v>탐색</x:v>
      </x:c>
      <x:c r="E54" s="5" t="str">
        <x:v>메인 메뉴</x:v>
      </x:c>
      <x:c r="F54" s="5" t="str">
        <x:v>사용성 가이드라인</x:v>
      </x:c>
      <x:c r="G54" s="5" t="str">
        <x:v>05</x:v>
      </x:c>
      <x:c r="H54" s="5" t="n">
        <x:v>271</x:v>
      </x:c>
      <x:c r="I54" s="5" t="n">
        <x:v>271</x:v>
      </x:c>
      <x:c r="J54" s="5" t="str">
        <x:v>274</x:v>
      </x:c>
      <x:c r="K54" s="5" t="str">
        <x:v>링크의 개수를 최소화한다.</x:v>
      </x:c>
      <x:c r="L54" s="5" t="str">
        <x:v>원문 세부기준</x:v>
      </x:c>
      <x:c r="M54" s="5" t="str">
        <x:v>추출 후 기본 구조 검토; 원문 적용수준·전체 맥락 재확인 필요</x:v>
      </x:c>
      <x:c r="N54" s="5" t="str">
        <x:v>UI-021
UI-103</x:v>
      </x:c>
      <x:c r="O54" s="5" t="str">
        <x:v>자동 추출 후보 / 공식 전수 체크리스트 아님</x:v>
      </x:c>
    </x:row>
    <x:row r="55" ht="26.399999618530273" hidden="0" customHeight="1">
      <x:c r="A55" s="5" t="str">
        <x:v>KRDS-SEC-022-U-06</x:v>
      </x:c>
      <x:c r="B55" s="5" t="str">
        <x:v>KRDS-SEC-022</x:v>
      </x:c>
      <x:c r="C55" s="5" t="str">
        <x:v>컴포넌트</x:v>
      </x:c>
      <x:c r="D55" s="5" t="str">
        <x:v>탐색</x:v>
      </x:c>
      <x:c r="E55" s="5" t="str">
        <x:v>메인 메뉴</x:v>
      </x:c>
      <x:c r="F55" s="5" t="str">
        <x:v>사용성 가이드라인</x:v>
      </x:c>
      <x:c r="G55" s="5" t="str">
        <x:v>06</x:v>
      </x:c>
      <x:c r="H55" s="5" t="n">
        <x:v>271</x:v>
      </x:c>
      <x:c r="I55" s="5" t="n">
        <x:v>271</x:v>
      </x:c>
      <x:c r="J55" s="5" t="str">
        <x:v>275</x:v>
      </x:c>
      <x:c r="K55" s="5" t="str">
        <x:v>서비스 정보 구조를 적절하게 반영하여 메인 메뉴를 구성하고 최대 3수준의 메뉴를 사용한다.</x:v>
      </x:c>
      <x:c r="L55" s="5" t="str">
        <x:v>원문 세부기준</x:v>
      </x:c>
      <x:c r="M55" s="5" t="str">
        <x:v>추출 후 기본 구조 검토; 원문 적용수준·전체 맥락 재확인 필요</x:v>
      </x:c>
      <x:c r="N55" s="5" t="str">
        <x:v>UI-021
UI-103</x:v>
      </x:c>
      <x:c r="O55" s="5" t="str">
        <x:v>자동 추출 후보 / 공식 전수 체크리스트 아님</x:v>
      </x:c>
    </x:row>
    <x:row r="56" ht="26.399999618530273" hidden="0" customHeight="1">
      <x:c r="A56" s="5" t="str">
        <x:v>KRDS-SEC-022-U-07</x:v>
      </x:c>
      <x:c r="B56" s="5" t="str">
        <x:v>KRDS-SEC-022</x:v>
      </x:c>
      <x:c r="C56" s="5" t="str">
        <x:v>컴포넌트</x:v>
      </x:c>
      <x:c r="D56" s="5" t="str">
        <x:v>탐색</x:v>
      </x:c>
      <x:c r="E56" s="5" t="str">
        <x:v>메인 메뉴</x:v>
      </x:c>
      <x:c r="F56" s="5" t="str">
        <x:v>사용성 가이드라인</x:v>
      </x:c>
      <x:c r="G56" s="5" t="str">
        <x:v>07</x:v>
      </x:c>
      <x:c r="H56" s="5" t="n">
        <x:v>271</x:v>
      </x:c>
      <x:c r="I56" s="5" t="n">
        <x:v>271</x:v>
      </x:c>
      <x:c r="J56" s="5" t="str">
        <x:v>275</x:v>
      </x:c>
      <x:c r="K56" s="5" t="str">
        <x:v>링크명에 이해하기 쉬운 용어를 사용한다.</x:v>
      </x:c>
      <x:c r="L56" s="5" t="str">
        <x:v>원문 세부기준</x:v>
      </x:c>
      <x:c r="M56" s="5" t="str">
        <x:v>추출 후 기본 구조 검토; 원문 적용수준·전체 맥락 재확인 필요</x:v>
      </x:c>
      <x:c r="N56" s="5" t="str">
        <x:v>UI-021
UI-103</x:v>
      </x:c>
      <x:c r="O56" s="5" t="str">
        <x:v>자동 추출 후보 / 공식 전수 체크리스트 아님</x:v>
      </x:c>
    </x:row>
    <x:row r="57" ht="26.399999618530273" hidden="0" customHeight="1">
      <x:c r="A57" s="5" t="str">
        <x:v>KRDS-SEC-022-U-08</x:v>
      </x:c>
      <x:c r="B57" s="5" t="str">
        <x:v>KRDS-SEC-022</x:v>
      </x:c>
      <x:c r="C57" s="5" t="str">
        <x:v>컴포넌트</x:v>
      </x:c>
      <x:c r="D57" s="5" t="str">
        <x:v>탐색</x:v>
      </x:c>
      <x:c r="E57" s="5" t="str">
        <x:v>메인 메뉴</x:v>
      </x:c>
      <x:c r="F57" s="5" t="str">
        <x:v>사용성 가이드라인</x:v>
      </x:c>
      <x:c r="G57" s="5" t="str">
        <x:v>08</x:v>
      </x:c>
      <x:c r="H57" s="5" t="n">
        <x:v>271</x:v>
      </x:c>
      <x:c r="I57" s="5" t="n">
        <x:v>271</x:v>
      </x:c>
      <x:c r="J57" s="5" t="str">
        <x:v>275</x:v>
      </x:c>
      <x:c r="K57" s="5" t="str">
        <x:v>링크는 우선순위에 따라 배치한다.</x:v>
      </x:c>
      <x:c r="L57" s="5" t="str">
        <x:v>원문 세부기준</x:v>
      </x:c>
      <x:c r="M57" s="5" t="str">
        <x:v>추출 후 기본 구조 검토; 원문 적용수준·전체 맥락 재확인 필요</x:v>
      </x:c>
      <x:c r="N57" s="5" t="str">
        <x:v>UI-021
UI-103</x:v>
      </x:c>
      <x:c r="O57" s="5" t="str">
        <x:v>자동 추출 후보 / 공식 전수 체크리스트 아님</x:v>
      </x:c>
    </x:row>
    <x:row r="58" ht="26.399999618530273" hidden="0" customHeight="1">
      <x:c r="A58" s="5" t="str">
        <x:v>KRDS-SEC-022-U-09</x:v>
      </x:c>
      <x:c r="B58" s="5" t="str">
        <x:v>KRDS-SEC-022</x:v>
      </x:c>
      <x:c r="C58" s="5" t="str">
        <x:v>컴포넌트</x:v>
      </x:c>
      <x:c r="D58" s="5" t="str">
        <x:v>탐색</x:v>
      </x:c>
      <x:c r="E58" s="5" t="str">
        <x:v>메인 메뉴</x:v>
      </x:c>
      <x:c r="F58" s="5" t="str">
        <x:v>사용성 가이드라인</x:v>
      </x:c>
      <x:c r="G58" s="5" t="str">
        <x:v>09</x:v>
      </x:c>
      <x:c r="H58" s="5" t="n">
        <x:v>271</x:v>
      </x:c>
      <x:c r="I58" s="5" t="n">
        <x:v>271</x:v>
      </x:c>
      <x:c r="J58" s="5" t="str">
        <x:v>275</x:v>
      </x:c>
      <x:c r="K58" s="5" t="str">
        <x:v>마우스오버를 사용하여 드롭다운 목록을 확장하지 않는다.</x:v>
      </x:c>
      <x:c r="L58" s="5" t="str">
        <x:v>원문 세부기준</x:v>
      </x:c>
      <x:c r="M58" s="5" t="str">
        <x:v>추출 후 기본 구조 검토; 원문 적용수준·전체 맥락 재확인 필요</x:v>
      </x:c>
      <x:c r="N58" s="5" t="str">
        <x:v>UI-021
UI-103</x:v>
      </x:c>
      <x:c r="O58" s="5" t="str">
        <x:v>자동 추출 후보 / 공식 전수 체크리스트 아님</x:v>
      </x:c>
    </x:row>
    <x:row r="59" ht="26.399999618530273" hidden="0" customHeight="1">
      <x:c r="A59" s="5" t="str">
        <x:v>KRDS-SEC-022-P-01</x:v>
      </x:c>
      <x:c r="B59" s="5" t="str">
        <x:v>KRDS-SEC-022</x:v>
      </x:c>
      <x:c r="C59" s="5" t="str">
        <x:v>컴포넌트</x:v>
      </x:c>
      <x:c r="D59" s="5" t="str">
        <x:v>탐색</x:v>
      </x:c>
      <x:c r="E59" s="5" t="str">
        <x:v>메인 메뉴</x:v>
      </x:c>
      <x:c r="F59" s="5" t="str">
        <x:v>플랫폼에 대한 고려 사항</x:v>
      </x:c>
      <x:c r="G59" s="5" t="str">
        <x:v>01</x:v>
      </x:c>
      <x:c r="H59" s="5" t="n">
        <x:v>276</x:v>
      </x:c>
      <x:c r="I59" s="5" t="n">
        <x:v>276</x:v>
      </x:c>
      <x:c r="J59" s="5" t="str"/>
      <x:c r="K59" s="5" t="str">
        <x:v>화면 너비가 충분한 경우에는 1수준 메뉴 전체를 확인할 수 있도록 표현한다.</x:v>
      </x:c>
      <x:c r="L59" s="5" t="str">
        <x:v>원문 세부기준</x:v>
      </x:c>
      <x:c r="M59" s="5" t="str">
        <x:v>추출 후 기본 구조 검토; 원문 적용수준·전체 맥락 재확인 필요</x:v>
      </x:c>
      <x:c r="N59" s="5" t="str">
        <x:v>UI-021
UI-103</x:v>
      </x:c>
      <x:c r="O59" s="5" t="str">
        <x:v>자동 추출 후보 / 공식 전수 체크리스트 아님</x:v>
      </x:c>
    </x:row>
    <x:row r="60" ht="26.399999618530273" hidden="0" customHeight="1">
      <x:c r="A60" s="5" t="str">
        <x:v>KRDS-SEC-022-A-01</x:v>
      </x:c>
      <x:c r="B60" s="5" t="str">
        <x:v>KRDS-SEC-022</x:v>
      </x:c>
      <x:c r="C60" s="5" t="str">
        <x:v>컴포넌트</x:v>
      </x:c>
      <x:c r="D60" s="5" t="str">
        <x:v>탐색</x:v>
      </x:c>
      <x:c r="E60" s="5" t="str">
        <x:v>메인 메뉴</x:v>
      </x:c>
      <x:c r="F60" s="5" t="str">
        <x:v>접근성 가이드라인</x:v>
      </x:c>
      <x:c r="G60" s="5" t="str">
        <x:v>01</x:v>
      </x:c>
      <x:c r="H60" s="5" t="n">
        <x:v>277</x:v>
      </x:c>
      <x:c r="I60" s="5" t="n">
        <x:v>277</x:v>
      </x:c>
      <x:c r="J60" s="5" t="str"/>
      <x:c r="K60" s="5" t="str">
        <x:v>메뉴의 컨테이너가 내비게이션 섹션임을 스크린 리더에서 인지할 수 있도록 한다.</x:v>
      </x:c>
      <x:c r="L60" s="5" t="str">
        <x:v>원문 세부기준</x:v>
      </x:c>
      <x:c r="M60" s="5" t="str">
        <x:v>추출 후 기본 구조 검토; 원문 적용수준·전체 맥락 재확인 필요</x:v>
      </x:c>
      <x:c r="N60" s="5" t="str">
        <x:v>UI-021
UI-103</x:v>
      </x:c>
      <x:c r="O60" s="5" t="str">
        <x:v>자동 추출 후보 / 공식 전수 체크리스트 아님</x:v>
      </x:c>
    </x:row>
    <x:row r="61" ht="26.399999618530273" hidden="0" customHeight="1">
      <x:c r="A61" s="5" t="str">
        <x:v>KRDS-SEC-022-A-02</x:v>
      </x:c>
      <x:c r="B61" s="5" t="str">
        <x:v>KRDS-SEC-022</x:v>
      </x:c>
      <x:c r="C61" s="5" t="str">
        <x:v>컴포넌트</x:v>
      </x:c>
      <x:c r="D61" s="5" t="str">
        <x:v>탐색</x:v>
      </x:c>
      <x:c r="E61" s="5" t="str">
        <x:v>메인 메뉴</x:v>
      </x:c>
      <x:c r="F61" s="5" t="str">
        <x:v>접근성 가이드라인</x:v>
      </x:c>
      <x:c r="G61" s="5" t="str">
        <x:v>02</x:v>
      </x:c>
      <x:c r="H61" s="5" t="n">
        <x:v>277</x:v>
      </x:c>
      <x:c r="I61" s="5" t="n">
        <x:v>277</x:v>
      </x:c>
      <x:c r="J61" s="5" t="str"/>
      <x:c r="K61" s="5" t="str">
        <x:v>메뉴 링크의 계층 구조를 표현한다.</x:v>
      </x:c>
      <x:c r="L61" s="5" t="str">
        <x:v>원문 세부기준</x:v>
      </x:c>
      <x:c r="M61" s="5" t="str">
        <x:v>추출 후 기본 구조 검토; 원문 적용수준·전체 맥락 재확인 필요</x:v>
      </x:c>
      <x:c r="N61" s="5" t="str">
        <x:v>UI-021
UI-103</x:v>
      </x:c>
      <x:c r="O61" s="5" t="str">
        <x:v>자동 추출 후보 / 공식 전수 체크리스트 아님</x:v>
      </x:c>
    </x:row>
    <x:row r="62" ht="26.399999618530273" hidden="0" customHeight="1">
      <x:c r="A62" s="5" t="str">
        <x:v>KRDS-SEC-022-A-03</x:v>
      </x:c>
      <x:c r="B62" s="5" t="str">
        <x:v>KRDS-SEC-022</x:v>
      </x:c>
      <x:c r="C62" s="5" t="str">
        <x:v>컴포넌트</x:v>
      </x:c>
      <x:c r="D62" s="5" t="str">
        <x:v>탐색</x:v>
      </x:c>
      <x:c r="E62" s="5" t="str">
        <x:v>메인 메뉴</x:v>
      </x:c>
      <x:c r="F62" s="5" t="str">
        <x:v>접근성 가이드라인</x:v>
      </x:c>
      <x:c r="G62" s="5" t="str">
        <x:v>03</x:v>
      </x:c>
      <x:c r="H62" s="5" t="n">
        <x:v>277</x:v>
      </x:c>
      <x:c r="I62" s="5" t="n">
        <x:v>277</x:v>
      </x:c>
      <x:c r="J62" s="5" t="str"/>
      <x:c r="K62" s="5" t="str">
        <x:v>활성화된 메뉴 정보가 스크린 리더로 전달될 수 있도록 한다.</x:v>
      </x:c>
      <x:c r="L62" s="5" t="str">
        <x:v>원문 세부기준</x:v>
      </x:c>
      <x:c r="M62" s="5" t="str">
        <x:v>추출 후 기본 구조 검토; 원문 적용수준·전체 맥락 재확인 필요</x:v>
      </x:c>
      <x:c r="N62" s="5" t="str">
        <x:v>UI-021
UI-103</x:v>
      </x:c>
      <x:c r="O62" s="5" t="str">
        <x:v>자동 추출 후보 / 공식 전수 체크리스트 아님</x:v>
      </x:c>
    </x:row>
    <x:row r="63" ht="26.399999618530273" hidden="0" customHeight="1">
      <x:c r="A63" s="5" t="str">
        <x:v>KRDS-SEC-022-A-04</x:v>
      </x:c>
      <x:c r="B63" s="5" t="str">
        <x:v>KRDS-SEC-022</x:v>
      </x:c>
      <x:c r="C63" s="5" t="str">
        <x:v>컴포넌트</x:v>
      </x:c>
      <x:c r="D63" s="5" t="str">
        <x:v>탐색</x:v>
      </x:c>
      <x:c r="E63" s="5" t="str">
        <x:v>메인 메뉴</x:v>
      </x:c>
      <x:c r="F63" s="5" t="str">
        <x:v>접근성 가이드라인</x:v>
      </x:c>
      <x:c r="G63" s="5" t="str">
        <x:v>04</x:v>
      </x:c>
      <x:c r="H63" s="5" t="n">
        <x:v>278</x:v>
      </x:c>
      <x:c r="I63" s="5" t="n">
        <x:v>278</x:v>
      </x:c>
      <x:c r="J63" s="5" t="str"/>
      <x:c r="K63" s="5" t="str">
        <x:v>메뉴 링크는 키보드로 탐색할 수 있도록 한다.</x:v>
      </x:c>
      <x:c r="L63" s="5" t="str">
        <x:v>원문 세부기준</x:v>
      </x:c>
      <x:c r="M63" s="5" t="str">
        <x:v>추출 후 기본 구조 검토; 원문 적용수준·전체 맥락 재확인 필요</x:v>
      </x:c>
      <x:c r="N63" s="5" t="str">
        <x:v>UI-021
UI-103</x:v>
      </x:c>
      <x:c r="O63" s="5" t="str">
        <x:v>자동 추출 후보 / 공식 전수 체크리스트 아님</x:v>
      </x:c>
    </x:row>
    <x:row r="64" ht="26.399999618530273" hidden="0" customHeight="1">
      <x:c r="A64" s="5" t="str">
        <x:v>KRDS-SEC-022-A-05</x:v>
      </x:c>
      <x:c r="B64" s="5" t="str">
        <x:v>KRDS-SEC-022</x:v>
      </x:c>
      <x:c r="C64" s="5" t="str">
        <x:v>컴포넌트</x:v>
      </x:c>
      <x:c r="D64" s="5" t="str">
        <x:v>탐색</x:v>
      </x:c>
      <x:c r="E64" s="5" t="str">
        <x:v>메인 메뉴</x:v>
      </x:c>
      <x:c r="F64" s="5" t="str">
        <x:v>접근성 가이드라인</x:v>
      </x:c>
      <x:c r="G64" s="5" t="str">
        <x:v>05</x:v>
      </x:c>
      <x:c r="H64" s="5" t="n">
        <x:v>278</x:v>
      </x:c>
      <x:c r="I64" s="5" t="n">
        <x:v>278</x:v>
      </x:c>
      <x:c r="J64" s="5" t="str"/>
      <x:c r="K64" s="5" t="str">
        <x:v>키보드의 초점은 메뉴의 계층 순서대로 이동하도록 한다.</x:v>
      </x:c>
      <x:c r="L64" s="5" t="str">
        <x:v>원문 세부기준</x:v>
      </x:c>
      <x:c r="M64" s="5" t="str">
        <x:v>추출 후 기본 구조 검토; 원문 적용수준·전체 맥락 재확인 필요</x:v>
      </x:c>
      <x:c r="N64" s="5" t="str">
        <x:v>UI-021
UI-103</x:v>
      </x:c>
      <x:c r="O64" s="5" t="str">
        <x:v>자동 추출 후보 / 공식 전수 체크리스트 아님</x:v>
      </x:c>
    </x:row>
    <x:row r="65" ht="15" hidden="0" customHeight="1">
      <x:c r="A65" s="5" t="str">
        <x:v>KRDS-SEC-023-U-01</x:v>
      </x:c>
      <x:c r="B65" s="5" t="str">
        <x:v>KRDS-SEC-023</x:v>
      </x:c>
      <x:c r="C65" s="5" t="str">
        <x:v>컴포넌트</x:v>
      </x:c>
      <x:c r="D65" s="5" t="str">
        <x:v>탐색</x:v>
      </x:c>
      <x:c r="E65" s="5" t="str">
        <x:v>브레드크럼</x:v>
      </x:c>
      <x:c r="F65" s="5" t="str">
        <x:v>사용성 가이드라인</x:v>
      </x:c>
      <x:c r="G65" s="5" t="str">
        <x:v>01</x:v>
      </x:c>
      <x:c r="H65" s="5" t="n">
        <x:v>282</x:v>
      </x:c>
      <x:c r="I65" s="5" t="n">
        <x:v>282</x:v>
      </x:c>
      <x:c r="J65" s="5" t="str">
        <x:v>283</x:v>
      </x:c>
      <x:c r="K65" s="5" t="str">
        <x:v>브레드크럼 목록의 가장 첫 번째 항목으로 메인 화면 링크를 제공한다.</x:v>
      </x:c>
      <x:c r="L65" s="5" t="str">
        <x:v>원문 세부기준</x:v>
      </x:c>
      <x:c r="M65" s="5" t="str">
        <x:v>추출 후 기본 구조 검토; 원문 적용수준·전체 맥락 재확인 필요</x:v>
      </x:c>
      <x:c r="N65" s="5" t="str">
        <x:v>UI-022</x:v>
      </x:c>
      <x:c r="O65" s="5" t="str">
        <x:v>자동 추출 후보 / 공식 전수 체크리스트 아님</x:v>
      </x:c>
    </x:row>
    <x:row r="66" ht="15" hidden="0" customHeight="1">
      <x:c r="A66" s="5" t="str">
        <x:v>KRDS-SEC-023-U-02</x:v>
      </x:c>
      <x:c r="B66" s="5" t="str">
        <x:v>KRDS-SEC-023</x:v>
      </x:c>
      <x:c r="C66" s="5" t="str">
        <x:v>컴포넌트</x:v>
      </x:c>
      <x:c r="D66" s="5" t="str">
        <x:v>탐색</x:v>
      </x:c>
      <x:c r="E66" s="5" t="str">
        <x:v>브레드크럼</x:v>
      </x:c>
      <x:c r="F66" s="5" t="str">
        <x:v>사용성 가이드라인</x:v>
      </x:c>
      <x:c r="G66" s="5" t="str">
        <x:v>02</x:v>
      </x:c>
      <x:c r="H66" s="5" t="n">
        <x:v>282</x:v>
      </x:c>
      <x:c r="I66" s="5" t="n">
        <x:v>282</x:v>
      </x:c>
      <x:c r="J66" s="5" t="str">
        <x:v>284</x:v>
      </x:c>
      <x:c r="K66" s="5" t="str">
        <x:v>브레드크럼 목록의 가장 마지막 항목으로 현재 화면의 상위 화면 링크를 제공한다.</x:v>
      </x:c>
      <x:c r="L66" s="5" t="str">
        <x:v>원문 세부기준</x:v>
      </x:c>
      <x:c r="M66" s="5" t="str">
        <x:v>추출 후 기본 구조 검토; 원문 적용수준·전체 맥락 재확인 필요</x:v>
      </x:c>
      <x:c r="N66" s="5" t="str">
        <x:v>UI-022</x:v>
      </x:c>
      <x:c r="O66" s="5" t="str">
        <x:v>자동 추출 후보 / 공식 전수 체크리스트 아님</x:v>
      </x:c>
    </x:row>
    <x:row r="67" ht="15" hidden="0" customHeight="1">
      <x:c r="A67" s="5" t="str">
        <x:v>KRDS-SEC-023-U-03</x:v>
      </x:c>
      <x:c r="B67" s="5" t="str">
        <x:v>KRDS-SEC-023</x:v>
      </x:c>
      <x:c r="C67" s="5" t="str">
        <x:v>컴포넌트</x:v>
      </x:c>
      <x:c r="D67" s="5" t="str">
        <x:v>탐색</x:v>
      </x:c>
      <x:c r="E67" s="5" t="str">
        <x:v>브레드크럼</x:v>
      </x:c>
      <x:c r="F67" s="5" t="str">
        <x:v>사용성 가이드라인</x:v>
      </x:c>
      <x:c r="G67" s="5" t="str">
        <x:v>03</x:v>
      </x:c>
      <x:c r="H67" s="5" t="n">
        <x:v>282</x:v>
      </x:c>
      <x:c r="I67" s="5" t="n">
        <x:v>282</x:v>
      </x:c>
      <x:c r="J67" s="5" t="str">
        <x:v>285</x:v>
      </x:c>
      <x:c r="K67" s="5" t="str">
        <x:v>상위 화면으로 연결되는 링크가 없는 경우에도 항상 현재 화면의 전체 정보 계층 구조를 표시한다.</x:v>
      </x:c>
      <x:c r="L67" s="5" t="str">
        <x:v>원문 세부기준</x:v>
      </x:c>
      <x:c r="M67" s="5" t="str">
        <x:v>추출 후 기본 구조 검토; 원문 적용수준·전체 맥락 재확인 필요</x:v>
      </x:c>
      <x:c r="N67" s="5" t="str">
        <x:v>UI-022</x:v>
      </x:c>
      <x:c r="O67" s="5" t="str">
        <x:v>자동 추출 후보 / 공식 전수 체크리스트 아님</x:v>
      </x:c>
    </x:row>
    <x:row r="68" ht="15" hidden="0" customHeight="1">
      <x:c r="A68" s="5" t="str">
        <x:v>KRDS-SEC-023-U-04</x:v>
      </x:c>
      <x:c r="B68" s="5" t="str">
        <x:v>KRDS-SEC-023</x:v>
      </x:c>
      <x:c r="C68" s="5" t="str">
        <x:v>컴포넌트</x:v>
      </x:c>
      <x:c r="D68" s="5" t="str">
        <x:v>탐색</x:v>
      </x:c>
      <x:c r="E68" s="5" t="str">
        <x:v>브레드크럼</x:v>
      </x:c>
      <x:c r="F68" s="5" t="str">
        <x:v>사용성 가이드라인</x:v>
      </x:c>
      <x:c r="G68" s="5" t="str">
        <x:v>04</x:v>
      </x:c>
      <x:c r="H68" s="5" t="n">
        <x:v>282</x:v>
      </x:c>
      <x:c r="I68" s="5" t="n">
        <x:v>282</x:v>
      </x:c>
      <x:c r="J68" s="5" t="str">
        <x:v>285</x:v>
      </x:c>
      <x:c r="K68" s="5" t="str">
        <x:v>브레드크럼 텍스트 경로가 링크임을 인지할 수 있는 시각적 단서를 제공한다.</x:v>
      </x:c>
      <x:c r="L68" s="5" t="str">
        <x:v>원문 세부기준</x:v>
      </x:c>
      <x:c r="M68" s="5" t="str">
        <x:v>추출 후 기본 구조 검토; 원문 적용수준·전체 맥락 재확인 필요</x:v>
      </x:c>
      <x:c r="N68" s="5" t="str">
        <x:v>UI-022</x:v>
      </x:c>
      <x:c r="O68" s="5" t="str">
        <x:v>자동 추출 후보 / 공식 전수 체크리스트 아님</x:v>
      </x:c>
    </x:row>
    <x:row r="69" ht="15" hidden="0" customHeight="1">
      <x:c r="A69" s="5" t="str">
        <x:v>KRDS-SEC-023-U-05</x:v>
      </x:c>
      <x:c r="B69" s="5" t="str">
        <x:v>KRDS-SEC-023</x:v>
      </x:c>
      <x:c r="C69" s="5" t="str">
        <x:v>컴포넌트</x:v>
      </x:c>
      <x:c r="D69" s="5" t="str">
        <x:v>탐색</x:v>
      </x:c>
      <x:c r="E69" s="5" t="str">
        <x:v>브레드크럼</x:v>
      </x:c>
      <x:c r="F69" s="5" t="str">
        <x:v>사용성 가이드라인</x:v>
      </x:c>
      <x:c r="G69" s="5" t="str">
        <x:v>05</x:v>
      </x:c>
      <x:c r="H69" s="5" t="n">
        <x:v>282</x:v>
      </x:c>
      <x:c r="I69" s="5" t="n">
        <x:v>282</x:v>
      </x:c>
      <x:c r="J69" s="5" t="str">
        <x:v>286</x:v>
      </x:c>
      <x:c r="K69" s="5" t="str">
        <x:v>브레드크럼은 단일 행으로 제공한다.</x:v>
      </x:c>
      <x:c r="L69" s="5" t="str">
        <x:v>원문 세부기준</x:v>
      </x:c>
      <x:c r="M69" s="5" t="str">
        <x:v>추출 후 기본 구조 검토; 원문 적용수준·전체 맥락 재확인 필요</x:v>
      </x:c>
      <x:c r="N69" s="5" t="str">
        <x:v>UI-022</x:v>
      </x:c>
      <x:c r="O69" s="5" t="str">
        <x:v>자동 추출 후보 / 공식 전수 체크리스트 아님</x:v>
      </x:c>
    </x:row>
    <x:row r="70" ht="15" hidden="0" customHeight="1">
      <x:c r="A70" s="5" t="str">
        <x:v>KRDS-SEC-023-U-06</x:v>
      </x:c>
      <x:c r="B70" s="5" t="str">
        <x:v>KRDS-SEC-023</x:v>
      </x:c>
      <x:c r="C70" s="5" t="str">
        <x:v>컴포넌트</x:v>
      </x:c>
      <x:c r="D70" s="5" t="str">
        <x:v>탐색</x:v>
      </x:c>
      <x:c r="E70" s="5" t="str">
        <x:v>브레드크럼</x:v>
      </x:c>
      <x:c r="F70" s="5" t="str">
        <x:v>사용성 가이드라인</x:v>
      </x:c>
      <x:c r="G70" s="5" t="str">
        <x:v>06</x:v>
      </x:c>
      <x:c r="H70" s="5" t="n">
        <x:v>282</x:v>
      </x:c>
      <x:c r="I70" s="5" t="n">
        <x:v>282</x:v>
      </x:c>
      <x:c r="J70" s="5" t="str">
        <x:v>287</x:v>
      </x:c>
      <x:c r="K70" s="5" t="str">
        <x:v>브레드크럼은 항상 본문 제목의 왼쪽 상단에 표시한다.</x:v>
      </x:c>
      <x:c r="L70" s="5" t="str">
        <x:v>원문 세부기준</x:v>
      </x:c>
      <x:c r="M70" s="5" t="str">
        <x:v>추출 후 기본 구조 검토; 원문 적용수준·전체 맥락 재확인 필요</x:v>
      </x:c>
      <x:c r="N70" s="5" t="str">
        <x:v>UI-022</x:v>
      </x:c>
      <x:c r="O70" s="5" t="str">
        <x:v>자동 추출 후보 / 공식 전수 체크리스트 아님</x:v>
      </x:c>
    </x:row>
    <x:row r="71" ht="15" hidden="0" customHeight="1">
      <x:c r="A71" s="5" t="str">
        <x:v>KRDS-SEC-023-U-07</x:v>
      </x:c>
      <x:c r="B71" s="5" t="str">
        <x:v>KRDS-SEC-023</x:v>
      </x:c>
      <x:c r="C71" s="5" t="str">
        <x:v>컴포넌트</x:v>
      </x:c>
      <x:c r="D71" s="5" t="str">
        <x:v>탐색</x:v>
      </x:c>
      <x:c r="E71" s="5" t="str">
        <x:v>브레드크럼</x:v>
      </x:c>
      <x:c r="F71" s="5" t="str">
        <x:v>사용성 가이드라인</x:v>
      </x:c>
      <x:c r="G71" s="5" t="str">
        <x:v>07</x:v>
      </x:c>
      <x:c r="H71" s="5" t="n">
        <x:v>282</x:v>
      </x:c>
      <x:c r="I71" s="5" t="n">
        <x:v>282</x:v>
      </x:c>
      <x:c r="J71" s="5" t="str">
        <x:v>287</x:v>
      </x:c>
      <x:c r="K71" s="5" t="str">
        <x:v>브레드크럼 경로 링크 간 간격을 충분히 제공한다.</x:v>
      </x:c>
      <x:c r="L71" s="5" t="str">
        <x:v>원문 세부기준</x:v>
      </x:c>
      <x:c r="M71" s="5" t="str">
        <x:v>추출 후 기본 구조 검토; 원문 적용수준·전체 맥락 재확인 필요</x:v>
      </x:c>
      <x:c r="N71" s="5" t="str">
        <x:v>UI-022</x:v>
      </x:c>
      <x:c r="O71" s="5" t="str">
        <x:v>자동 추출 후보 / 공식 전수 체크리스트 아님</x:v>
      </x:c>
    </x:row>
    <x:row r="72" ht="15" hidden="0" customHeight="1">
      <x:c r="A72" s="5" t="str">
        <x:v>KRDS-SEC-023-U-08</x:v>
      </x:c>
      <x:c r="B72" s="5" t="str">
        <x:v>KRDS-SEC-023</x:v>
      </x:c>
      <x:c r="C72" s="5" t="str">
        <x:v>컴포넌트</x:v>
      </x:c>
      <x:c r="D72" s="5" t="str">
        <x:v>탐색</x:v>
      </x:c>
      <x:c r="E72" s="5" t="str">
        <x:v>브레드크럼</x:v>
      </x:c>
      <x:c r="F72" s="5" t="str">
        <x:v>사용성 가이드라인</x:v>
      </x:c>
      <x:c r="G72" s="5" t="str">
        <x:v>08</x:v>
      </x:c>
      <x:c r="H72" s="5" t="n">
        <x:v>282</x:v>
      </x:c>
      <x:c r="I72" s="5" t="n">
        <x:v>282</x:v>
      </x:c>
      <x:c r="J72" s="5" t="str">
        <x:v>288</x:v>
      </x:c>
      <x:c r="K72" s="5" t="str">
        <x:v>브레드크럼이 메인 메뉴나 사이드 메뉴를 대체해서는 안 된다.</x:v>
      </x:c>
      <x:c r="L72" s="5" t="str">
        <x:v>원문 세부기준</x:v>
      </x:c>
      <x:c r="M72" s="5" t="str">
        <x:v>추출 후 기본 구조 검토; 원문 적용수준·전체 맥락 재확인 필요</x:v>
      </x:c>
      <x:c r="N72" s="5" t="str">
        <x:v>UI-022</x:v>
      </x:c>
      <x:c r="O72" s="5" t="str">
        <x:v>자동 추출 후보 / 공식 전수 체크리스트 아님</x:v>
      </x:c>
    </x:row>
    <x:row r="73" ht="15" hidden="0" customHeight="1">
      <x:c r="A73" s="5" t="str">
        <x:v>KRDS-SEC-023-P-01</x:v>
      </x:c>
      <x:c r="B73" s="5" t="str">
        <x:v>KRDS-SEC-023</x:v>
      </x:c>
      <x:c r="C73" s="5" t="str">
        <x:v>컴포넌트</x:v>
      </x:c>
      <x:c r="D73" s="5" t="str">
        <x:v>탐색</x:v>
      </x:c>
      <x:c r="E73" s="5" t="str">
        <x:v>브레드크럼</x:v>
      </x:c>
      <x:c r="F73" s="5" t="str">
        <x:v>플랫폼에 대한 고려 사항</x:v>
      </x:c>
      <x:c r="G73" s="5" t="str">
        <x:v>01</x:v>
      </x:c>
      <x:c r="H73" s="5" t="n">
        <x:v>289</x:v>
      </x:c>
      <x:c r="I73" s="5" t="n">
        <x:v>289</x:v>
      </x:c>
      <x:c r="J73" s="5" t="str"/>
      <x:c r="K73" s="5" t="str">
        <x:v>화면 너비가 충분하지 않은 경우 첫 번째 경로와 마지막 경로만 표시한다.</x:v>
      </x:c>
      <x:c r="L73" s="5" t="str">
        <x:v>원문 세부기준</x:v>
      </x:c>
      <x:c r="M73" s="5" t="str">
        <x:v>추출 후 기본 구조 검토; 원문 적용수준·전체 맥락 재확인 필요</x:v>
      </x:c>
      <x:c r="N73" s="5" t="str">
        <x:v>UI-022</x:v>
      </x:c>
      <x:c r="O73" s="5" t="str">
        <x:v>자동 추출 후보 / 공식 전수 체크리스트 아님</x:v>
      </x:c>
    </x:row>
    <x:row r="74" ht="15" hidden="0" customHeight="1">
      <x:c r="A74" s="5" t="str">
        <x:v>KRDS-SEC-023-A-01</x:v>
      </x:c>
      <x:c r="B74" s="5" t="str">
        <x:v>KRDS-SEC-023</x:v>
      </x:c>
      <x:c r="C74" s="5" t="str">
        <x:v>컴포넌트</x:v>
      </x:c>
      <x:c r="D74" s="5" t="str">
        <x:v>탐색</x:v>
      </x:c>
      <x:c r="E74" s="5" t="str">
        <x:v>브레드크럼</x:v>
      </x:c>
      <x:c r="F74" s="5" t="str">
        <x:v>접근성 가이드라인</x:v>
      </x:c>
      <x:c r="G74" s="5" t="str">
        <x:v>01</x:v>
      </x:c>
      <x:c r="H74" s="5" t="n">
        <x:v>290</x:v>
      </x:c>
      <x:c r="I74" s="5" t="n">
        <x:v>290</x:v>
      </x:c>
      <x:c r="J74" s="5" t="str"/>
      <x:c r="K74" s="5" t="str">
        <x:v>경로 목록을 &lt;nav&gt; 구획으로 감싸고 적절한 구획 제목을 제공한다.</x:v>
      </x:c>
      <x:c r="L74" s="5" t="str">
        <x:v>원문 세부기준</x:v>
      </x:c>
      <x:c r="M74" s="5" t="str">
        <x:v>추출 후 기본 구조 검토; 원문 적용수준·전체 맥락 재확인 필요</x:v>
      </x:c>
      <x:c r="N74" s="5" t="str">
        <x:v>UI-022</x:v>
      </x:c>
      <x:c r="O74" s="5" t="str">
        <x:v>자동 추출 후보 / 공식 전수 체크리스트 아님</x:v>
      </x:c>
    </x:row>
    <x:row r="75" ht="15" hidden="0" customHeight="1">
      <x:c r="A75" s="5" t="str">
        <x:v>KRDS-SEC-023-A-02</x:v>
      </x:c>
      <x:c r="B75" s="5" t="str">
        <x:v>KRDS-SEC-023</x:v>
      </x:c>
      <x:c r="C75" s="5" t="str">
        <x:v>컴포넌트</x:v>
      </x:c>
      <x:c r="D75" s="5" t="str">
        <x:v>탐색</x:v>
      </x:c>
      <x:c r="E75" s="5" t="str">
        <x:v>브레드크럼</x:v>
      </x:c>
      <x:c r="F75" s="5" t="str">
        <x:v>접근성 가이드라인</x:v>
      </x:c>
      <x:c r="G75" s="5" t="str">
        <x:v>02</x:v>
      </x:c>
      <x:c r="H75" s="5" t="n">
        <x:v>290</x:v>
      </x:c>
      <x:c r="I75" s="5" t="n">
        <x:v>290</x:v>
      </x:c>
      <x:c r="J75" s="5" t="str"/>
      <x:c r="K75" s="5" t="str">
        <x:v>순서 있는 목록을 사용한다.</x:v>
      </x:c>
      <x:c r="L75" s="5" t="str">
        <x:v>원문 세부기준</x:v>
      </x:c>
      <x:c r="M75" s="5" t="str">
        <x:v>추출 후 기본 구조 검토; 원문 적용수준·전체 맥락 재확인 필요</x:v>
      </x:c>
      <x:c r="N75" s="5" t="str">
        <x:v>UI-022</x:v>
      </x:c>
      <x:c r="O75" s="5" t="str">
        <x:v>자동 추출 후보 / 공식 전수 체크리스트 아님</x:v>
      </x:c>
    </x:row>
    <x:row r="76" ht="15" hidden="0" customHeight="1">
      <x:c r="A76" s="5" t="str">
        <x:v>KRDS-SEC-023-A-03</x:v>
      </x:c>
      <x:c r="B76" s="5" t="str">
        <x:v>KRDS-SEC-023</x:v>
      </x:c>
      <x:c r="C76" s="5" t="str">
        <x:v>컴포넌트</x:v>
      </x:c>
      <x:c r="D76" s="5" t="str">
        <x:v>탐색</x:v>
      </x:c>
      <x:c r="E76" s="5" t="str">
        <x:v>브레드크럼</x:v>
      </x:c>
      <x:c r="F76" s="5" t="str">
        <x:v>접근성 가이드라인</x:v>
      </x:c>
      <x:c r="G76" s="5" t="str">
        <x:v>03</x:v>
      </x:c>
      <x:c r="H76" s="5" t="n">
        <x:v>290</x:v>
      </x:c>
      <x:c r="I76" s="5" t="n">
        <x:v>290</x:v>
      </x:c>
      <x:c r="J76" s="5" t="str"/>
      <x:c r="K76" s="5" t="str">
        <x:v>구분자는 배경과 3:1 이상의 명도 대비를 갖도록 표현한다.</x:v>
      </x:c>
      <x:c r="L76" s="5" t="str">
        <x:v>원문 세부기준</x:v>
      </x:c>
      <x:c r="M76" s="5" t="str">
        <x:v>추출 후 기본 구조 검토; 원문 적용수준·전체 맥락 재확인 필요</x:v>
      </x:c>
      <x:c r="N76" s="5" t="str">
        <x:v>UI-022</x:v>
      </x:c>
      <x:c r="O76" s="5" t="str">
        <x:v>자동 추출 후보 / 공식 전수 체크리스트 아님</x:v>
      </x:c>
    </x:row>
    <x:row r="77" ht="15" hidden="0" customHeight="1">
      <x:c r="A77" s="5" t="str">
        <x:v>KRDS-SEC-023-A-04</x:v>
      </x:c>
      <x:c r="B77" s="5" t="str">
        <x:v>KRDS-SEC-023</x:v>
      </x:c>
      <x:c r="C77" s="5" t="str">
        <x:v>컴포넌트</x:v>
      </x:c>
      <x:c r="D77" s="5" t="str">
        <x:v>탐색</x:v>
      </x:c>
      <x:c r="E77" s="5" t="str">
        <x:v>브레드크럼</x:v>
      </x:c>
      <x:c r="F77" s="5" t="str">
        <x:v>접근성 가이드라인</x:v>
      </x:c>
      <x:c r="G77" s="5" t="str">
        <x:v>04</x:v>
      </x:c>
      <x:c r="H77" s="5" t="n">
        <x:v>291</x:v>
      </x:c>
      <x:c r="I77" s="5" t="n">
        <x:v>291</x:v>
      </x:c>
      <x:c r="J77" s="5" t="str"/>
      <x:c r="K77" s="5" t="str">
        <x:v>스크린 리더에서 구분자 정보가 탐지되지 않도록 한다.</x:v>
      </x:c>
      <x:c r="L77" s="5" t="str">
        <x:v>원문 세부기준</x:v>
      </x:c>
      <x:c r="M77" s="5" t="str">
        <x:v>추출 후 기본 구조 검토; 원문 적용수준·전체 맥락 재확인 필요</x:v>
      </x:c>
      <x:c r="N77" s="5" t="str">
        <x:v>UI-022</x:v>
      </x:c>
      <x:c r="O77" s="5" t="str">
        <x:v>자동 추출 후보 / 공식 전수 체크리스트 아님</x:v>
      </x:c>
    </x:row>
    <x:row r="78" ht="15" hidden="0" customHeight="1">
      <x:c r="A78" s="5" t="str">
        <x:v>KRDS-SEC-024-U-01</x:v>
      </x:c>
      <x:c r="B78" s="5" t="str">
        <x:v>KRDS-SEC-024</x:v>
      </x:c>
      <x:c r="C78" s="5" t="str">
        <x:v>컴포넌트</x:v>
      </x:c>
      <x:c r="D78" s="5" t="str">
        <x:v>탐색</x:v>
      </x:c>
      <x:c r="E78" s="5" t="str">
        <x:v>사이드 메뉴</x:v>
      </x:c>
      <x:c r="F78" s="5" t="str">
        <x:v>사용성 가이드라인</x:v>
      </x:c>
      <x:c r="G78" s="5" t="str">
        <x:v>01</x:v>
      </x:c>
      <x:c r="H78" s="5" t="n">
        <x:v>298</x:v>
      </x:c>
      <x:c r="I78" s="5" t="n">
        <x:v>298</x:v>
      </x:c>
      <x:c r="J78" s="5" t="str">
        <x:v>299</x:v>
      </x:c>
      <x:c r="K78" s="5" t="str">
        <x:v>현재 탐색 중인 화면에 대한 링크를 강조 표시한다.</x:v>
      </x:c>
      <x:c r="L78" s="5" t="str">
        <x:v>원문 세부기준</x:v>
      </x:c>
      <x:c r="M78" s="5" t="str">
        <x:v>추출 후 기본 구조 검토; 원문 적용수준·전체 맥락 재확인 필요</x:v>
      </x:c>
      <x:c r="N78" s="5" t="str">
        <x:v>UI-023</x:v>
      </x:c>
      <x:c r="O78" s="5" t="str">
        <x:v>자동 추출 후보 / 공식 전수 체크리스트 아님</x:v>
      </x:c>
    </x:row>
    <x:row r="79" ht="15" hidden="0" customHeight="1">
      <x:c r="A79" s="5" t="str">
        <x:v>KRDS-SEC-024-U-02</x:v>
      </x:c>
      <x:c r="B79" s="5" t="str">
        <x:v>KRDS-SEC-024</x:v>
      </x:c>
      <x:c r="C79" s="5" t="str">
        <x:v>컴포넌트</x:v>
      </x:c>
      <x:c r="D79" s="5" t="str">
        <x:v>탐색</x:v>
      </x:c>
      <x:c r="E79" s="5" t="str">
        <x:v>사이드 메뉴</x:v>
      </x:c>
      <x:c r="F79" s="5" t="str">
        <x:v>사용성 가이드라인</x:v>
      </x:c>
      <x:c r="G79" s="5" t="str">
        <x:v>02</x:v>
      </x:c>
      <x:c r="H79" s="5" t="n">
        <x:v>298</x:v>
      </x:c>
      <x:c r="I79" s="5" t="n">
        <x:v>298</x:v>
      </x:c>
      <x:c r="J79" s="5" t="str">
        <x:v>300</x:v>
      </x:c>
      <x:c r="K79" s="5" t="str">
        <x:v>메뉴의 계층 구조는 최대 2개 수준까지 사용한다.</x:v>
      </x:c>
      <x:c r="L79" s="5" t="str">
        <x:v>원문 세부기준</x:v>
      </x:c>
      <x:c r="M79" s="5" t="str">
        <x:v>추출 후 기본 구조 검토; 원문 적용수준·전체 맥락 재확인 필요</x:v>
      </x:c>
      <x:c r="N79" s="5" t="str">
        <x:v>UI-023</x:v>
      </x:c>
      <x:c r="O79" s="5" t="str">
        <x:v>자동 추출 후보 / 공식 전수 체크리스트 아님</x:v>
      </x:c>
    </x:row>
    <x:row r="80" ht="15" hidden="0" customHeight="1">
      <x:c r="A80" s="5" t="str">
        <x:v>KRDS-SEC-024-U-03</x:v>
      </x:c>
      <x:c r="B80" s="5" t="str">
        <x:v>KRDS-SEC-024</x:v>
      </x:c>
      <x:c r="C80" s="5" t="str">
        <x:v>컴포넌트</x:v>
      </x:c>
      <x:c r="D80" s="5" t="str">
        <x:v>탐색</x:v>
      </x:c>
      <x:c r="E80" s="5" t="str">
        <x:v>사이드 메뉴</x:v>
      </x:c>
      <x:c r="F80" s="5" t="str">
        <x:v>사용성 가이드라인</x:v>
      </x:c>
      <x:c r="G80" s="5" t="str">
        <x:v>03</x:v>
      </x:c>
      <x:c r="H80" s="5" t="n">
        <x:v>298</x:v>
      </x:c>
      <x:c r="I80" s="5" t="n">
        <x:v>298</x:v>
      </x:c>
      <x:c r="J80" s="5" t="str">
        <x:v>301</x:v>
      </x:c>
      <x:c r="K80" s="5" t="str">
        <x:v>하위 수준 메뉴 표시에 확장 가능한 영역을 사용하는 방안을 고려한다.</x:v>
      </x:c>
      <x:c r="L80" s="5" t="str">
        <x:v>원문 세부기준</x:v>
      </x:c>
      <x:c r="M80" s="5" t="str">
        <x:v>추출 후 기본 구조 검토; 원문 적용수준·전체 맥락 재확인 필요</x:v>
      </x:c>
      <x:c r="N80" s="5" t="str">
        <x:v>UI-023</x:v>
      </x:c>
      <x:c r="O80" s="5" t="str">
        <x:v>자동 추출 후보 / 공식 전수 체크리스트 아님</x:v>
      </x:c>
    </x:row>
    <x:row r="81" ht="15" hidden="0" customHeight="1">
      <x:c r="A81" s="5" t="str">
        <x:v>KRDS-SEC-024-U-04</x:v>
      </x:c>
      <x:c r="B81" s="5" t="str">
        <x:v>KRDS-SEC-024</x:v>
      </x:c>
      <x:c r="C81" s="5" t="str">
        <x:v>컴포넌트</x:v>
      </x:c>
      <x:c r="D81" s="5" t="str">
        <x:v>탐색</x:v>
      </x:c>
      <x:c r="E81" s="5" t="str">
        <x:v>사이드 메뉴</x:v>
      </x:c>
      <x:c r="F81" s="5" t="str">
        <x:v>사용성 가이드라인</x:v>
      </x:c>
      <x:c r="G81" s="5" t="str">
        <x:v>04</x:v>
      </x:c>
      <x:c r="H81" s="5" t="n">
        <x:v>298</x:v>
      </x:c>
      <x:c r="I81" s="5" t="n">
        <x:v>298</x:v>
      </x:c>
      <x:c r="J81" s="5" t="str">
        <x:v>302</x:v>
      </x:c>
      <x:c r="K81" s="5" t="str">
        <x:v>메뉴의 계층 구조를 명확하게 구분하여 표현한다.</x:v>
      </x:c>
      <x:c r="L81" s="5" t="str">
        <x:v>원문 세부기준</x:v>
      </x:c>
      <x:c r="M81" s="5" t="str">
        <x:v>추출 후 기본 구조 검토; 원문 적용수준·전체 맥락 재확인 필요</x:v>
      </x:c>
      <x:c r="N81" s="5" t="str">
        <x:v>UI-023</x:v>
      </x:c>
      <x:c r="O81" s="5" t="str">
        <x:v>자동 추출 후보 / 공식 전수 체크리스트 아님</x:v>
      </x:c>
    </x:row>
    <x:row r="82" ht="15" hidden="0" customHeight="1">
      <x:c r="A82" s="5" t="str">
        <x:v>KRDS-SEC-024-P-01</x:v>
      </x:c>
      <x:c r="B82" s="5" t="str">
        <x:v>KRDS-SEC-024</x:v>
      </x:c>
      <x:c r="C82" s="5" t="str">
        <x:v>컴포넌트</x:v>
      </x:c>
      <x:c r="D82" s="5" t="str">
        <x:v>탐색</x:v>
      </x:c>
      <x:c r="E82" s="5" t="str">
        <x:v>사이드 메뉴</x:v>
      </x:c>
      <x:c r="F82" s="5" t="str">
        <x:v>플랫폼에 대한 고려 사항</x:v>
      </x:c>
      <x:c r="G82" s="5" t="str">
        <x:v>01</x:v>
      </x:c>
      <x:c r="H82" s="5" t="n">
        <x:v>303</x:v>
      </x:c>
      <x:c r="I82" s="5" t="n">
        <x:v>303</x:v>
      </x:c>
      <x:c r="J82" s="5" t="str"/>
      <x:c r="K82" s="5" t="str">
        <x:v>화면 너비가 충분하지 않은 경우 사이드 메뉴를 표시하지 않는다.</x:v>
      </x:c>
      <x:c r="L82" s="5" t="str">
        <x:v>원문 세부기준</x:v>
      </x:c>
      <x:c r="M82" s="5" t="str">
        <x:v>추출 후 기본 구조 검토; 원문 적용수준·전체 맥락 재확인 필요</x:v>
      </x:c>
      <x:c r="N82" s="5" t="str">
        <x:v>UI-023</x:v>
      </x:c>
      <x:c r="O82" s="5" t="str">
        <x:v>자동 추출 후보 / 공식 전수 체크리스트 아님</x:v>
      </x:c>
    </x:row>
    <x:row r="83" ht="15" hidden="0" customHeight="1">
      <x:c r="A83" s="5" t="str">
        <x:v>KRDS-SEC-024-A-01</x:v>
      </x:c>
      <x:c r="B83" s="5" t="str">
        <x:v>KRDS-SEC-024</x:v>
      </x:c>
      <x:c r="C83" s="5" t="str">
        <x:v>컴포넌트</x:v>
      </x:c>
      <x:c r="D83" s="5" t="str">
        <x:v>탐색</x:v>
      </x:c>
      <x:c r="E83" s="5" t="str">
        <x:v>사이드 메뉴</x:v>
      </x:c>
      <x:c r="F83" s="5" t="str">
        <x:v>접근성 가이드라인</x:v>
      </x:c>
      <x:c r="G83" s="5" t="str">
        <x:v>01</x:v>
      </x:c>
      <x:c r="H83" s="5" t="n">
        <x:v>304</x:v>
      </x:c>
      <x:c r="I83" s="5" t="n">
        <x:v>304</x:v>
      </x:c>
      <x:c r="J83" s="5" t="str"/>
      <x:c r="K83" s="5" t="str">
        <x:v>메뉴의 컨테이너가 내비게이션 섹션임을 스크린 리더에서 인지할 수 있도록 한다.</x:v>
      </x:c>
      <x:c r="L83" s="5" t="str">
        <x:v>원문 세부기준</x:v>
      </x:c>
      <x:c r="M83" s="5" t="str">
        <x:v>추출 후 기본 구조 검토; 원문 적용수준·전체 맥락 재확인 필요</x:v>
      </x:c>
      <x:c r="N83" s="5" t="str">
        <x:v>UI-023</x:v>
      </x:c>
      <x:c r="O83" s="5" t="str">
        <x:v>자동 추출 후보 / 공식 전수 체크리스트 아님</x:v>
      </x:c>
    </x:row>
    <x:row r="84" ht="15" hidden="0" customHeight="1">
      <x:c r="A84" s="5" t="str">
        <x:v>KRDS-SEC-024-A-02</x:v>
      </x:c>
      <x:c r="B84" s="5" t="str">
        <x:v>KRDS-SEC-024</x:v>
      </x:c>
      <x:c r="C84" s="5" t="str">
        <x:v>컴포넌트</x:v>
      </x:c>
      <x:c r="D84" s="5" t="str">
        <x:v>탐색</x:v>
      </x:c>
      <x:c r="E84" s="5" t="str">
        <x:v>사이드 메뉴</x:v>
      </x:c>
      <x:c r="F84" s="5" t="str">
        <x:v>접근성 가이드라인</x:v>
      </x:c>
      <x:c r="G84" s="5" t="str">
        <x:v>02</x:v>
      </x:c>
      <x:c r="H84" s="5" t="n">
        <x:v>304</x:v>
      </x:c>
      <x:c r="I84" s="5" t="n">
        <x:v>304</x:v>
      </x:c>
      <x:c r="J84" s="5" t="str"/>
      <x:c r="K84" s="5" t="str">
        <x:v>메뉴 링크의 계층 구조를 표현한다.</x:v>
      </x:c>
      <x:c r="L84" s="5" t="str">
        <x:v>원문 세부기준</x:v>
      </x:c>
      <x:c r="M84" s="5" t="str">
        <x:v>추출 후 기본 구조 검토; 원문 적용수준·전체 맥락 재확인 필요</x:v>
      </x:c>
      <x:c r="N84" s="5" t="str">
        <x:v>UI-023</x:v>
      </x:c>
      <x:c r="O84" s="5" t="str">
        <x:v>자동 추출 후보 / 공식 전수 체크리스트 아님</x:v>
      </x:c>
    </x:row>
    <x:row r="85" ht="15" hidden="0" customHeight="1">
      <x:c r="A85" s="5" t="str">
        <x:v>KRDS-SEC-024-A-03</x:v>
      </x:c>
      <x:c r="B85" s="5" t="str">
        <x:v>KRDS-SEC-024</x:v>
      </x:c>
      <x:c r="C85" s="5" t="str">
        <x:v>컴포넌트</x:v>
      </x:c>
      <x:c r="D85" s="5" t="str">
        <x:v>탐색</x:v>
      </x:c>
      <x:c r="E85" s="5" t="str">
        <x:v>사이드 메뉴</x:v>
      </x:c>
      <x:c r="F85" s="5" t="str">
        <x:v>접근성 가이드라인</x:v>
      </x:c>
      <x:c r="G85" s="5" t="str">
        <x:v>03</x:v>
      </x:c>
      <x:c r="H85" s="5" t="n">
        <x:v>304</x:v>
      </x:c>
      <x:c r="I85" s="5" t="n">
        <x:v>304</x:v>
      </x:c>
      <x:c r="J85" s="5" t="str"/>
      <x:c r="K85" s="5" t="str">
        <x:v>활성화된 메뉴 정보가 스크린 리더로 전달될 수 있도록 한다.</x:v>
      </x:c>
      <x:c r="L85" s="5" t="str">
        <x:v>원문 세부기준</x:v>
      </x:c>
      <x:c r="M85" s="5" t="str">
        <x:v>추출 후 기본 구조 검토; 원문 적용수준·전체 맥락 재확인 필요</x:v>
      </x:c>
      <x:c r="N85" s="5" t="str">
        <x:v>UI-023</x:v>
      </x:c>
      <x:c r="O85" s="5" t="str">
        <x:v>자동 추출 후보 / 공식 전수 체크리스트 아님</x:v>
      </x:c>
    </x:row>
    <x:row r="86" ht="15" hidden="0" customHeight="1">
      <x:c r="A86" s="5" t="str">
        <x:v>KRDS-SEC-024-A-04</x:v>
      </x:c>
      <x:c r="B86" s="5" t="str">
        <x:v>KRDS-SEC-024</x:v>
      </x:c>
      <x:c r="C86" s="5" t="str">
        <x:v>컴포넌트</x:v>
      </x:c>
      <x:c r="D86" s="5" t="str">
        <x:v>탐색</x:v>
      </x:c>
      <x:c r="E86" s="5" t="str">
        <x:v>사이드 메뉴</x:v>
      </x:c>
      <x:c r="F86" s="5" t="str">
        <x:v>접근성 가이드라인</x:v>
      </x:c>
      <x:c r="G86" s="5" t="str">
        <x:v>04</x:v>
      </x:c>
      <x:c r="H86" s="5" t="n">
        <x:v>305</x:v>
      </x:c>
      <x:c r="I86" s="5" t="n">
        <x:v>305</x:v>
      </x:c>
      <x:c r="J86" s="5" t="str"/>
      <x:c r="K86" s="5" t="str">
        <x:v>메뉴 링크는 키보드로 탐색할 수 있도록 한다.</x:v>
      </x:c>
      <x:c r="L86" s="5" t="str">
        <x:v>원문 세부기준</x:v>
      </x:c>
      <x:c r="M86" s="5" t="str">
        <x:v>추출 후 기본 구조 검토; 원문 적용수준·전체 맥락 재확인 필요</x:v>
      </x:c>
      <x:c r="N86" s="5" t="str">
        <x:v>UI-023</x:v>
      </x:c>
      <x:c r="O86" s="5" t="str">
        <x:v>자동 추출 후보 / 공식 전수 체크리스트 아님</x:v>
      </x:c>
    </x:row>
    <x:row r="87" ht="15" hidden="0" customHeight="1">
      <x:c r="A87" s="5" t="str">
        <x:v>KRDS-SEC-024-A-05</x:v>
      </x:c>
      <x:c r="B87" s="5" t="str">
        <x:v>KRDS-SEC-024</x:v>
      </x:c>
      <x:c r="C87" s="5" t="str">
        <x:v>컴포넌트</x:v>
      </x:c>
      <x:c r="D87" s="5" t="str">
        <x:v>탐색</x:v>
      </x:c>
      <x:c r="E87" s="5" t="str">
        <x:v>사이드 메뉴</x:v>
      </x:c>
      <x:c r="F87" s="5" t="str">
        <x:v>접근성 가이드라인</x:v>
      </x:c>
      <x:c r="G87" s="5" t="str">
        <x:v>05</x:v>
      </x:c>
      <x:c r="H87" s="5" t="n">
        <x:v>305</x:v>
      </x:c>
      <x:c r="I87" s="5" t="n">
        <x:v>305</x:v>
      </x:c>
      <x:c r="J87" s="5" t="str"/>
      <x:c r="K87" s="5" t="str">
        <x:v>키보드의 초점은 메뉴의 계층 순서대로 이동하도록 한다.</x:v>
      </x:c>
      <x:c r="L87" s="5" t="str">
        <x:v>원문 세부기준</x:v>
      </x:c>
      <x:c r="M87" s="5" t="str">
        <x:v>추출 후 기본 구조 검토; 원문 적용수준·전체 맥락 재확인 필요</x:v>
      </x:c>
      <x:c r="N87" s="5" t="str">
        <x:v>UI-023</x:v>
      </x:c>
      <x:c r="O87" s="5" t="str">
        <x:v>자동 추출 후보 / 공식 전수 체크리스트 아님</x:v>
      </x:c>
    </x:row>
    <x:row r="88" ht="15" hidden="0" customHeight="1">
      <x:c r="A88" s="5" t="str">
        <x:v>KRDS-SEC-024-A-06</x:v>
      </x:c>
      <x:c r="B88" s="5" t="str">
        <x:v>KRDS-SEC-024</x:v>
      </x:c>
      <x:c r="C88" s="5" t="str">
        <x:v>컴포넌트</x:v>
      </x:c>
      <x:c r="D88" s="5" t="str">
        <x:v>탐색</x:v>
      </x:c>
      <x:c r="E88" s="5" t="str">
        <x:v>사이드 메뉴</x:v>
      </x:c>
      <x:c r="F88" s="5" t="str">
        <x:v>접근성 가이드라인</x:v>
      </x:c>
      <x:c r="G88" s="5" t="str">
        <x:v>06</x:v>
      </x:c>
      <x:c r="H88" s="5" t="n">
        <x:v>305</x:v>
      </x:c>
      <x:c r="I88" s="5" t="n">
        <x:v>305</x:v>
      </x:c>
      <x:c r="J88" s="5" t="str"/>
      <x:c r="K88" s="5" t="str">
        <x:v>스크린 리더에서 하위 수준 메뉴의 확장/축소 상태를 확인할 수 있도록 한다.</x:v>
      </x:c>
      <x:c r="L88" s="5" t="str">
        <x:v>원문 세부기준</x:v>
      </x:c>
      <x:c r="M88" s="5" t="str">
        <x:v>추출 후 기본 구조 검토; 원문 적용수준·전체 맥락 재확인 필요</x:v>
      </x:c>
      <x:c r="N88" s="5" t="str">
        <x:v>UI-023</x:v>
      </x:c>
      <x:c r="O88" s="5" t="str">
        <x:v>자동 추출 후보 / 공식 전수 체크리스트 아님</x:v>
      </x:c>
    </x:row>
    <x:row r="89" ht="15" hidden="0" customHeight="1">
      <x:c r="A89" s="5" t="str">
        <x:v>KRDS-SEC-024-A-07</x:v>
      </x:c>
      <x:c r="B89" s="5" t="str">
        <x:v>KRDS-SEC-024</x:v>
      </x:c>
      <x:c r="C89" s="5" t="str">
        <x:v>컴포넌트</x:v>
      </x:c>
      <x:c r="D89" s="5" t="str">
        <x:v>탐색</x:v>
      </x:c>
      <x:c r="E89" s="5" t="str">
        <x:v>사이드 메뉴</x:v>
      </x:c>
      <x:c r="F89" s="5" t="str">
        <x:v>접근성 가이드라인</x:v>
      </x:c>
      <x:c r="G89" s="5" t="str">
        <x:v>07</x:v>
      </x:c>
      <x:c r="H89" s="5" t="n">
        <x:v>306</x:v>
      </x:c>
      <x:c r="I89" s="5" t="n">
        <x:v>306</x:v>
      </x:c>
      <x:c r="J89" s="5" t="str"/>
      <x:c r="K89" s="5" t="str">
        <x:v>축소된 메뉴 링크에 보조 기술이 접근되지 않도록 제공한다.</x:v>
      </x:c>
      <x:c r="L89" s="5" t="str">
        <x:v>원문 세부기준</x:v>
      </x:c>
      <x:c r="M89" s="5" t="str">
        <x:v>추출 후 기본 구조 검토; 원문 적용수준·전체 맥락 재확인 필요</x:v>
      </x:c>
      <x:c r="N89" s="5" t="str">
        <x:v>UI-023</x:v>
      </x:c>
      <x:c r="O89" s="5" t="str">
        <x:v>자동 추출 후보 / 공식 전수 체크리스트 아님</x:v>
      </x:c>
    </x:row>
    <x:row r="90" ht="15" hidden="0" customHeight="1">
      <x:c r="A90" s="5" t="str">
        <x:v>KRDS-SEC-025-U-01</x:v>
      </x:c>
      <x:c r="B90" s="5" t="str">
        <x:v>KRDS-SEC-025</x:v>
      </x:c>
      <x:c r="C90" s="5" t="str">
        <x:v>컴포넌트</x:v>
      </x:c>
      <x:c r="D90" s="5" t="str">
        <x:v>탐색</x:v>
      </x:c>
      <x:c r="E90" s="5" t="str">
        <x:v>콘텐츠 내 탐색</x:v>
      </x:c>
      <x:c r="F90" s="5" t="str">
        <x:v>사용성 가이드라인</x:v>
      </x:c>
      <x:c r="G90" s="5" t="str">
        <x:v>01</x:v>
      </x:c>
      <x:c r="H90" s="5" t="n">
        <x:v>311</x:v>
      </x:c>
      <x:c r="I90" s="5" t="n">
        <x:v>311</x:v>
      </x:c>
      <x:c r="J90" s="5" t="str">
        <x:v>312</x:v>
      </x:c>
      <x:c r="K90" s="5" t="str">
        <x:v>적절한 너비로 표현한다.</x:v>
      </x:c>
      <x:c r="L90" s="5" t="str">
        <x:v>원문 세부기준</x:v>
      </x:c>
      <x:c r="M90" s="5" t="str">
        <x:v>추출 후 기본 구조 검토; 원문 적용수준·전체 맥락 재확인 필요</x:v>
      </x:c>
      <x:c r="N90" s="5" t="str">
        <x:v>UI-024</x:v>
      </x:c>
      <x:c r="O90" s="5" t="str">
        <x:v>자동 추출 후보 / 공식 전수 체크리스트 아님</x:v>
      </x:c>
    </x:row>
    <x:row r="91" ht="15" hidden="0" customHeight="1">
      <x:c r="A91" s="5" t="str">
        <x:v>KRDS-SEC-025-U-02</x:v>
      </x:c>
      <x:c r="B91" s="5" t="str">
        <x:v>KRDS-SEC-025</x:v>
      </x:c>
      <x:c r="C91" s="5" t="str">
        <x:v>컴포넌트</x:v>
      </x:c>
      <x:c r="D91" s="5" t="str">
        <x:v>탐색</x:v>
      </x:c>
      <x:c r="E91" s="5" t="str">
        <x:v>콘텐츠 내 탐색</x:v>
      </x:c>
      <x:c r="F91" s="5" t="str">
        <x:v>사용성 가이드라인</x:v>
      </x:c>
      <x:c r="G91" s="5" t="str">
        <x:v>02</x:v>
      </x:c>
      <x:c r="H91" s="5" t="n">
        <x:v>311</x:v>
      </x:c>
      <x:c r="I91" s="5" t="n">
        <x:v>311</x:v>
      </x:c>
      <x:c r="J91" s="5" t="str">
        <x:v>312</x:v>
      </x:c>
      <x:c r="K91" s="5" t="str">
        <x:v>콘텐츠 내 탐색은 본문 우측에 표시한다.</x:v>
      </x:c>
      <x:c r="L91" s="5" t="str">
        <x:v>원문 세부기준</x:v>
      </x:c>
      <x:c r="M91" s="5" t="str">
        <x:v>추출 후 기본 구조 검토; 원문 적용수준·전체 맥락 재확인 필요</x:v>
      </x:c>
      <x:c r="N91" s="5" t="str">
        <x:v>UI-024</x:v>
      </x:c>
      <x:c r="O91" s="5" t="str">
        <x:v>자동 추출 후보 / 공식 전수 체크리스트 아님</x:v>
      </x:c>
    </x:row>
    <x:row r="92" ht="15" hidden="0" customHeight="1">
      <x:c r="A92" s="5" t="str">
        <x:v>KRDS-SEC-025-U-03</x:v>
      </x:c>
      <x:c r="B92" s="5" t="str">
        <x:v>KRDS-SEC-025</x:v>
      </x:c>
      <x:c r="C92" s="5" t="str">
        <x:v>컴포넌트</x:v>
      </x:c>
      <x:c r="D92" s="5" t="str">
        <x:v>탐색</x:v>
      </x:c>
      <x:c r="E92" s="5" t="str">
        <x:v>콘텐츠 내 탐색</x:v>
      </x:c>
      <x:c r="F92" s="5" t="str">
        <x:v>사용성 가이드라인</x:v>
      </x:c>
      <x:c r="G92" s="5" t="str">
        <x:v>03</x:v>
      </x:c>
      <x:c r="H92" s="5" t="n">
        <x:v>311</x:v>
      </x:c>
      <x:c r="I92" s="5" t="n">
        <x:v>311</x:v>
      </x:c>
      <x:c r="J92" s="5" t="str">
        <x:v>312</x:v>
      </x:c>
      <x:c r="K92" s="5" t="str">
        <x:v>개요 목록 텍스트는 연결된 섹션 제목과 일치하는 내용으로 제공한다.</x:v>
      </x:c>
      <x:c r="L92" s="5" t="str">
        <x:v>원문 세부기준</x:v>
      </x:c>
      <x:c r="M92" s="5" t="str">
        <x:v>추출 후 기본 구조 검토; 원문 적용수준·전체 맥락 재확인 필요</x:v>
      </x:c>
      <x:c r="N92" s="5" t="str">
        <x:v>UI-024</x:v>
      </x:c>
      <x:c r="O92" s="5" t="str">
        <x:v>자동 추출 후보 / 공식 전수 체크리스트 아님</x:v>
      </x:c>
    </x:row>
    <x:row r="93" ht="15" hidden="0" customHeight="1">
      <x:c r="A93" s="5" t="str">
        <x:v>KRDS-SEC-025-U-04</x:v>
      </x:c>
      <x:c r="B93" s="5" t="str">
        <x:v>KRDS-SEC-025</x:v>
      </x:c>
      <x:c r="C93" s="5" t="str">
        <x:v>컴포넌트</x:v>
      </x:c>
      <x:c r="D93" s="5" t="str">
        <x:v>탐색</x:v>
      </x:c>
      <x:c r="E93" s="5" t="str">
        <x:v>콘텐츠 내 탐색</x:v>
      </x:c>
      <x:c r="F93" s="5" t="str">
        <x:v>사용성 가이드라인</x:v>
      </x:c>
      <x:c r="G93" s="5" t="str">
        <x:v>04</x:v>
      </x:c>
      <x:c r="H93" s="5" t="n">
        <x:v>311</x:v>
      </x:c>
      <x:c r="I93" s="5" t="n">
        <x:v>311</x:v>
      </x:c>
      <x:c r="J93" s="5" t="str">
        <x:v>312</x:v>
      </x:c>
      <x:c r="K93" s="5" t="str">
        <x:v>목록 수준은 최대 3단계까지 사용한다.</x:v>
      </x:c>
      <x:c r="L93" s="5" t="str">
        <x:v>원문 세부기준</x:v>
      </x:c>
      <x:c r="M93" s="5" t="str">
        <x:v>추출 후 기본 구조 검토; 원문 적용수준·전체 맥락 재확인 필요</x:v>
      </x:c>
      <x:c r="N93" s="5" t="str">
        <x:v>UI-024</x:v>
      </x:c>
      <x:c r="O93" s="5" t="str">
        <x:v>자동 추출 후보 / 공식 전수 체크리스트 아님</x:v>
      </x:c>
    </x:row>
    <x:row r="94" ht="15" hidden="0" customHeight="1">
      <x:c r="A94" s="5" t="str">
        <x:v>KRDS-SEC-025-P-01</x:v>
      </x:c>
      <x:c r="B94" s="5" t="str">
        <x:v>KRDS-SEC-025</x:v>
      </x:c>
      <x:c r="C94" s="5" t="str">
        <x:v>컴포넌트</x:v>
      </x:c>
      <x:c r="D94" s="5" t="str">
        <x:v>탐색</x:v>
      </x:c>
      <x:c r="E94" s="5" t="str">
        <x:v>콘텐츠 내 탐색</x:v>
      </x:c>
      <x:c r="F94" s="5" t="str">
        <x:v>플랫폼에 대한 고려 사항</x:v>
      </x:c>
      <x:c r="G94" s="5" t="str">
        <x:v>01</x:v>
      </x:c>
      <x:c r="H94" s="5" t="n">
        <x:v>313</x:v>
      </x:c>
      <x:c r="I94" s="5" t="n">
        <x:v>313</x:v>
      </x:c>
      <x:c r="J94" s="5" t="str"/>
      <x:c r="K94" s="5" t="str">
        <x:v>모바일에서 콘텐츠 내 탐색은 제목과 본문 사이에 배치한다.</x:v>
      </x:c>
      <x:c r="L94" s="5" t="str">
        <x:v>원문 세부기준</x:v>
      </x:c>
      <x:c r="M94" s="5" t="str">
        <x:v>추출 후 기본 구조 검토; 원문 적용수준·전체 맥락 재확인 필요</x:v>
      </x:c>
      <x:c r="N94" s="5" t="str">
        <x:v>UI-024</x:v>
      </x:c>
      <x:c r="O94" s="5" t="str">
        <x:v>자동 추출 후보 / 공식 전수 체크리스트 아님</x:v>
      </x:c>
    </x:row>
    <x:row r="95" ht="15" hidden="0" customHeight="1">
      <x:c r="A95" s="5" t="str">
        <x:v>KRDS-SEC-025-A-01</x:v>
      </x:c>
      <x:c r="B95" s="5" t="str">
        <x:v>KRDS-SEC-025</x:v>
      </x:c>
      <x:c r="C95" s="5" t="str">
        <x:v>컴포넌트</x:v>
      </x:c>
      <x:c r="D95" s="5" t="str">
        <x:v>탐색</x:v>
      </x:c>
      <x:c r="E95" s="5" t="str">
        <x:v>콘텐츠 내 탐색</x:v>
      </x:c>
      <x:c r="F95" s="5" t="str">
        <x:v>접근성 가이드라인</x:v>
      </x:c>
      <x:c r="G95" s="5" t="str">
        <x:v>01</x:v>
      </x:c>
      <x:c r="H95" s="5" t="n">
        <x:v>314</x:v>
      </x:c>
      <x:c r="I95" s="5" t="n">
        <x:v>314</x:v>
      </x:c>
      <x:c r="J95" s="5" t="str"/>
      <x:c r="K95" s="5" t="str">
        <x:v>키보드로 접근과 조작이 가능하도록 한다.</x:v>
      </x:c>
      <x:c r="L95" s="5" t="str">
        <x:v>원문 세부기준</x:v>
      </x:c>
      <x:c r="M95" s="5" t="str">
        <x:v>추출 후 기본 구조 검토; 원문 적용수준·전체 맥락 재확인 필요</x:v>
      </x:c>
      <x:c r="N95" s="5" t="str">
        <x:v>UI-024</x:v>
      </x:c>
      <x:c r="O95" s="5" t="str">
        <x:v>자동 추출 후보 / 공식 전수 체크리스트 아님</x:v>
      </x:c>
    </x:row>
    <x:row r="96" ht="15" hidden="0" customHeight="1">
      <x:c r="A96" s="5" t="str">
        <x:v>KRDS-SEC-025-A-02</x:v>
      </x:c>
      <x:c r="B96" s="5" t="str">
        <x:v>KRDS-SEC-025</x:v>
      </x:c>
      <x:c r="C96" s="5" t="str">
        <x:v>컴포넌트</x:v>
      </x:c>
      <x:c r="D96" s="5" t="str">
        <x:v>탐색</x:v>
      </x:c>
      <x:c r="E96" s="5" t="str">
        <x:v>콘텐츠 내 탐색</x:v>
      </x:c>
      <x:c r="F96" s="5" t="str">
        <x:v>접근성 가이드라인</x:v>
      </x:c>
      <x:c r="G96" s="5" t="str">
        <x:v>02</x:v>
      </x:c>
      <x:c r="H96" s="5" t="n">
        <x:v>314</x:v>
      </x:c>
      <x:c r="I96" s="5" t="n">
        <x:v>314</x:v>
      </x:c>
      <x:c r="J96" s="5" t="str"/>
      <x:c r="K96" s="5" t="str">
        <x:v>콘텐츠 내 탐색은 제목과 본문 사이에 배치한다.</x:v>
      </x:c>
      <x:c r="L96" s="5" t="str">
        <x:v>원문 세부기준</x:v>
      </x:c>
      <x:c r="M96" s="5" t="str">
        <x:v>추출 후 기본 구조 검토; 원문 적용수준·전체 맥락 재확인 필요</x:v>
      </x:c>
      <x:c r="N96" s="5" t="str">
        <x:v>UI-024</x:v>
      </x:c>
      <x:c r="O96" s="5" t="str">
        <x:v>자동 추출 후보 / 공식 전수 체크리스트 아님</x:v>
      </x:c>
    </x:row>
    <x:row r="97" ht="15" hidden="0" customHeight="1">
      <x:c r="A97" s="5" t="str">
        <x:v>KRDS-SEC-025-A-03</x:v>
      </x:c>
      <x:c r="B97" s="5" t="str">
        <x:v>KRDS-SEC-025</x:v>
      </x:c>
      <x:c r="C97" s="5" t="str">
        <x:v>컴포넌트</x:v>
      </x:c>
      <x:c r="D97" s="5" t="str">
        <x:v>탐색</x:v>
      </x:c>
      <x:c r="E97" s="5" t="str">
        <x:v>콘텐츠 내 탐색</x:v>
      </x:c>
      <x:c r="F97" s="5" t="str">
        <x:v>접근성 가이드라인</x:v>
      </x:c>
      <x:c r="G97" s="5" t="str">
        <x:v>03</x:v>
      </x:c>
      <x:c r="H97" s="5" t="n">
        <x:v>314</x:v>
      </x:c>
      <x:c r="I97" s="5" t="n">
        <x:v>314</x:v>
      </x:c>
      <x:c r="J97" s="5" t="str"/>
      <x:c r="K97" s="5" t="str">
        <x:v>키보드로 콘텐츠 내 탐색 링크를 실행하였을 때 화면과 함께 키보드 초점이 해당 섹션으로 이동되도록 한다.</x:v>
      </x:c>
      <x:c r="L97" s="5" t="str">
        <x:v>원문 세부기준</x:v>
      </x:c>
      <x:c r="M97" s="5" t="str">
        <x:v>추출 후 기본 구조 검토; 원문 적용수준·전체 맥락 재확인 필요</x:v>
      </x:c>
      <x:c r="N97" s="5" t="str">
        <x:v>UI-024</x:v>
      </x:c>
      <x:c r="O97" s="5" t="str">
        <x:v>자동 추출 후보 / 공식 전수 체크리스트 아님</x:v>
      </x:c>
    </x:row>
    <x:row r="98" ht="15" hidden="0" customHeight="1">
      <x:c r="A98" s="5" t="str">
        <x:v>KRDS-SEC-025-A-04</x:v>
      </x:c>
      <x:c r="B98" s="5" t="str">
        <x:v>KRDS-SEC-025</x:v>
      </x:c>
      <x:c r="C98" s="5" t="str">
        <x:v>컴포넌트</x:v>
      </x:c>
      <x:c r="D98" s="5" t="str">
        <x:v>탐색</x:v>
      </x:c>
      <x:c r="E98" s="5" t="str">
        <x:v>콘텐츠 내 탐색</x:v>
      </x:c>
      <x:c r="F98" s="5" t="str">
        <x:v>접근성 가이드라인</x:v>
      </x:c>
      <x:c r="G98" s="5" t="str">
        <x:v>04</x:v>
      </x:c>
      <x:c r="H98" s="5" t="n">
        <x:v>315</x:v>
      </x:c>
      <x:c r="I98" s="5" t="n">
        <x:v>315</x:v>
      </x:c>
      <x:c r="J98" s="5" t="str"/>
      <x:c r="K98" s="5" t="str">
        <x:v>링크 목록에 &lt;h1&gt;을 사용하지 않는다.</x:v>
      </x:c>
      <x:c r="L98" s="5" t="str">
        <x:v>원문 세부기준</x:v>
      </x:c>
      <x:c r="M98" s="5" t="str">
        <x:v>추출 후 기본 구조 검토; 원문 적용수준·전체 맥락 재확인 필요</x:v>
      </x:c>
      <x:c r="N98" s="5" t="str">
        <x:v>UI-024</x:v>
      </x:c>
      <x:c r="O98" s="5" t="str">
        <x:v>자동 추출 후보 / 공식 전수 체크리스트 아님</x:v>
      </x:c>
    </x:row>
    <x:row r="99" ht="15" hidden="0" customHeight="1">
      <x:c r="A99" s="5" t="str">
        <x:v>KRDS-SEC-026-U-01</x:v>
      </x:c>
      <x:c r="B99" s="5" t="str">
        <x:v>KRDS-SEC-026</x:v>
      </x:c>
      <x:c r="C99" s="5" t="str">
        <x:v>컴포넌트</x:v>
      </x:c>
      <x:c r="D99" s="5" t="str">
        <x:v>탐색</x:v>
      </x:c>
      <x:c r="E99" s="5" t="str">
        <x:v>페이지네이션</x:v>
      </x:c>
      <x:c r="F99" s="5" t="str">
        <x:v>사용성 가이드라인</x:v>
      </x:c>
      <x:c r="G99" s="5" t="str">
        <x:v>01</x:v>
      </x:c>
      <x:c r="H99" s="5" t="n">
        <x:v>325</x:v>
      </x:c>
      <x:c r="I99" s="5" t="n">
        <x:v>325</x:v>
      </x:c>
      <x:c r="J99" s="5" t="str">
        <x:v>326</x:v>
      </x:c>
      <x:c r="K99" s="5" t="str">
        <x:v>페이지네이션에는 첫/마지막 화면, 이전/다음 화면으로 이동할 수 있는 수단을 제공한다.</x:v>
      </x:c>
      <x:c r="L99" s="5" t="str">
        <x:v>원문 세부기준</x:v>
      </x:c>
      <x:c r="M99" s="5" t="str">
        <x:v>추출 후 기본 구조 검토; 원문 적용수준·전체 맥락 재확인 필요</x:v>
      </x:c>
      <x:c r="N99" s="5" t="str">
        <x:v>UI-025</x:v>
      </x:c>
      <x:c r="O99" s="5" t="str">
        <x:v>자동 추출 후보 / 공식 전수 체크리스트 아님</x:v>
      </x:c>
    </x:row>
    <x:row r="100" ht="15" hidden="0" customHeight="1">
      <x:c r="A100" s="5" t="str">
        <x:v>KRDS-SEC-026-U-02</x:v>
      </x:c>
      <x:c r="B100" s="5" t="str">
        <x:v>KRDS-SEC-026</x:v>
      </x:c>
      <x:c r="C100" s="5" t="str">
        <x:v>컴포넌트</x:v>
      </x:c>
      <x:c r="D100" s="5" t="str">
        <x:v>탐색</x:v>
      </x:c>
      <x:c r="E100" s="5" t="str">
        <x:v>페이지네이션</x:v>
      </x:c>
      <x:c r="F100" s="5" t="str">
        <x:v>사용성 가이드라인</x:v>
      </x:c>
      <x:c r="G100" s="5" t="str">
        <x:v>02</x:v>
      </x:c>
      <x:c r="H100" s="5" t="n">
        <x:v>325</x:v>
      </x:c>
      <x:c r="I100" s="5" t="n">
        <x:v>325</x:v>
      </x:c>
      <x:c r="J100" s="5" t="str">
        <x:v>326</x:v>
      </x:c>
      <x:c r="K100" s="5" t="str">
        <x:v>전체 화면 수를 표시한다.</x:v>
      </x:c>
      <x:c r="L100" s="5" t="str">
        <x:v>원문 세부기준</x:v>
      </x:c>
      <x:c r="M100" s="5" t="str">
        <x:v>추출 후 기본 구조 검토; 원문 적용수준·전체 맥락 재확인 필요</x:v>
      </x:c>
      <x:c r="N100" s="5" t="str">
        <x:v>UI-025</x:v>
      </x:c>
      <x:c r="O100" s="5" t="str">
        <x:v>자동 추출 후보 / 공식 전수 체크리스트 아님</x:v>
      </x:c>
    </x:row>
    <x:row r="101" ht="15" hidden="0" customHeight="1">
      <x:c r="A101" s="5" t="str">
        <x:v>KRDS-SEC-026-U-03</x:v>
      </x:c>
      <x:c r="B101" s="5" t="str">
        <x:v>KRDS-SEC-026</x:v>
      </x:c>
      <x:c r="C101" s="5" t="str">
        <x:v>컴포넌트</x:v>
      </x:c>
      <x:c r="D101" s="5" t="str">
        <x:v>탐색</x:v>
      </x:c>
      <x:c r="E101" s="5" t="str">
        <x:v>페이지네이션</x:v>
      </x:c>
      <x:c r="F101" s="5" t="str">
        <x:v>사용성 가이드라인</x:v>
      </x:c>
      <x:c r="G101" s="5" t="str">
        <x:v>03</x:v>
      </x:c>
      <x:c r="H101" s="5" t="n">
        <x:v>325</x:v>
      </x:c>
      <x:c r="I101" s="5" t="n">
        <x:v>325</x:v>
      </x:c>
      <x:c r="J101" s="5" t="str">
        <x:v>327</x:v>
      </x:c>
      <x:c r="K101" s="5" t="str">
        <x:v>번호 링크에 현재 화면 숫자를 강조하여 표현한다.</x:v>
      </x:c>
      <x:c r="L101" s="5" t="str">
        <x:v>원문 세부기준</x:v>
      </x:c>
      <x:c r="M101" s="5" t="str">
        <x:v>추출 후 기본 구조 검토; 원문 적용수준·전체 맥락 재확인 필요</x:v>
      </x:c>
      <x:c r="N101" s="5" t="str">
        <x:v>UI-025</x:v>
      </x:c>
      <x:c r="O101" s="5" t="str">
        <x:v>자동 추출 후보 / 공식 전수 체크리스트 아님</x:v>
      </x:c>
    </x:row>
    <x:row r="102" ht="15" hidden="0" customHeight="1">
      <x:c r="A102" s="5" t="str">
        <x:v>KRDS-SEC-026-U-04</x:v>
      </x:c>
      <x:c r="B102" s="5" t="str">
        <x:v>KRDS-SEC-026</x:v>
      </x:c>
      <x:c r="C102" s="5" t="str">
        <x:v>컴포넌트</x:v>
      </x:c>
      <x:c r="D102" s="5" t="str">
        <x:v>탐색</x:v>
      </x:c>
      <x:c r="E102" s="5" t="str">
        <x:v>페이지네이션</x:v>
      </x:c>
      <x:c r="F102" s="5" t="str">
        <x:v>사용성 가이드라인</x:v>
      </x:c>
      <x:c r="G102" s="5" t="str">
        <x:v>04</x:v>
      </x:c>
      <x:c r="H102" s="5" t="n">
        <x:v>325</x:v>
      </x:c>
      <x:c r="I102" s="5" t="n">
        <x:v>325</x:v>
      </x:c>
      <x:c r="J102" s="5" t="str">
        <x:v>328</x:v>
      </x:c>
      <x:c r="K102" s="5" t="str">
        <x:v>페이지네이션은 전체 서비스에서 일관된 영역에 배치한다.</x:v>
      </x:c>
      <x:c r="L102" s="5" t="str">
        <x:v>원문 세부기준</x:v>
      </x:c>
      <x:c r="M102" s="5" t="str">
        <x:v>추출 후 기본 구조 검토; 원문 적용수준·전체 맥락 재확인 필요</x:v>
      </x:c>
      <x:c r="N102" s="5" t="str">
        <x:v>UI-025</x:v>
      </x:c>
      <x:c r="O102" s="5" t="str">
        <x:v>자동 추출 후보 / 공식 전수 체크리스트 아님</x:v>
      </x:c>
    </x:row>
    <x:row r="103" ht="15" hidden="0" customHeight="1">
      <x:c r="A103" s="5" t="str">
        <x:v>KRDS-SEC-026-U-05</x:v>
      </x:c>
      <x:c r="B103" s="5" t="str">
        <x:v>KRDS-SEC-026</x:v>
      </x:c>
      <x:c r="C103" s="5" t="str">
        <x:v>컴포넌트</x:v>
      </x:c>
      <x:c r="D103" s="5" t="str">
        <x:v>탐색</x:v>
      </x:c>
      <x:c r="E103" s="5" t="str">
        <x:v>페이지네이션</x:v>
      </x:c>
      <x:c r="F103" s="5" t="str">
        <x:v>사용성 가이드라인</x:v>
      </x:c>
      <x:c r="G103" s="5" t="str">
        <x:v>05</x:v>
      </x:c>
      <x:c r="H103" s="5" t="n">
        <x:v>325</x:v>
      </x:c>
      <x:c r="I103" s="5" t="n">
        <x:v>325</x:v>
      </x:c>
      <x:c r="J103" s="5" t="str">
        <x:v>328</x:v>
      </x:c>
      <x:c r="K103" s="5" t="str">
        <x:v>페이지네이션은 한 화면에 하나만 사용한다.</x:v>
      </x:c>
      <x:c r="L103" s="5" t="str">
        <x:v>원문 세부기준</x:v>
      </x:c>
      <x:c r="M103" s="5" t="str">
        <x:v>추출 후 기본 구조 검토; 원문 적용수준·전체 맥락 재확인 필요</x:v>
      </x:c>
      <x:c r="N103" s="5" t="str">
        <x:v>UI-025</x:v>
      </x:c>
      <x:c r="O103" s="5" t="str">
        <x:v>자동 추출 후보 / 공식 전수 체크리스트 아님</x:v>
      </x:c>
    </x:row>
    <x:row r="104" ht="15" hidden="0" customHeight="1">
      <x:c r="A104" s="5" t="str">
        <x:v>KRDS-SEC-026-U-06</x:v>
      </x:c>
      <x:c r="B104" s="5" t="str">
        <x:v>KRDS-SEC-026</x:v>
      </x:c>
      <x:c r="C104" s="5" t="str">
        <x:v>컴포넌트</x:v>
      </x:c>
      <x:c r="D104" s="5" t="str">
        <x:v>탐색</x:v>
      </x:c>
      <x:c r="E104" s="5" t="str">
        <x:v>페이지네이션</x:v>
      </x:c>
      <x:c r="F104" s="5" t="str">
        <x:v>사용성 가이드라인</x:v>
      </x:c>
      <x:c r="G104" s="5" t="str">
        <x:v>06</x:v>
      </x:c>
      <x:c r="H104" s="5" t="n">
        <x:v>325</x:v>
      </x:c>
      <x:c r="I104" s="5" t="n">
        <x:v>325</x:v>
      </x:c>
      <x:c r="J104" s="5" t="str">
        <x:v>328</x:v>
      </x:c>
      <x:c r="K104" s="5" t="str">
        <x:v>숫자 링크 목록에는 말줄임표를 포함하여 10개 이내의 항목을 표시한다.</x:v>
      </x:c>
      <x:c r="L104" s="5" t="str">
        <x:v>원문 세부기준</x:v>
      </x:c>
      <x:c r="M104" s="5" t="str">
        <x:v>추출 후 기본 구조 검토; 원문 적용수준·전체 맥락 재확인 필요</x:v>
      </x:c>
      <x:c r="N104" s="5" t="str">
        <x:v>UI-025</x:v>
      </x:c>
      <x:c r="O104" s="5" t="str">
        <x:v>자동 추출 후보 / 공식 전수 체크리스트 아님</x:v>
      </x:c>
    </x:row>
    <x:row r="105" ht="15" hidden="0" customHeight="1">
      <x:c r="A105" s="5" t="str">
        <x:v>KRDS-SEC-026-U-07</x:v>
      </x:c>
      <x:c r="B105" s="5" t="str">
        <x:v>KRDS-SEC-026</x:v>
      </x:c>
      <x:c r="C105" s="5" t="str">
        <x:v>컴포넌트</x:v>
      </x:c>
      <x:c r="D105" s="5" t="str">
        <x:v>탐색</x:v>
      </x:c>
      <x:c r="E105" s="5" t="str">
        <x:v>페이지네이션</x:v>
      </x:c>
      <x:c r="F105" s="5" t="str">
        <x:v>사용성 가이드라인</x:v>
      </x:c>
      <x:c r="G105" s="5" t="str">
        <x:v>07</x:v>
      </x:c>
      <x:c r="H105" s="5" t="n">
        <x:v>325</x:v>
      </x:c>
      <x:c r="I105" s="5" t="n">
        <x:v>325</x:v>
      </x:c>
      <x:c r="J105" s="5" t="str">
        <x:v>329</x:v>
      </x:c>
      <x:c r="K105" s="5" t="str">
        <x:v>화면당 항목 수를 최적화한다.</x:v>
      </x:c>
      <x:c r="L105" s="5" t="str">
        <x:v>원문 세부기준</x:v>
      </x:c>
      <x:c r="M105" s="5" t="str">
        <x:v>추출 후 기본 구조 검토; 원문 적용수준·전체 맥락 재확인 필요</x:v>
      </x:c>
      <x:c r="N105" s="5" t="str">
        <x:v>UI-025</x:v>
      </x:c>
      <x:c r="O105" s="5" t="str">
        <x:v>자동 추출 후보 / 공식 전수 체크리스트 아님</x:v>
      </x:c>
    </x:row>
    <x:row r="106" ht="15" hidden="0" customHeight="1">
      <x:c r="A106" s="5" t="str">
        <x:v>KRDS-SEC-026-P-01</x:v>
      </x:c>
      <x:c r="B106" s="5" t="str">
        <x:v>KRDS-SEC-026</x:v>
      </x:c>
      <x:c r="C106" s="5" t="str">
        <x:v>컴포넌트</x:v>
      </x:c>
      <x:c r="D106" s="5" t="str">
        <x:v>탐색</x:v>
      </x:c>
      <x:c r="E106" s="5" t="str">
        <x:v>페이지네이션</x:v>
      </x:c>
      <x:c r="F106" s="5" t="str">
        <x:v>플랫폼에 대한 고려 사항</x:v>
      </x:c>
      <x:c r="G106" s="5" t="str">
        <x:v>01</x:v>
      </x:c>
      <x:c r="H106" s="5" t="n">
        <x:v>330</x:v>
      </x:c>
      <x:c r="I106" s="5" t="n">
        <x:v>330</x:v>
      </x:c>
      <x:c r="J106" s="5" t="str"/>
      <x:c r="K106" s="5" t="str">
        <x:v>화면 너비가 충분하지 않은 경우 이전/다음 버튼, 숫자 링크 목록을 수직으로 배치한다.</x:v>
      </x:c>
      <x:c r="L106" s="5" t="str">
        <x:v>원문 세부기준</x:v>
      </x:c>
      <x:c r="M106" s="5" t="str">
        <x:v>추출 후 기본 구조 검토; 원문 적용수준·전체 맥락 재확인 필요</x:v>
      </x:c>
      <x:c r="N106" s="5" t="str">
        <x:v>UI-025</x:v>
      </x:c>
      <x:c r="O106" s="5" t="str">
        <x:v>자동 추출 후보 / 공식 전수 체크리스트 아님</x:v>
      </x:c>
    </x:row>
    <x:row r="107" ht="15" hidden="0" customHeight="1">
      <x:c r="A107" s="5" t="str">
        <x:v>KRDS-SEC-026-P-02</x:v>
      </x:c>
      <x:c r="B107" s="5" t="str">
        <x:v>KRDS-SEC-026</x:v>
      </x:c>
      <x:c r="C107" s="5" t="str">
        <x:v>컴포넌트</x:v>
      </x:c>
      <x:c r="D107" s="5" t="str">
        <x:v>탐색</x:v>
      </x:c>
      <x:c r="E107" s="5" t="str">
        <x:v>페이지네이션</x:v>
      </x:c>
      <x:c r="F107" s="5" t="str">
        <x:v>플랫폼에 대한 고려 사항</x:v>
      </x:c>
      <x:c r="G107" s="5" t="str">
        <x:v>02</x:v>
      </x:c>
      <x:c r="H107" s="5" t="n">
        <x:v>331</x:v>
      </x:c>
      <x:c r="I107" s="5" t="n">
        <x:v>331</x:v>
      </x:c>
      <x:c r="J107" s="5" t="str"/>
      <x:c r="K107" s="5" t="str">
        <x:v>화면 너비가 충분하지 않은 경우 숫자 링크 목록은 말줄임표를 포함하여 최대 7개 링크를 표시한다.</x:v>
      </x:c>
      <x:c r="L107" s="5" t="str">
        <x:v>원문 세부기준</x:v>
      </x:c>
      <x:c r="M107" s="5" t="str">
        <x:v>추출 후 기본 구조 검토; 원문 적용수준·전체 맥락 재확인 필요</x:v>
      </x:c>
      <x:c r="N107" s="5" t="str">
        <x:v>UI-025</x:v>
      </x:c>
      <x:c r="O107" s="5" t="str">
        <x:v>자동 추출 후보 / 공식 전수 체크리스트 아님</x:v>
      </x:c>
    </x:row>
    <x:row r="108" ht="15" hidden="0" customHeight="1">
      <x:c r="A108" s="5" t="str">
        <x:v>KRDS-SEC-026-P-03</x:v>
      </x:c>
      <x:c r="B108" s="5" t="str">
        <x:v>KRDS-SEC-026</x:v>
      </x:c>
      <x:c r="C108" s="5" t="str">
        <x:v>컴포넌트</x:v>
      </x:c>
      <x:c r="D108" s="5" t="str">
        <x:v>탐색</x:v>
      </x:c>
      <x:c r="E108" s="5" t="str">
        <x:v>페이지네이션</x:v>
      </x:c>
      <x:c r="F108" s="5" t="str">
        <x:v>플랫폼에 대한 고려 사항</x:v>
      </x:c>
      <x:c r="G108" s="5" t="str">
        <x:v>03</x:v>
      </x:c>
      <x:c r="H108" s="5" t="n">
        <x:v>332</x:v>
      </x:c>
      <x:c r="I108" s="5" t="n">
        <x:v>332</x:v>
      </x:c>
      <x:c r="J108" s="5" t="str"/>
      <x:c r="K108" s="5" t="str">
        <x:v>화면 크기에 상관없이 전체 화면 수를 일정하게 유지한다.</x:v>
      </x:c>
      <x:c r="L108" s="5" t="str">
        <x:v>원문 세부기준</x:v>
      </x:c>
      <x:c r="M108" s="5" t="str">
        <x:v>추출 후 기본 구조 검토; 원문 적용수준·전체 맥락 재확인 필요</x:v>
      </x:c>
      <x:c r="N108" s="5" t="str">
        <x:v>UI-025</x:v>
      </x:c>
      <x:c r="O108" s="5" t="str">
        <x:v>자동 추출 후보 / 공식 전수 체크리스트 아님</x:v>
      </x:c>
    </x:row>
    <x:row r="109" ht="15" hidden="0" customHeight="1">
      <x:c r="A109" s="5" t="str">
        <x:v>KRDS-SEC-026-A-01</x:v>
      </x:c>
      <x:c r="B109" s="5" t="str">
        <x:v>KRDS-SEC-026</x:v>
      </x:c>
      <x:c r="C109" s="5" t="str">
        <x:v>컴포넌트</x:v>
      </x:c>
      <x:c r="D109" s="5" t="str">
        <x:v>탐색</x:v>
      </x:c>
      <x:c r="E109" s="5" t="str">
        <x:v>페이지네이션</x:v>
      </x:c>
      <x:c r="F109" s="5" t="str">
        <x:v>접근성 가이드라인</x:v>
      </x:c>
      <x:c r="G109" s="5" t="str">
        <x:v>01</x:v>
      </x:c>
      <x:c r="H109" s="5" t="n">
        <x:v>333</x:v>
      </x:c>
      <x:c r="I109" s="5" t="n">
        <x:v>333</x:v>
      </x:c>
      <x:c r="J109" s="5" t="str"/>
      <x:c r="K109" s="5" t="str">
        <x:v>페이지네이션의 컨테이너가 내비게이션 섹션임을 스크린 리더에서 인지할 수 있도록 한다.</x:v>
      </x:c>
      <x:c r="L109" s="5" t="str">
        <x:v>원문 세부기준</x:v>
      </x:c>
      <x:c r="M109" s="5" t="str">
        <x:v>추출 후 기본 구조 검토; 원문 적용수준·전체 맥락 재확인 필요</x:v>
      </x:c>
      <x:c r="N109" s="5" t="str">
        <x:v>UI-025</x:v>
      </x:c>
      <x:c r="O109" s="5" t="str">
        <x:v>자동 추출 후보 / 공식 전수 체크리스트 아님</x:v>
      </x:c>
    </x:row>
    <x:row r="110" ht="15" hidden="0" customHeight="1">
      <x:c r="A110" s="5" t="str">
        <x:v>KRDS-SEC-026-A-02</x:v>
      </x:c>
      <x:c r="B110" s="5" t="str">
        <x:v>KRDS-SEC-026</x:v>
      </x:c>
      <x:c r="C110" s="5" t="str">
        <x:v>컴포넌트</x:v>
      </x:c>
      <x:c r="D110" s="5" t="str">
        <x:v>탐색</x:v>
      </x:c>
      <x:c r="E110" s="5" t="str">
        <x:v>페이지네이션</x:v>
      </x:c>
      <x:c r="F110" s="5" t="str">
        <x:v>접근성 가이드라인</x:v>
      </x:c>
      <x:c r="G110" s="5" t="str">
        <x:v>02</x:v>
      </x:c>
      <x:c r="H110" s="5" t="n">
        <x:v>333</x:v>
      </x:c>
      <x:c r="I110" s="5" t="n">
        <x:v>333</x:v>
      </x:c>
      <x:c r="J110" s="5" t="str"/>
      <x:c r="K110" s="5" t="str">
        <x:v>숫자 링크 목록의 구조를 표현한다.</x:v>
      </x:c>
      <x:c r="L110" s="5" t="str">
        <x:v>원문 세부기준</x:v>
      </x:c>
      <x:c r="M110" s="5" t="str">
        <x:v>추출 후 기본 구조 검토; 원문 적용수준·전체 맥락 재확인 필요</x:v>
      </x:c>
      <x:c r="N110" s="5" t="str">
        <x:v>UI-025</x:v>
      </x:c>
      <x:c r="O110" s="5" t="str">
        <x:v>자동 추출 후보 / 공식 전수 체크리스트 아님</x:v>
      </x:c>
    </x:row>
    <x:row r="111" ht="15" hidden="0" customHeight="1">
      <x:c r="A111" s="5" t="str">
        <x:v>KRDS-SEC-026-A-03</x:v>
      </x:c>
      <x:c r="B111" s="5" t="str">
        <x:v>KRDS-SEC-026</x:v>
      </x:c>
      <x:c r="C111" s="5" t="str">
        <x:v>컴포넌트</x:v>
      </x:c>
      <x:c r="D111" s="5" t="str">
        <x:v>탐색</x:v>
      </x:c>
      <x:c r="E111" s="5" t="str">
        <x:v>페이지네이션</x:v>
      </x:c>
      <x:c r="F111" s="5" t="str">
        <x:v>접근성 가이드라인</x:v>
      </x:c>
      <x:c r="G111" s="5" t="str">
        <x:v>03</x:v>
      </x:c>
      <x:c r="H111" s="5" t="n">
        <x:v>333</x:v>
      </x:c>
      <x:c r="I111" s="5" t="n">
        <x:v>333</x:v>
      </x:c>
      <x:c r="J111" s="5" t="str"/>
      <x:c r="K111" s="5" t="str">
        <x:v>스크린 리더에서 확인할 수 있는 현재 화면 정보를 제공한다.</x:v>
      </x:c>
      <x:c r="L111" s="5" t="str">
        <x:v>원문 세부기준</x:v>
      </x:c>
      <x:c r="M111" s="5" t="str">
        <x:v>추출 후 기본 구조 검토; 원문 적용수준·전체 맥락 재확인 필요</x:v>
      </x:c>
      <x:c r="N111" s="5" t="str">
        <x:v>UI-025</x:v>
      </x:c>
      <x:c r="O111" s="5" t="str">
        <x:v>자동 추출 후보 / 공식 전수 체크리스트 아님</x:v>
      </x:c>
    </x:row>
    <x:row r="112" ht="15" hidden="0" customHeight="1">
      <x:c r="A112" s="5" t="str">
        <x:v>KRDS-SEC-026-A-04</x:v>
      </x:c>
      <x:c r="B112" s="5" t="str">
        <x:v>KRDS-SEC-026</x:v>
      </x:c>
      <x:c r="C112" s="5" t="str">
        <x:v>컴포넌트</x:v>
      </x:c>
      <x:c r="D112" s="5" t="str">
        <x:v>탐색</x:v>
      </x:c>
      <x:c r="E112" s="5" t="str">
        <x:v>페이지네이션</x:v>
      </x:c>
      <x:c r="F112" s="5" t="str">
        <x:v>접근성 가이드라인</x:v>
      </x:c>
      <x:c r="G112" s="5" t="str">
        <x:v>04</x:v>
      </x:c>
      <x:c r="H112" s="5" t="n">
        <x:v>334</x:v>
      </x:c>
      <x:c r="I112" s="5" t="n">
        <x:v>334</x:v>
      </x:c>
      <x:c r="J112" s="5" t="str"/>
      <x:c r="K112" s="5" t="str">
        <x:v>현재 화면 숫자 링크를 색상만으로 구분하지 않는다.</x:v>
      </x:c>
      <x:c r="L112" s="5" t="str">
        <x:v>원문 세부기준</x:v>
      </x:c>
      <x:c r="M112" s="5" t="str">
        <x:v>추출 후 기본 구조 검토; 원문 적용수준·전체 맥락 재확인 필요</x:v>
      </x:c>
      <x:c r="N112" s="5" t="str">
        <x:v>UI-025</x:v>
      </x:c>
      <x:c r="O112" s="5" t="str">
        <x:v>자동 추출 후보 / 공식 전수 체크리스트 아님</x:v>
      </x:c>
    </x:row>
    <x:row r="113" ht="15" hidden="0" customHeight="1">
      <x:c r="A113" s="5" t="str">
        <x:v>KRDS-SEC-026-A-05</x:v>
      </x:c>
      <x:c r="B113" s="5" t="str">
        <x:v>KRDS-SEC-026</x:v>
      </x:c>
      <x:c r="C113" s="5" t="str">
        <x:v>컴포넌트</x:v>
      </x:c>
      <x:c r="D113" s="5" t="str">
        <x:v>탐색</x:v>
      </x:c>
      <x:c r="E113" s="5" t="str">
        <x:v>페이지네이션</x:v>
      </x:c>
      <x:c r="F113" s="5" t="str">
        <x:v>접근성 가이드라인</x:v>
      </x:c>
      <x:c r="G113" s="5" t="str">
        <x:v>05</x:v>
      </x:c>
      <x:c r="H113" s="5" t="n">
        <x:v>335</x:v>
      </x:c>
      <x:c r="I113" s="5" t="n">
        <x:v>335</x:v>
      </x:c>
      <x:c r="J113" s="5" t="str"/>
      <x:c r="K113" s="5" t="str">
        <x:v>숫자 링크에 적절한 접근 가능한 이름을 제공한다.</x:v>
      </x:c>
      <x:c r="L113" s="5" t="str">
        <x:v>원문 세부기준</x:v>
      </x:c>
      <x:c r="M113" s="5" t="str">
        <x:v>추출 후 기본 구조 검토; 원문 적용수준·전체 맥락 재확인 필요</x:v>
      </x:c>
      <x:c r="N113" s="5" t="str">
        <x:v>UI-025</x:v>
      </x:c>
      <x:c r="O113" s="5" t="str">
        <x:v>자동 추출 후보 / 공식 전수 체크리스트 아님</x:v>
      </x:c>
    </x:row>
    <x:row r="114" ht="15" hidden="0" customHeight="1">
      <x:c r="A114" s="5" t="str">
        <x:v>KRDS-SEC-026-A-06</x:v>
      </x:c>
      <x:c r="B114" s="5" t="str">
        <x:v>KRDS-SEC-026</x:v>
      </x:c>
      <x:c r="C114" s="5" t="str">
        <x:v>컴포넌트</x:v>
      </x:c>
      <x:c r="D114" s="5" t="str">
        <x:v>탐색</x:v>
      </x:c>
      <x:c r="E114" s="5" t="str">
        <x:v>페이지네이션</x:v>
      </x:c>
      <x:c r="F114" s="5" t="str">
        <x:v>접근성 가이드라인</x:v>
      </x:c>
      <x:c r="G114" s="5" t="str">
        <x:v>06</x:v>
      </x:c>
      <x:c r="H114" s="5" t="n">
        <x:v>335</x:v>
      </x:c>
      <x:c r="I114" s="5" t="n">
        <x:v>335</x:v>
      </x:c>
      <x:c r="J114" s="5" t="str"/>
      <x:c r="K114" s="5" t="str">
        <x:v>이전/다음 화면 이동 버튼을 아이콘으로만 제공하는 경우 이름을 제공해야 한다.</x:v>
      </x:c>
      <x:c r="L114" s="5" t="str">
        <x:v>원문 세부기준</x:v>
      </x:c>
      <x:c r="M114" s="5" t="str">
        <x:v>추출 후 기본 구조 검토; 원문 적용수준·전체 맥락 재확인 필요</x:v>
      </x:c>
      <x:c r="N114" s="5" t="str">
        <x:v>UI-025</x:v>
      </x:c>
      <x:c r="O114" s="5" t="str">
        <x:v>자동 추출 후보 / 공식 전수 체크리스트 아님</x:v>
      </x:c>
    </x:row>
    <x:row r="115" ht="15" hidden="0" customHeight="1">
      <x:c r="A115" s="5" t="str">
        <x:v>KRDS-SEC-026-A-07</x:v>
      </x:c>
      <x:c r="B115" s="5" t="str">
        <x:v>KRDS-SEC-026</x:v>
      </x:c>
      <x:c r="C115" s="5" t="str">
        <x:v>컴포넌트</x:v>
      </x:c>
      <x:c r="D115" s="5" t="str">
        <x:v>탐색</x:v>
      </x:c>
      <x:c r="E115" s="5" t="str">
        <x:v>페이지네이션</x:v>
      </x:c>
      <x:c r="F115" s="5" t="str">
        <x:v>접근성 가이드라인</x:v>
      </x:c>
      <x:c r="G115" s="5" t="str">
        <x:v>07</x:v>
      </x:c>
      <x:c r="H115" s="5" t="n">
        <x:v>335</x:v>
      </x:c>
      <x:c r="I115" s="5" t="n">
        <x:v>335</x:v>
      </x:c>
      <x:c r="J115" s="5" t="str"/>
      <x:c r="K115" s="5" t="str">
        <x:v>페이지네이션의 구성 요소를 적절한 크기로 표현하고 영역 간 구분을 제공한다.</x:v>
      </x:c>
      <x:c r="L115" s="5" t="str">
        <x:v>원문 세부기준</x:v>
      </x:c>
      <x:c r="M115" s="5" t="str">
        <x:v>추출 후 기본 구조 검토; 원문 적용수준·전체 맥락 재확인 필요</x:v>
      </x:c>
      <x:c r="N115" s="5" t="str">
        <x:v>UI-025</x:v>
      </x:c>
      <x:c r="O115" s="5" t="str">
        <x:v>자동 추출 후보 / 공식 전수 체크리스트 아님</x:v>
      </x:c>
    </x:row>
    <x:row r="116" ht="15" hidden="0" customHeight="1">
      <x:c r="A116" s="5" t="str">
        <x:v>KRDS-SEC-026-A-08</x:v>
      </x:c>
      <x:c r="B116" s="5" t="str">
        <x:v>KRDS-SEC-026</x:v>
      </x:c>
      <x:c r="C116" s="5" t="str">
        <x:v>컴포넌트</x:v>
      </x:c>
      <x:c r="D116" s="5" t="str">
        <x:v>탐색</x:v>
      </x:c>
      <x:c r="E116" s="5" t="str">
        <x:v>페이지네이션</x:v>
      </x:c>
      <x:c r="F116" s="5" t="str">
        <x:v>접근성 가이드라인</x:v>
      </x:c>
      <x:c r="G116" s="5" t="str">
        <x:v>08</x:v>
      </x:c>
      <x:c r="H116" s="5" t="n">
        <x:v>336</x:v>
      </x:c>
      <x:c r="I116" s="5" t="n">
        <x:v>336</x:v>
      </x:c>
      <x:c r="J116" s="5" t="str"/>
      <x:c r="K116" s="5" t="str">
        <x:v>페이지네이션의 구성 요소를 일관된 순서로 제공한다.</x:v>
      </x:c>
      <x:c r="L116" s="5" t="str">
        <x:v>원문 세부기준</x:v>
      </x:c>
      <x:c r="M116" s="5" t="str">
        <x:v>추출 후 기본 구조 검토; 원문 적용수준·전체 맥락 재확인 필요</x:v>
      </x:c>
      <x:c r="N116" s="5" t="str">
        <x:v>UI-025</x:v>
      </x:c>
      <x:c r="O116" s="5" t="str">
        <x:v>자동 추출 후보 / 공식 전수 체크리스트 아님</x:v>
      </x:c>
    </x:row>
    <x:row r="117" ht="15" hidden="0" customHeight="1">
      <x:c r="A117" s="5" t="str">
        <x:v>KRDS-SEC-026-A-09</x:v>
      </x:c>
      <x:c r="B117" s="5" t="str">
        <x:v>KRDS-SEC-026</x:v>
      </x:c>
      <x:c r="C117" s="5" t="str">
        <x:v>컴포넌트</x:v>
      </x:c>
      <x:c r="D117" s="5" t="str">
        <x:v>탐색</x:v>
      </x:c>
      <x:c r="E117" s="5" t="str">
        <x:v>페이지네이션</x:v>
      </x:c>
      <x:c r="F117" s="5" t="str">
        <x:v>접근성 가이드라인</x:v>
      </x:c>
      <x:c r="G117" s="5" t="str">
        <x:v>09</x:v>
      </x:c>
      <x:c r="H117" s="5" t="n">
        <x:v>336</x:v>
      </x:c>
      <x:c r="I117" s="5" t="n">
        <x:v>336</x:v>
      </x:c>
      <x:c r="J117" s="5" t="str"/>
      <x:c r="K117" s="5" t="str">
        <x:v>목록 확장 페이지네이션을 사용할 때, 초점 이동 순서에 유의한다.</x:v>
      </x:c>
      <x:c r="L117" s="5" t="str">
        <x:v>원문 세부기준</x:v>
      </x:c>
      <x:c r="M117" s="5" t="str">
        <x:v>추출 후 기본 구조 검토; 원문 적용수준·전체 맥락 재확인 필요</x:v>
      </x:c>
      <x:c r="N117" s="5" t="str">
        <x:v>UI-025</x:v>
      </x:c>
      <x:c r="O117" s="5" t="str">
        <x:v>자동 추출 후보 / 공식 전수 체크리스트 아님</x:v>
      </x:c>
    </x:row>
    <x:row r="118" ht="15" hidden="0" customHeight="1">
      <x:c r="A118" s="5" t="str">
        <x:v>KRDS-SEC-027-U-01</x:v>
      </x:c>
      <x:c r="B118" s="5" t="str">
        <x:v>KRDS-SEC-027</x:v>
      </x:c>
      <x:c r="C118" s="5" t="str">
        <x:v>컴포넌트</x:v>
      </x:c>
      <x:c r="D118" s="5" t="str">
        <x:v>탐색</x:v>
      </x:c>
      <x:c r="E118" s="5" t="str">
        <x:v>탭바</x:v>
      </x:c>
      <x:c r="F118" s="5" t="str">
        <x:v>사용성 가이드라인</x:v>
      </x:c>
      <x:c r="G118" s="5" t="str">
        <x:v>01</x:v>
      </x:c>
      <x:c r="H118" s="5" t="n">
        <x:v>341</x:v>
      </x:c>
      <x:c r="I118" s="5" t="n">
        <x:v>341</x:v>
      </x:c>
      <x:c r="J118" s="5" t="str">
        <x:v>342</x:v>
      </x:c>
      <x:c r="K118" s="5" t="str">
        <x:v>탭 메뉴의 크기를 동일하게 유지한다.</x:v>
      </x:c>
      <x:c r="L118" s="5" t="str">
        <x:v>원문 세부기준</x:v>
      </x:c>
      <x:c r="M118" s="5" t="str">
        <x:v>추출 후 기본 구조 검토; 원문 적용수준·전체 맥락 재확인 필요</x:v>
      </x:c>
      <x:c r="N118" s="5" t="str">
        <x:v>UI-026</x:v>
      </x:c>
      <x:c r="O118" s="5" t="str">
        <x:v>자동 추출 후보 / 공식 전수 체크리스트 아님</x:v>
      </x:c>
    </x:row>
    <x:row r="119" ht="15" hidden="0" customHeight="1">
      <x:c r="A119" s="5" t="str">
        <x:v>KRDS-SEC-027-U-02</x:v>
      </x:c>
      <x:c r="B119" s="5" t="str">
        <x:v>KRDS-SEC-027</x:v>
      </x:c>
      <x:c r="C119" s="5" t="str">
        <x:v>컴포넌트</x:v>
      </x:c>
      <x:c r="D119" s="5" t="str">
        <x:v>탐색</x:v>
      </x:c>
      <x:c r="E119" s="5" t="str">
        <x:v>탭바</x:v>
      </x:c>
      <x:c r="F119" s="5" t="str">
        <x:v>사용성 가이드라인</x:v>
      </x:c>
      <x:c r="G119" s="5" t="str">
        <x:v>02</x:v>
      </x:c>
      <x:c r="H119" s="5" t="n">
        <x:v>341</x:v>
      </x:c>
      <x:c r="I119" s="5" t="n">
        <x:v>341</x:v>
      </x:c>
      <x:c r="J119" s="5" t="str">
        <x:v>343</x:v>
      </x:c>
      <x:c r="K119" s="5" t="str">
        <x:v>선택된 메뉴 상태를 명확하게 표현한다.</x:v>
      </x:c>
      <x:c r="L119" s="5" t="str">
        <x:v>원문 세부기준</x:v>
      </x:c>
      <x:c r="M119" s="5" t="str">
        <x:v>추출 후 기본 구조 검토; 원문 적용수준·전체 맥락 재확인 필요</x:v>
      </x:c>
      <x:c r="N119" s="5" t="str">
        <x:v>UI-026</x:v>
      </x:c>
      <x:c r="O119" s="5" t="str">
        <x:v>자동 추출 후보 / 공식 전수 체크리스트 아님</x:v>
      </x:c>
    </x:row>
    <x:row r="120" ht="15" hidden="0" customHeight="1">
      <x:c r="A120" s="5" t="str">
        <x:v>KRDS-SEC-027-U-03</x:v>
      </x:c>
      <x:c r="B120" s="5" t="str">
        <x:v>KRDS-SEC-027</x:v>
      </x:c>
      <x:c r="C120" s="5" t="str">
        <x:v>컴포넌트</x:v>
      </x:c>
      <x:c r="D120" s="5" t="str">
        <x:v>탐색</x:v>
      </x:c>
      <x:c r="E120" s="5" t="str">
        <x:v>탭바</x:v>
      </x:c>
      <x:c r="F120" s="5" t="str">
        <x:v>사용성 가이드라인</x:v>
      </x:c>
      <x:c r="G120" s="5" t="str">
        <x:v>03</x:v>
      </x:c>
      <x:c r="H120" s="5" t="n">
        <x:v>341</x:v>
      </x:c>
      <x:c r="I120" s="5" t="n">
        <x:v>341</x:v>
      </x:c>
      <x:c r="J120" s="5" t="str">
        <x:v>344</x:v>
      </x:c>
      <x:c r="K120" s="5" t="str">
        <x:v>모든 탭 버튼을 일관성있게 표현한다.</x:v>
      </x:c>
      <x:c r="L120" s="5" t="str">
        <x:v>원문 세부기준</x:v>
      </x:c>
      <x:c r="M120" s="5" t="str">
        <x:v>추출 후 기본 구조 검토; 원문 적용수준·전체 맥락 재확인 필요</x:v>
      </x:c>
      <x:c r="N120" s="5" t="str">
        <x:v>UI-026</x:v>
      </x:c>
      <x:c r="O120" s="5" t="str">
        <x:v>자동 추출 후보 / 공식 전수 체크리스트 아님</x:v>
      </x:c>
    </x:row>
    <x:row r="121" ht="15" hidden="0" customHeight="1">
      <x:c r="A121" s="5" t="str">
        <x:v>KRDS-SEC-027-U-04</x:v>
      </x:c>
      <x:c r="B121" s="5" t="str">
        <x:v>KRDS-SEC-027</x:v>
      </x:c>
      <x:c r="C121" s="5" t="str">
        <x:v>컴포넌트</x:v>
      </x:c>
      <x:c r="D121" s="5" t="str">
        <x:v>탐색</x:v>
      </x:c>
      <x:c r="E121" s="5" t="str">
        <x:v>탭바</x:v>
      </x:c>
      <x:c r="F121" s="5" t="str">
        <x:v>사용성 가이드라인</x:v>
      </x:c>
      <x:c r="G121" s="5" t="str">
        <x:v>04</x:v>
      </x:c>
      <x:c r="H121" s="5" t="n">
        <x:v>341</x:v>
      </x:c>
      <x:c r="I121" s="5" t="n">
        <x:v>341</x:v>
      </x:c>
      <x:c r="J121" s="5" t="str">
        <x:v>345</x:v>
      </x:c>
      <x:c r="K121" s="5" t="str">
        <x:v>탭 메뉴의 개수를 5개 이내로 제한한다.</x:v>
      </x:c>
      <x:c r="L121" s="5" t="str">
        <x:v>원문 세부기준</x:v>
      </x:c>
      <x:c r="M121" s="5" t="str">
        <x:v>추출 후 기본 구조 검토; 원문 적용수준·전체 맥락 재확인 필요</x:v>
      </x:c>
      <x:c r="N121" s="5" t="str">
        <x:v>UI-026</x:v>
      </x:c>
      <x:c r="O121" s="5" t="str">
        <x:v>자동 추출 후보 / 공식 전수 체크리스트 아님</x:v>
      </x:c>
    </x:row>
    <x:row r="122" ht="15" hidden="0" customHeight="1">
      <x:c r="A122" s="5" t="str">
        <x:v>KRDS-SEC-027-U-05</x:v>
      </x:c>
      <x:c r="B122" s="5" t="str">
        <x:v>KRDS-SEC-027</x:v>
      </x:c>
      <x:c r="C122" s="5" t="str">
        <x:v>컴포넌트</x:v>
      </x:c>
      <x:c r="D122" s="5" t="str">
        <x:v>탐색</x:v>
      </x:c>
      <x:c r="E122" s="5" t="str">
        <x:v>탭바</x:v>
      </x:c>
      <x:c r="F122" s="5" t="str">
        <x:v>사용성 가이드라인</x:v>
      </x:c>
      <x:c r="G122" s="5" t="str">
        <x:v>05</x:v>
      </x:c>
      <x:c r="H122" s="5" t="n">
        <x:v>341</x:v>
      </x:c>
      <x:c r="I122" s="5" t="n">
        <x:v>341</x:v>
      </x:c>
      <x:c r="J122" s="5" t="str">
        <x:v>346</x:v>
      </x:c>
      <x:c r="K122" s="5" t="str">
        <x:v>아이콘과 레이블을 함께 사용한다.</x:v>
      </x:c>
      <x:c r="L122" s="5" t="str">
        <x:v>원문 세부기준</x:v>
      </x:c>
      <x:c r="M122" s="5" t="str">
        <x:v>추출 후 기본 구조 검토; 원문 적용수준·전체 맥락 재확인 필요</x:v>
      </x:c>
      <x:c r="N122" s="5" t="str">
        <x:v>UI-026</x:v>
      </x:c>
      <x:c r="O122" s="5" t="str">
        <x:v>자동 추출 후보 / 공식 전수 체크리스트 아님</x:v>
      </x:c>
    </x:row>
    <x:row r="123" ht="15" hidden="0" customHeight="1">
      <x:c r="A123" s="5" t="str">
        <x:v>KRDS-SEC-027-U-06</x:v>
      </x:c>
      <x:c r="B123" s="5" t="str">
        <x:v>KRDS-SEC-027</x:v>
      </x:c>
      <x:c r="C123" s="5" t="str">
        <x:v>컴포넌트</x:v>
      </x:c>
      <x:c r="D123" s="5" t="str">
        <x:v>탐색</x:v>
      </x:c>
      <x:c r="E123" s="5" t="str">
        <x:v>탭바</x:v>
      </x:c>
      <x:c r="F123" s="5" t="str">
        <x:v>사용성 가이드라인</x:v>
      </x:c>
      <x:c r="G123" s="5" t="str">
        <x:v>06</x:v>
      </x:c>
      <x:c r="H123" s="5" t="n">
        <x:v>341</x:v>
      </x:c>
      <x:c r="I123" s="5" t="n">
        <x:v>341</x:v>
      </x:c>
      <x:c r="J123" s="5" t="str">
        <x:v>347</x:v>
      </x:c>
      <x:c r="K123" s="5" t="str">
        <x:v>레이블 텍스트를 간결하게 작성하여 잘리지 않도록 한다.</x:v>
      </x:c>
      <x:c r="L123" s="5" t="str">
        <x:v>원문 세부기준</x:v>
      </x:c>
      <x:c r="M123" s="5" t="str">
        <x:v>추출 후 기본 구조 검토; 원문 적용수준·전체 맥락 재확인 필요</x:v>
      </x:c>
      <x:c r="N123" s="5" t="str">
        <x:v>UI-026</x:v>
      </x:c>
      <x:c r="O123" s="5" t="str">
        <x:v>자동 추출 후보 / 공식 전수 체크리스트 아님</x:v>
      </x:c>
    </x:row>
    <x:row r="124" ht="15" hidden="0" customHeight="1">
      <x:c r="A124" s="5" t="str">
        <x:v>KRDS-SEC-027-U-07</x:v>
      </x:c>
      <x:c r="B124" s="5" t="str">
        <x:v>KRDS-SEC-027</x:v>
      </x:c>
      <x:c r="C124" s="5" t="str">
        <x:v>컴포넌트</x:v>
      </x:c>
      <x:c r="D124" s="5" t="str">
        <x:v>탐색</x:v>
      </x:c>
      <x:c r="E124" s="5" t="str">
        <x:v>탭바</x:v>
      </x:c>
      <x:c r="F124" s="5" t="str">
        <x:v>사용성 가이드라인</x:v>
      </x:c>
      <x:c r="G124" s="5" t="str">
        <x:v>07</x:v>
      </x:c>
      <x:c r="H124" s="5" t="n">
        <x:v>341</x:v>
      </x:c>
      <x:c r="I124" s="5" t="n">
        <x:v>341</x:v>
      </x:c>
      <x:c r="J124" s="5" t="str">
        <x:v>348</x:v>
      </x:c>
      <x:c r="K124" s="5" t="str">
        <x:v>탭바에 홈 버튼, 전체 버튼이 사용되는 경우 각각 가장 왼쪽, 가장 오른쪽 항목으로 배치한다.</x:v>
      </x:c>
      <x:c r="L124" s="5" t="str">
        <x:v>원문 세부기준</x:v>
      </x:c>
      <x:c r="M124" s="5" t="str">
        <x:v>추출 후 기본 구조 검토; 원문 적용수준·전체 맥락 재확인 필요</x:v>
      </x:c>
      <x:c r="N124" s="5" t="str">
        <x:v>UI-026</x:v>
      </x:c>
      <x:c r="O124" s="5" t="str">
        <x:v>자동 추출 후보 / 공식 전수 체크리스트 아님</x:v>
      </x:c>
    </x:row>
    <x:row r="125" ht="15" hidden="0" customHeight="1">
      <x:c r="A125" s="5" t="str">
        <x:v>KRDS-SEC-027-U-08</x:v>
      </x:c>
      <x:c r="B125" s="5" t="str">
        <x:v>KRDS-SEC-027</x:v>
      </x:c>
      <x:c r="C125" s="5" t="str">
        <x:v>컴포넌트</x:v>
      </x:c>
      <x:c r="D125" s="5" t="str">
        <x:v>탐색</x:v>
      </x:c>
      <x:c r="E125" s="5" t="str">
        <x:v>탭바</x:v>
      </x:c>
      <x:c r="F125" s="5" t="str">
        <x:v>사용성 가이드라인</x:v>
      </x:c>
      <x:c r="G125" s="5" t="str">
        <x:v>08</x:v>
      </x:c>
      <x:c r="H125" s="5" t="n">
        <x:v>341</x:v>
      </x:c>
      <x:c r="I125" s="5" t="n">
        <x:v>341</x:v>
      </x:c>
      <x:c r="J125" s="5" t="str">
        <x:v>349</x:v>
      </x:c>
      <x:c r="K125" s="5" t="str">
        <x:v>탭바는 화면 하단에 위치를 고정하여 제공하며, 스크롤 동작 시 숨겨지지 않도록 한다.</x:v>
      </x:c>
      <x:c r="L125" s="5" t="str">
        <x:v>원문 세부기준</x:v>
      </x:c>
      <x:c r="M125" s="5" t="str">
        <x:v>추출 후 기본 구조 검토; 원문 적용수준·전체 맥락 재확인 필요</x:v>
      </x:c>
      <x:c r="N125" s="5" t="str">
        <x:v>UI-026</x:v>
      </x:c>
      <x:c r="O125" s="5" t="str">
        <x:v>자동 추출 후보 / 공식 전수 체크리스트 아님</x:v>
      </x:c>
    </x:row>
    <x:row r="126" ht="15" hidden="0" customHeight="1">
      <x:c r="A126" s="5" t="str">
        <x:v>KRDS-SEC-027-A-01</x:v>
      </x:c>
      <x:c r="B126" s="5" t="str">
        <x:v>KRDS-SEC-027</x:v>
      </x:c>
      <x:c r="C126" s="5" t="str">
        <x:v>컴포넌트</x:v>
      </x:c>
      <x:c r="D126" s="5" t="str">
        <x:v>탐색</x:v>
      </x:c>
      <x:c r="E126" s="5" t="str">
        <x:v>탭바</x:v>
      </x:c>
      <x:c r="F126" s="5" t="str">
        <x:v>접근성 가이드라인</x:v>
      </x:c>
      <x:c r="G126" s="5" t="str">
        <x:v>01</x:v>
      </x:c>
      <x:c r="H126" s="5" t="n">
        <x:v>350</x:v>
      </x:c>
      <x:c r="I126" s="5" t="n">
        <x:v>350</x:v>
      </x:c>
      <x:c r="J126" s="5" t="str"/>
      <x:c r="K126" s="5" t="str">
        <x:v>탭바의 역할을 스크린 리더에서 인지할 수 있도록 한다.</x:v>
      </x:c>
      <x:c r="L126" s="5" t="str">
        <x:v>원문 세부기준</x:v>
      </x:c>
      <x:c r="M126" s="5" t="str">
        <x:v>추출 후 기본 구조 검토; 원문 적용수준·전체 맥락 재확인 필요</x:v>
      </x:c>
      <x:c r="N126" s="5" t="str">
        <x:v>UI-026</x:v>
      </x:c>
      <x:c r="O126" s="5" t="str">
        <x:v>자동 추출 후보 / 공식 전수 체크리스트 아님</x:v>
      </x:c>
    </x:row>
    <x:row r="127" ht="15" hidden="0" customHeight="1">
      <x:c r="A127" s="5" t="str">
        <x:v>KRDS-SEC-027-A-02</x:v>
      </x:c>
      <x:c r="B127" s="5" t="str">
        <x:v>KRDS-SEC-027</x:v>
      </x:c>
      <x:c r="C127" s="5" t="str">
        <x:v>컴포넌트</x:v>
      </x:c>
      <x:c r="D127" s="5" t="str">
        <x:v>탐색</x:v>
      </x:c>
      <x:c r="E127" s="5" t="str">
        <x:v>탭바</x:v>
      </x:c>
      <x:c r="F127" s="5" t="str">
        <x:v>접근성 가이드라인</x:v>
      </x:c>
      <x:c r="G127" s="5" t="str">
        <x:v>02</x:v>
      </x:c>
      <x:c r="H127" s="5" t="n">
        <x:v>351</x:v>
      </x:c>
      <x:c r="I127" s="5" t="n">
        <x:v>351</x:v>
      </x:c>
      <x:c r="J127" s="5" t="str"/>
      <x:c r="K127" s="5" t="str">
        <x:v>활성화된 메뉴 정보가 스크린 리더로 전달될 수 있도록 한다.</x:v>
      </x:c>
      <x:c r="L127" s="5" t="str">
        <x:v>원문 세부기준</x:v>
      </x:c>
      <x:c r="M127" s="5" t="str">
        <x:v>추출 후 기본 구조 검토; 원문 적용수준·전체 맥락 재확인 필요</x:v>
      </x:c>
      <x:c r="N127" s="5" t="str">
        <x:v>UI-026</x:v>
      </x:c>
      <x:c r="O127" s="5" t="str">
        <x:v>자동 추출 후보 / 공식 전수 체크리스트 아님</x:v>
      </x:c>
    </x:row>
    <x:row r="128" ht="15" hidden="0" customHeight="1">
      <x:c r="A128" s="5" t="str">
        <x:v>KRDS-SEC-028-U-01</x:v>
      </x:c>
      <x:c r="B128" s="5" t="str">
        <x:v>KRDS-SEC-028</x:v>
      </x:c>
      <x:c r="C128" s="5" t="str">
        <x:v>컴포넌트</x:v>
      </x:c>
      <x:c r="D128" s="5" t="str">
        <x:v>레이아웃·표현</x:v>
      </x:c>
      <x:c r="E128" s="5" t="str">
        <x:v>구조화 목록</x:v>
      </x:c>
      <x:c r="F128" s="5" t="str">
        <x:v>사용성 가이드라인</x:v>
      </x:c>
      <x:c r="G128" s="5" t="str">
        <x:v>01</x:v>
      </x:c>
      <x:c r="H128" s="5" t="n">
        <x:v>355</x:v>
      </x:c>
      <x:c r="I128" s="5" t="n">
        <x:v>355</x:v>
      </x:c>
      <x:c r="J128" s="5" t="str">
        <x:v>356</x:v>
      </x:c>
      <x:c r="K128" s="5" t="str">
        <x:v>도구 막대를 구성하는 사용자 인터페이스는 모든 화면에서 일관된 위치에 동일한 순서로 배치한다.</x:v>
      </x:c>
      <x:c r="L128" s="5" t="str">
        <x:v>원문 세부기준</x:v>
      </x:c>
      <x:c r="M128" s="5" t="str">
        <x:v>추출 후 기본 구조 검토; 원문 적용수준·전체 맥락 재확인 필요</x:v>
      </x:c>
      <x:c r="N128" s="5" t="str">
        <x:v>UI-027</x:v>
      </x:c>
      <x:c r="O128" s="5" t="str">
        <x:v>자동 추출 후보 / 공식 전수 체크리스트 아님</x:v>
      </x:c>
    </x:row>
    <x:row r="129" ht="15" hidden="0" customHeight="1">
      <x:c r="A129" s="5" t="str">
        <x:v>KRDS-SEC-028-U-02</x:v>
      </x:c>
      <x:c r="B129" s="5" t="str">
        <x:v>KRDS-SEC-028</x:v>
      </x:c>
      <x:c r="C129" s="5" t="str">
        <x:v>컴포넌트</x:v>
      </x:c>
      <x:c r="D129" s="5" t="str">
        <x:v>레이아웃·표현</x:v>
      </x:c>
      <x:c r="E129" s="5" t="str">
        <x:v>구조화 목록</x:v>
      </x:c>
      <x:c r="F129" s="5" t="str">
        <x:v>사용성 가이드라인</x:v>
      </x:c>
      <x:c r="G129" s="5" t="str">
        <x:v>02</x:v>
      </x:c>
      <x:c r="H129" s="5" t="n">
        <x:v>355</x:v>
      </x:c>
      <x:c r="I129" s="5" t="n">
        <x:v>355</x:v>
      </x:c>
      <x:c r="J129" s="5" t="str">
        <x:v>356</x:v>
      </x:c>
      <x:c r="K129" s="5" t="str">
        <x:v>콜투액션(Call to Action)은 항목과 관련된 가장 중요한 행동을 유도하기 위해 사용한다.</x:v>
      </x:c>
      <x:c r="L129" s="5" t="str">
        <x:v>원문 세부기준</x:v>
      </x:c>
      <x:c r="M129" s="5" t="str">
        <x:v>추출 후 기본 구조 검토; 원문 적용수준·전체 맥락 재확인 필요</x:v>
      </x:c>
      <x:c r="N129" s="5" t="str">
        <x:v>UI-027</x:v>
      </x:c>
      <x:c r="O129" s="5" t="str">
        <x:v>자동 추출 후보 / 공식 전수 체크리스트 아님</x:v>
      </x:c>
    </x:row>
    <x:row r="130" ht="15" hidden="0" customHeight="1">
      <x:c r="A130" s="5" t="str">
        <x:v>KRDS-SEC-028-U-03</x:v>
      </x:c>
      <x:c r="B130" s="5" t="str">
        <x:v>KRDS-SEC-028</x:v>
      </x:c>
      <x:c r="C130" s="5" t="str">
        <x:v>컴포넌트</x:v>
      </x:c>
      <x:c r="D130" s="5" t="str">
        <x:v>레이아웃·표현</x:v>
      </x:c>
      <x:c r="E130" s="5" t="str">
        <x:v>구조화 목록</x:v>
      </x:c>
      <x:c r="F130" s="5" t="str">
        <x:v>사용성 가이드라인</x:v>
      </x:c>
      <x:c r="G130" s="5" t="str">
        <x:v>03</x:v>
      </x:c>
      <x:c r="H130" s="5" t="n">
        <x:v>355</x:v>
      </x:c>
      <x:c r="I130" s="5" t="n">
        <x:v>355</x:v>
      </x:c>
      <x:c r="J130" s="5" t="str">
        <x:v>357</x:v>
      </x:c>
      <x:c r="K130" s="5" t="str">
        <x:v>사용자가 필요로 하는 기능과 행동 버튼을 제공한다.</x:v>
      </x:c>
      <x:c r="L130" s="5" t="str">
        <x:v>원문 세부기준</x:v>
      </x:c>
      <x:c r="M130" s="5" t="str">
        <x:v>추출 후 기본 구조 검토; 원문 적용수준·전체 맥락 재확인 필요</x:v>
      </x:c>
      <x:c r="N130" s="5" t="str">
        <x:v>UI-027</x:v>
      </x:c>
      <x:c r="O130" s="5" t="str">
        <x:v>자동 추출 후보 / 공식 전수 체크리스트 아님</x:v>
      </x:c>
    </x:row>
    <x:row r="131" ht="15" hidden="0" customHeight="1">
      <x:c r="A131" s="5" t="str">
        <x:v>KRDS-SEC-028-U-04</x:v>
      </x:c>
      <x:c r="B131" s="5" t="str">
        <x:v>KRDS-SEC-028</x:v>
      </x:c>
      <x:c r="C131" s="5" t="str">
        <x:v>컴포넌트</x:v>
      </x:c>
      <x:c r="D131" s="5" t="str">
        <x:v>레이아웃·표현</x:v>
      </x:c>
      <x:c r="E131" s="5" t="str">
        <x:v>구조화 목록</x:v>
      </x:c>
      <x:c r="F131" s="5" t="str">
        <x:v>사용성 가이드라인</x:v>
      </x:c>
      <x:c r="G131" s="5" t="str">
        <x:v>04</x:v>
      </x:c>
      <x:c r="H131" s="5" t="n">
        <x:v>355</x:v>
      </x:c>
      <x:c r="I131" s="5" t="n">
        <x:v>355</x:v>
      </x:c>
      <x:c r="J131" s="5" t="str">
        <x:v>357</x:v>
      </x:c>
      <x:c r="K131" s="5" t="str">
        <x:v>항목의 콘텐츠에는 모든 정보를 일관된 분류 체계와 순서로 제공한다.</x:v>
      </x:c>
      <x:c r="L131" s="5" t="str">
        <x:v>원문 세부기준</x:v>
      </x:c>
      <x:c r="M131" s="5" t="str">
        <x:v>추출 후 기본 구조 검토; 원문 적용수준·전체 맥락 재확인 필요</x:v>
      </x:c>
      <x:c r="N131" s="5" t="str">
        <x:v>UI-027</x:v>
      </x:c>
      <x:c r="O131" s="5" t="str">
        <x:v>자동 추출 후보 / 공식 전수 체크리스트 아님</x:v>
      </x:c>
    </x:row>
    <x:row r="132" ht="15" hidden="0" customHeight="1">
      <x:c r="A132" s="5" t="str">
        <x:v>KRDS-SEC-028-A-01</x:v>
      </x:c>
      <x:c r="B132" s="5" t="str">
        <x:v>KRDS-SEC-028</x:v>
      </x:c>
      <x:c r="C132" s="5" t="str">
        <x:v>컴포넌트</x:v>
      </x:c>
      <x:c r="D132" s="5" t="str">
        <x:v>레이아웃·표현</x:v>
      </x:c>
      <x:c r="E132" s="5" t="str">
        <x:v>구조화 목록</x:v>
      </x:c>
      <x:c r="F132" s="5" t="str">
        <x:v>접근성 가이드라인</x:v>
      </x:c>
      <x:c r="G132" s="5" t="str">
        <x:v>01</x:v>
      </x:c>
      <x:c r="H132" s="5" t="n">
        <x:v>358</x:v>
      </x:c>
      <x:c r="I132" s="5" t="n">
        <x:v>358</x:v>
      </x:c>
      <x:c r="J132" s="5" t="str"/>
      <x:c r="K132" s="5" t="str">
        <x:v>구조화 목록에서 제공되는 모든 기능을 키보드로 실행할 수 있도록 한다.</x:v>
      </x:c>
      <x:c r="L132" s="5" t="str">
        <x:v>원문 세부기준</x:v>
      </x:c>
      <x:c r="M132" s="5" t="str">
        <x:v>추출 후 기본 구조 검토; 원문 적용수준·전체 맥락 재확인 필요</x:v>
      </x:c>
      <x:c r="N132" s="5" t="str">
        <x:v>UI-027</x:v>
      </x:c>
      <x:c r="O132" s="5" t="str">
        <x:v>자동 추출 후보 / 공식 전수 체크리스트 아님</x:v>
      </x:c>
    </x:row>
    <x:row r="133" ht="15" hidden="0" customHeight="1">
      <x:c r="A133" s="5" t="str">
        <x:v>KRDS-SEC-028-A-02</x:v>
      </x:c>
      <x:c r="B133" s="5" t="str">
        <x:v>KRDS-SEC-028</x:v>
      </x:c>
      <x:c r="C133" s="5" t="str">
        <x:v>컴포넌트</x:v>
      </x:c>
      <x:c r="D133" s="5" t="str">
        <x:v>레이아웃·표현</x:v>
      </x:c>
      <x:c r="E133" s="5" t="str">
        <x:v>구조화 목록</x:v>
      </x:c>
      <x:c r="F133" s="5" t="str">
        <x:v>접근성 가이드라인</x:v>
      </x:c>
      <x:c r="G133" s="5" t="str">
        <x:v>02</x:v>
      </x:c>
      <x:c r="H133" s="5" t="n">
        <x:v>358</x:v>
      </x:c>
      <x:c r="I133" s="5" t="n">
        <x:v>358</x:v>
      </x:c>
      <x:c r="J133" s="5" t="str"/>
      <x:c r="K133" s="5" t="str">
        <x:v>구조화 목록에서 제공되는 모든 기능에 키보드 초점이 명확하게 표시되도록 한다.</x:v>
      </x:c>
      <x:c r="L133" s="5" t="str">
        <x:v>원문 세부기준</x:v>
      </x:c>
      <x:c r="M133" s="5" t="str">
        <x:v>추출 후 기본 구조 검토; 원문 적용수준·전체 맥락 재확인 필요</x:v>
      </x:c>
      <x:c r="N133" s="5" t="str">
        <x:v>UI-027</x:v>
      </x:c>
      <x:c r="O133" s="5" t="str">
        <x:v>자동 추출 후보 / 공식 전수 체크리스트 아님</x:v>
      </x:c>
    </x:row>
    <x:row r="134" ht="15" hidden="0" customHeight="1">
      <x:c r="A134" s="5" t="str">
        <x:v>KRDS-SEC-028-A-03</x:v>
      </x:c>
      <x:c r="B134" s="5" t="str">
        <x:v>KRDS-SEC-028</x:v>
      </x:c>
      <x:c r="C134" s="5" t="str">
        <x:v>컴포넌트</x:v>
      </x:c>
      <x:c r="D134" s="5" t="str">
        <x:v>레이아웃·표현</x:v>
      </x:c>
      <x:c r="E134" s="5" t="str">
        <x:v>구조화 목록</x:v>
      </x:c>
      <x:c r="F134" s="5" t="str">
        <x:v>접근성 가이드라인</x:v>
      </x:c>
      <x:c r="G134" s="5" t="str">
        <x:v>03</x:v>
      </x:c>
      <x:c r="H134" s="5" t="n">
        <x:v>358</x:v>
      </x:c>
      <x:c r="I134" s="5" t="n">
        <x:v>358</x:v>
      </x:c>
      <x:c r="J134" s="5" t="str"/>
      <x:c r="K134" s="5" t="str">
        <x:v>구조화 목록에서 제공되는 모든 기능은 사용자가 예측 가능한 방식으로 작동해야 한다.</x:v>
      </x:c>
      <x:c r="L134" s="5" t="str">
        <x:v>원문 세부기준</x:v>
      </x:c>
      <x:c r="M134" s="5" t="str">
        <x:v>추출 후 기본 구조 검토; 원문 적용수준·전체 맥락 재확인 필요</x:v>
      </x:c>
      <x:c r="N134" s="5" t="str">
        <x:v>UI-027</x:v>
      </x:c>
      <x:c r="O134" s="5" t="str">
        <x:v>자동 추출 후보 / 공식 전수 체크리스트 아님</x:v>
      </x:c>
    </x:row>
    <x:row r="135" ht="15" hidden="0" customHeight="1">
      <x:c r="A135" s="5" t="str">
        <x:v>KRDS-SEC-029-U-01</x:v>
      </x:c>
      <x:c r="B135" s="5" t="str">
        <x:v>KRDS-SEC-029</x:v>
      </x:c>
      <x:c r="C135" s="5" t="str">
        <x:v>컴포넌트</x:v>
      </x:c>
      <x:c r="D135" s="5" t="str">
        <x:v>레이아웃·표현</x:v>
      </x:c>
      <x:c r="E135" s="5" t="str">
        <x:v>긴급 공지</x:v>
      </x:c>
      <x:c r="F135" s="5" t="str">
        <x:v>사용성 가이드라인</x:v>
      </x:c>
      <x:c r="G135" s="5" t="str">
        <x:v>01</x:v>
      </x:c>
      <x:c r="H135" s="5" t="n">
        <x:v>362</x:v>
      </x:c>
      <x:c r="I135" s="5" t="n">
        <x:v>362</x:v>
      </x:c>
      <x:c r="J135" s="5" t="str">
        <x:v>363</x:v>
      </x:c>
      <x:c r="K135" s="5" t="str">
        <x:v>시급하고 사용자에게 중요한 정보를 전달하는 데 긴급 공지를 사용한다.</x:v>
      </x:c>
      <x:c r="L135" s="5" t="str">
        <x:v>원문 세부기준</x:v>
      </x:c>
      <x:c r="M135" s="5" t="str">
        <x:v>추출 후 기본 구조 검토; 원문 적용수준·전체 맥락 재확인 필요</x:v>
      </x:c>
      <x:c r="N135" s="5" t="str">
        <x:v>UI-028</x:v>
      </x:c>
      <x:c r="O135" s="5" t="str">
        <x:v>자동 추출 후보 / 공식 전수 체크리스트 아님</x:v>
      </x:c>
    </x:row>
    <x:row r="136" ht="15" hidden="0" customHeight="1">
      <x:c r="A136" s="5" t="str">
        <x:v>KRDS-SEC-029-U-02</x:v>
      </x:c>
      <x:c r="B136" s="5" t="str">
        <x:v>KRDS-SEC-029</x:v>
      </x:c>
      <x:c r="C136" s="5" t="str">
        <x:v>컴포넌트</x:v>
      </x:c>
      <x:c r="D136" s="5" t="str">
        <x:v>레이아웃·표현</x:v>
      </x:c>
      <x:c r="E136" s="5" t="str">
        <x:v>긴급 공지</x:v>
      </x:c>
      <x:c r="F136" s="5" t="str">
        <x:v>사용성 가이드라인</x:v>
      </x:c>
      <x:c r="G136" s="5" t="str">
        <x:v>02</x:v>
      </x:c>
      <x:c r="H136" s="5" t="n">
        <x:v>362</x:v>
      </x:c>
      <x:c r="I136" s="5" t="n">
        <x:v>362</x:v>
      </x:c>
      <x:c r="J136" s="5" t="str">
        <x:v>363</x:v>
      </x:c>
      <x:c r="K136" s="5" t="str">
        <x:v>일시적으로 게시하고 정보가 필요한 기간 동안만 유지한다.</x:v>
      </x:c>
      <x:c r="L136" s="5" t="str">
        <x:v>원문 세부기준</x:v>
      </x:c>
      <x:c r="M136" s="5" t="str">
        <x:v>추출 후 기본 구조 검토; 원문 적용수준·전체 맥락 재확인 필요</x:v>
      </x:c>
      <x:c r="N136" s="5" t="str">
        <x:v>UI-028</x:v>
      </x:c>
      <x:c r="O136" s="5" t="str">
        <x:v>자동 추출 후보 / 공식 전수 체크리스트 아님</x:v>
      </x:c>
    </x:row>
    <x:row r="137" ht="15" hidden="0" customHeight="1">
      <x:c r="A137" s="5" t="str">
        <x:v>KRDS-SEC-029-U-03</x:v>
      </x:c>
      <x:c r="B137" s="5" t="str">
        <x:v>KRDS-SEC-029</x:v>
      </x:c>
      <x:c r="C137" s="5" t="str">
        <x:v>컴포넌트</x:v>
      </x:c>
      <x:c r="D137" s="5" t="str">
        <x:v>레이아웃·표현</x:v>
      </x:c>
      <x:c r="E137" s="5" t="str">
        <x:v>긴급 공지</x:v>
      </x:c>
      <x:c r="F137" s="5" t="str">
        <x:v>사용성 가이드라인</x:v>
      </x:c>
      <x:c r="G137" s="5" t="str">
        <x:v>03</x:v>
      </x:c>
      <x:c r="H137" s="5" t="n">
        <x:v>362</x:v>
      </x:c>
      <x:c r="I137" s="5" t="n">
        <x:v>362</x:v>
      </x:c>
      <x:c r="J137" s="5" t="str">
        <x:v>363</x:v>
      </x:c>
      <x:c r="K137" s="5" t="str">
        <x:v>눈에 잘 띄게 표현하고 배치한다.</x:v>
      </x:c>
      <x:c r="L137" s="5" t="str">
        <x:v>원문 세부기준</x:v>
      </x:c>
      <x:c r="M137" s="5" t="str">
        <x:v>추출 후 기본 구조 검토; 원문 적용수준·전체 맥락 재확인 필요</x:v>
      </x:c>
      <x:c r="N137" s="5" t="str">
        <x:v>UI-028</x:v>
      </x:c>
      <x:c r="O137" s="5" t="str">
        <x:v>자동 추출 후보 / 공식 전수 체크리스트 아님</x:v>
      </x:c>
    </x:row>
    <x:row r="138" ht="15" hidden="0" customHeight="1">
      <x:c r="A138" s="5" t="str">
        <x:v>KRDS-SEC-029-U-04</x:v>
      </x:c>
      <x:c r="B138" s="5" t="str">
        <x:v>KRDS-SEC-029</x:v>
      </x:c>
      <x:c r="C138" s="5" t="str">
        <x:v>컴포넌트</x:v>
      </x:c>
      <x:c r="D138" s="5" t="str">
        <x:v>레이아웃·표현</x:v>
      </x:c>
      <x:c r="E138" s="5" t="str">
        <x:v>긴급 공지</x:v>
      </x:c>
      <x:c r="F138" s="5" t="str">
        <x:v>사용성 가이드라인</x:v>
      </x:c>
      <x:c r="G138" s="5" t="str">
        <x:v>04</x:v>
      </x:c>
      <x:c r="H138" s="5" t="n">
        <x:v>362</x:v>
      </x:c>
      <x:c r="I138" s="5" t="n">
        <x:v>362</x:v>
      </x:c>
      <x:c r="J138" s="5" t="str">
        <x:v>364</x:v>
      </x:c>
      <x:c r="K138" s="5" t="str">
        <x:v>긴급 공지 배너 숨기기 버튼을 제공하지 않는다.</x:v>
      </x:c>
      <x:c r="L138" s="5" t="str">
        <x:v>원문 세부기준</x:v>
      </x:c>
      <x:c r="M138" s="5" t="str">
        <x:v>추출 후 기본 구조 검토; 원문 적용수준·전체 맥락 재확인 필요</x:v>
      </x:c>
      <x:c r="N138" s="5" t="str">
        <x:v>UI-028</x:v>
      </x:c>
      <x:c r="O138" s="5" t="str">
        <x:v>자동 추출 후보 / 공식 전수 체크리스트 아님</x:v>
      </x:c>
    </x:row>
    <x:row r="139" ht="15" hidden="0" customHeight="1">
      <x:c r="A139" s="5" t="str">
        <x:v>KRDS-SEC-029-U-05</x:v>
      </x:c>
      <x:c r="B139" s="5" t="str">
        <x:v>KRDS-SEC-029</x:v>
      </x:c>
      <x:c r="C139" s="5" t="str">
        <x:v>컴포넌트</x:v>
      </x:c>
      <x:c r="D139" s="5" t="str">
        <x:v>레이아웃·표현</x:v>
      </x:c>
      <x:c r="E139" s="5" t="str">
        <x:v>긴급 공지</x:v>
      </x:c>
      <x:c r="F139" s="5" t="str">
        <x:v>사용성 가이드라인</x:v>
      </x:c>
      <x:c r="G139" s="5" t="str">
        <x:v>05</x:v>
      </x:c>
      <x:c r="H139" s="5" t="n">
        <x:v>362</x:v>
      </x:c>
      <x:c r="I139" s="5" t="n">
        <x:v>362</x:v>
      </x:c>
      <x:c r="J139" s="5" t="str">
        <x:v>364</x:v>
      </x:c>
      <x:c r="K139" s="5" t="str">
        <x:v>공지 내용은 이해하기 쉽고 간결하게 작성한다.</x:v>
      </x:c>
      <x:c r="L139" s="5" t="str">
        <x:v>원문 세부기준</x:v>
      </x:c>
      <x:c r="M139" s="5" t="str">
        <x:v>추출 후 기본 구조 검토; 원문 적용수준·전체 맥락 재확인 필요</x:v>
      </x:c>
      <x:c r="N139" s="5" t="str">
        <x:v>UI-028</x:v>
      </x:c>
      <x:c r="O139" s="5" t="str">
        <x:v>자동 추출 후보 / 공식 전수 체크리스트 아님</x:v>
      </x:c>
    </x:row>
    <x:row r="140" ht="15" hidden="0" customHeight="1">
      <x:c r="A140" s="5" t="str">
        <x:v>KRDS-SEC-029-U-06</x:v>
      </x:c>
      <x:c r="B140" s="5" t="str">
        <x:v>KRDS-SEC-029</x:v>
      </x:c>
      <x:c r="C140" s="5" t="str">
        <x:v>컴포넌트</x:v>
      </x:c>
      <x:c r="D140" s="5" t="str">
        <x:v>레이아웃·표현</x:v>
      </x:c>
      <x:c r="E140" s="5" t="str">
        <x:v>긴급 공지</x:v>
      </x:c>
      <x:c r="F140" s="5" t="str">
        <x:v>사용성 가이드라인</x:v>
      </x:c>
      <x:c r="G140" s="5" t="str">
        <x:v>06</x:v>
      </x:c>
      <x:c r="H140" s="5" t="n">
        <x:v>362</x:v>
      </x:c>
      <x:c r="I140" s="5" t="n">
        <x:v>362</x:v>
      </x:c>
      <x:c r="J140" s="5" t="str">
        <x:v>364</x:v>
      </x:c>
      <x:c r="K140" s="5" t="str">
        <x:v>여러 개의 긴급 공지를 사용하지 않는다.</x:v>
      </x:c>
      <x:c r="L140" s="5" t="str">
        <x:v>원문 세부기준</x:v>
      </x:c>
      <x:c r="M140" s="5" t="str">
        <x:v>추출 후 기본 구조 검토; 원문 적용수준·전체 맥락 재확인 필요</x:v>
      </x:c>
      <x:c r="N140" s="5" t="str">
        <x:v>UI-028</x:v>
      </x:c>
      <x:c r="O140" s="5" t="str">
        <x:v>자동 추출 후보 / 공식 전수 체크리스트 아님</x:v>
      </x:c>
    </x:row>
    <x:row r="141" ht="15" hidden="0" customHeight="1">
      <x:c r="A141" s="5" t="str">
        <x:v>KRDS-SEC-029-U-07</x:v>
      </x:c>
      <x:c r="B141" s="5" t="str">
        <x:v>KRDS-SEC-029</x:v>
      </x:c>
      <x:c r="C141" s="5" t="str">
        <x:v>컴포넌트</x:v>
      </x:c>
      <x:c r="D141" s="5" t="str">
        <x:v>레이아웃·표현</x:v>
      </x:c>
      <x:c r="E141" s="5" t="str">
        <x:v>긴급 공지</x:v>
      </x:c>
      <x:c r="F141" s="5" t="str">
        <x:v>사용성 가이드라인</x:v>
      </x:c>
      <x:c r="G141" s="5" t="str">
        <x:v>07</x:v>
      </x:c>
      <x:c r="H141" s="5" t="n">
        <x:v>362</x:v>
      </x:c>
      <x:c r="I141" s="5" t="n">
        <x:v>362</x:v>
      </x:c>
      <x:c r="J141" s="5" t="str">
        <x:v>365</x:v>
      </x:c>
      <x:c r="K141" s="5" t="str">
        <x:v>관련 화면으로 이동하기 위한 링크를 여러 개 사용하지 않는다.</x:v>
      </x:c>
      <x:c r="L141" s="5" t="str">
        <x:v>원문 세부기준</x:v>
      </x:c>
      <x:c r="M141" s="5" t="str">
        <x:v>추출 후 기본 구조 검토; 원문 적용수준·전체 맥락 재확인 필요</x:v>
      </x:c>
      <x:c r="N141" s="5" t="str">
        <x:v>UI-028</x:v>
      </x:c>
      <x:c r="O141" s="5" t="str">
        <x:v>자동 추출 후보 / 공식 전수 체크리스트 아님</x:v>
      </x:c>
    </x:row>
    <x:row r="142" ht="15" hidden="0" customHeight="1">
      <x:c r="A142" s="5" t="str">
        <x:v>KRDS-SEC-029-P-01</x:v>
      </x:c>
      <x:c r="B142" s="5" t="str">
        <x:v>KRDS-SEC-029</x:v>
      </x:c>
      <x:c r="C142" s="5" t="str">
        <x:v>컴포넌트</x:v>
      </x:c>
      <x:c r="D142" s="5" t="str">
        <x:v>레이아웃·표현</x:v>
      </x:c>
      <x:c r="E142" s="5" t="str">
        <x:v>긴급 공지</x:v>
      </x:c>
      <x:c r="F142" s="5" t="str">
        <x:v>플랫폼에 대한 고려 사항</x:v>
      </x:c>
      <x:c r="G142" s="5" t="str">
        <x:v>01</x:v>
      </x:c>
      <x:c r="H142" s="5" t="n">
        <x:v>366</x:v>
      </x:c>
      <x:c r="I142" s="5" t="n">
        <x:v>366</x:v>
      </x:c>
      <x:c r="J142" s="5" t="str"/>
      <x:c r="K142" s="5" t="str">
        <x:v>화면 너비가 충분하지 않은 경우 텍스트는 2줄까지 표현할 수 있다.</x:v>
      </x:c>
      <x:c r="L142" s="5" t="str">
        <x:v>원문 세부기준</x:v>
      </x:c>
      <x:c r="M142" s="5" t="str">
        <x:v>추출 후 기본 구조 검토; 원문 적용수준·전체 맥락 재확인 필요</x:v>
      </x:c>
      <x:c r="N142" s="5" t="str">
        <x:v>UI-028</x:v>
      </x:c>
      <x:c r="O142" s="5" t="str">
        <x:v>자동 추출 후보 / 공식 전수 체크리스트 아님</x:v>
      </x:c>
    </x:row>
    <x:row r="143" ht="15" hidden="0" customHeight="1">
      <x:c r="A143" s="5" t="str">
        <x:v>KRDS-SEC-029-A-01</x:v>
      </x:c>
      <x:c r="B143" s="5" t="str">
        <x:v>KRDS-SEC-029</x:v>
      </x:c>
      <x:c r="C143" s="5" t="str">
        <x:v>컴포넌트</x:v>
      </x:c>
      <x:c r="D143" s="5" t="str">
        <x:v>레이아웃·표현</x:v>
      </x:c>
      <x:c r="E143" s="5" t="str">
        <x:v>긴급 공지</x:v>
      </x:c>
      <x:c r="F143" s="5" t="str">
        <x:v>접근성 가이드라인</x:v>
      </x:c>
      <x:c r="G143" s="5" t="str">
        <x:v>01</x:v>
      </x:c>
      <x:c r="H143" s="5" t="n">
        <x:v>367</x:v>
      </x:c>
      <x:c r="I143" s="5" t="n">
        <x:v>367</x:v>
      </x:c>
      <x:c r="J143" s="5" t="str"/>
      <x:c r="K143" s="5" t="str">
        <x:v>긴급 공지 섹션에 배너 역할을 제공한다.</x:v>
      </x:c>
      <x:c r="L143" s="5" t="str">
        <x:v>원문 세부기준</x:v>
      </x:c>
      <x:c r="M143" s="5" t="str">
        <x:v>추출 후 기본 구조 검토; 원문 적용수준·전체 맥락 재확인 필요</x:v>
      </x:c>
      <x:c r="N143" s="5" t="str">
        <x:v>UI-028</x:v>
      </x:c>
      <x:c r="O143" s="5" t="str">
        <x:v>자동 추출 후보 / 공식 전수 체크리스트 아님</x:v>
      </x:c>
    </x:row>
    <x:row r="144" ht="15" hidden="0" customHeight="1">
      <x:c r="A144" s="5" t="str">
        <x:v>KRDS-SEC-029-A-02</x:v>
      </x:c>
      <x:c r="B144" s="5" t="str">
        <x:v>KRDS-SEC-029</x:v>
      </x:c>
      <x:c r="C144" s="5" t="str">
        <x:v>컴포넌트</x:v>
      </x:c>
      <x:c r="D144" s="5" t="str">
        <x:v>레이아웃·표현</x:v>
      </x:c>
      <x:c r="E144" s="5" t="str">
        <x:v>긴급 공지</x:v>
      </x:c>
      <x:c r="F144" s="5" t="str">
        <x:v>접근성 가이드라인</x:v>
      </x:c>
      <x:c r="G144" s="5" t="str">
        <x:v>02</x:v>
      </x:c>
      <x:c r="H144" s="5" t="n">
        <x:v>367</x:v>
      </x:c>
      <x:c r="I144" s="5" t="n">
        <x:v>367</x:v>
      </x:c>
      <x:c r="J144" s="5" t="str"/>
      <x:c r="K144" s="5" t="str">
        <x:v>아이콘에 대체 텍스트를 제공하지 않는다.</x:v>
      </x:c>
      <x:c r="L144" s="5" t="str">
        <x:v>원문 세부기준</x:v>
      </x:c>
      <x:c r="M144" s="5" t="str">
        <x:v>추출 후 기본 구조 검토; 원문 적용수준·전체 맥락 재확인 필요</x:v>
      </x:c>
      <x:c r="N144" s="5" t="str">
        <x:v>UI-028</x:v>
      </x:c>
      <x:c r="O144" s="5" t="str">
        <x:v>자동 추출 후보 / 공식 전수 체크리스트 아님</x:v>
      </x:c>
    </x:row>
    <x:row r="145" ht="15" hidden="0" customHeight="1">
      <x:c r="A145" s="5" t="str">
        <x:v>KRDS-SEC-029-A-03</x:v>
      </x:c>
      <x:c r="B145" s="5" t="str">
        <x:v>KRDS-SEC-029</x:v>
      </x:c>
      <x:c r="C145" s="5" t="str">
        <x:v>컴포넌트</x:v>
      </x:c>
      <x:c r="D145" s="5" t="str">
        <x:v>레이아웃·표현</x:v>
      </x:c>
      <x:c r="E145" s="5" t="str">
        <x:v>긴급 공지</x:v>
      </x:c>
      <x:c r="F145" s="5" t="str">
        <x:v>접근성 가이드라인</x:v>
      </x:c>
      <x:c r="G145" s="5" t="str">
        <x:v>03</x:v>
      </x:c>
      <x:c r="H145" s="5" t="n">
        <x:v>367</x:v>
      </x:c>
      <x:c r="I145" s="5" t="n">
        <x:v>367</x:v>
      </x:c>
      <x:c r="J145" s="5" t="str"/>
      <x:c r="K145" s="5" t="str">
        <x:v>목적지를 예측할 수 있는 링크 이름 또는 부가 설명을 제공한다.</x:v>
      </x:c>
      <x:c r="L145" s="5" t="str">
        <x:v>원문 세부기준</x:v>
      </x:c>
      <x:c r="M145" s="5" t="str">
        <x:v>추출 후 기본 구조 검토; 원문 적용수준·전체 맥락 재확인 필요</x:v>
      </x:c>
      <x:c r="N145" s="5" t="str">
        <x:v>UI-028</x:v>
      </x:c>
      <x:c r="O145" s="5" t="str">
        <x:v>자동 추출 후보 / 공식 전수 체크리스트 아님</x:v>
      </x:c>
    </x:row>
    <x:row r="146" ht="15" hidden="0" customHeight="1">
      <x:c r="A146" s="5" t="str">
        <x:v>KRDS-SEC-030-U-01</x:v>
      </x:c>
      <x:c r="B146" s="5" t="str">
        <x:v>KRDS-SEC-030</x:v>
      </x:c>
      <x:c r="C146" s="5" t="str">
        <x:v>컴포넌트</x:v>
      </x:c>
      <x:c r="D146" s="5" t="str">
        <x:v>레이아웃·표현</x:v>
      </x:c>
      <x:c r="E146" s="5" t="str">
        <x:v>달력</x:v>
      </x:c>
      <x:c r="F146" s="5" t="str">
        <x:v>사용성 가이드라인</x:v>
      </x:c>
      <x:c r="G146" s="5" t="str">
        <x:v>01</x:v>
      </x:c>
      <x:c r="H146" s="5" t="n">
        <x:v>371</x:v>
      </x:c>
      <x:c r="I146" s="5" t="n">
        <x:v>371</x:v>
      </x:c>
      <x:c r="J146" s="5" t="str">
        <x:v>372</x:v>
      </x:c>
      <x:c r="K146" s="5" t="str">
        <x:v>날짜의 여러 가지 상태, 정보의 범례는 일관성 있게 표현한다.</x:v>
      </x:c>
      <x:c r="L146" s="5" t="str">
        <x:v>원문 세부기준</x:v>
      </x:c>
      <x:c r="M146" s="5" t="str">
        <x:v>추출 후 기본 구조 검토; 원문 적용수준·전체 맥락 재확인 필요</x:v>
      </x:c>
      <x:c r="N146" s="5" t="str">
        <x:v>UI-029</x:v>
      </x:c>
      <x:c r="O146" s="5" t="str">
        <x:v>자동 추출 후보 / 공식 전수 체크리스트 아님</x:v>
      </x:c>
    </x:row>
    <x:row r="147" ht="15" hidden="0" customHeight="1">
      <x:c r="A147" s="5" t="str">
        <x:v>KRDS-SEC-030-U-02</x:v>
      </x:c>
      <x:c r="B147" s="5" t="str">
        <x:v>KRDS-SEC-030</x:v>
      </x:c>
      <x:c r="C147" s="5" t="str">
        <x:v>컴포넌트</x:v>
      </x:c>
      <x:c r="D147" s="5" t="str">
        <x:v>레이아웃·표현</x:v>
      </x:c>
      <x:c r="E147" s="5" t="str">
        <x:v>달력</x:v>
      </x:c>
      <x:c r="F147" s="5" t="str">
        <x:v>사용성 가이드라인</x:v>
      </x:c>
      <x:c r="G147" s="5" t="str">
        <x:v>02</x:v>
      </x:c>
      <x:c r="H147" s="5" t="n">
        <x:v>371</x:v>
      </x:c>
      <x:c r="I147" s="5" t="n">
        <x:v>371</x:v>
      </x:c>
      <x:c r="J147" s="5" t="str">
        <x:v>373</x:v>
      </x:c>
      <x:c r="K147" s="5" t="str">
        <x:v>날짜의 여러 가지 상태 정보가 서로 명확하게 구분되도록 표현한다.</x:v>
      </x:c>
      <x:c r="L147" s="5" t="str">
        <x:v>원문 세부기준</x:v>
      </x:c>
      <x:c r="M147" s="5" t="str">
        <x:v>추출 후 기본 구조 검토; 원문 적용수준·전체 맥락 재확인 필요</x:v>
      </x:c>
      <x:c r="N147" s="5" t="str">
        <x:v>UI-029</x:v>
      </x:c>
      <x:c r="O147" s="5" t="str">
        <x:v>자동 추출 후보 / 공식 전수 체크리스트 아님</x:v>
      </x:c>
    </x:row>
    <x:row r="148" ht="15" hidden="0" customHeight="1">
      <x:c r="A148" s="5" t="str">
        <x:v>KRDS-SEC-030-U-03</x:v>
      </x:c>
      <x:c r="B148" s="5" t="str">
        <x:v>KRDS-SEC-030</x:v>
      </x:c>
      <x:c r="C148" s="5" t="str">
        <x:v>컴포넌트</x:v>
      </x:c>
      <x:c r="D148" s="5" t="str">
        <x:v>레이아웃·표현</x:v>
      </x:c>
      <x:c r="E148" s="5" t="str">
        <x:v>달력</x:v>
      </x:c>
      <x:c r="F148" s="5" t="str">
        <x:v>사용성 가이드라인</x:v>
      </x:c>
      <x:c r="G148" s="5" t="str">
        <x:v>03</x:v>
      </x:c>
      <x:c r="H148" s="5" t="n">
        <x:v>371</x:v>
      </x:c>
      <x:c r="I148" s="5" t="n">
        <x:v>371</x:v>
      </x:c>
      <x:c r="J148" s="5" t="str">
        <x:v>374</x:v>
      </x:c>
      <x:c r="K148" s="5" t="str">
        <x:v>이벤트 정보가 복잡한 경우 정보를 손실 없이 확인할 수 있는 수단을 제공한다.</x:v>
      </x:c>
      <x:c r="L148" s="5" t="str">
        <x:v>원문 세부기준</x:v>
      </x:c>
      <x:c r="M148" s="5" t="str">
        <x:v>추출 후 기본 구조 검토; 원문 적용수준·전체 맥락 재확인 필요</x:v>
      </x:c>
      <x:c r="N148" s="5" t="str">
        <x:v>UI-029</x:v>
      </x:c>
      <x:c r="O148" s="5" t="str">
        <x:v>자동 추출 후보 / 공식 전수 체크리스트 아님</x:v>
      </x:c>
    </x:row>
    <x:row r="149" ht="15" hidden="0" customHeight="1">
      <x:c r="A149" s="5" t="str">
        <x:v>KRDS-SEC-030-U-04</x:v>
      </x:c>
      <x:c r="B149" s="5" t="str">
        <x:v>KRDS-SEC-030</x:v>
      </x:c>
      <x:c r="C149" s="5" t="str">
        <x:v>컴포넌트</x:v>
      </x:c>
      <x:c r="D149" s="5" t="str">
        <x:v>레이아웃·표현</x:v>
      </x:c>
      <x:c r="E149" s="5" t="str">
        <x:v>달력</x:v>
      </x:c>
      <x:c r="F149" s="5" t="str">
        <x:v>사용성 가이드라인</x:v>
      </x:c>
      <x:c r="G149" s="5" t="str">
        <x:v>04</x:v>
      </x:c>
      <x:c r="H149" s="5" t="n">
        <x:v>371</x:v>
      </x:c>
      <x:c r="I149" s="5" t="n">
        <x:v>371</x:v>
      </x:c>
      <x:c r="J149" s="5" t="str">
        <x:v>375</x:v>
      </x:c>
      <x:c r="K149" s="5" t="str">
        <x:v>달력 그리드에 헤딩(요일) 정보를 반드시 제공한다.</x:v>
      </x:c>
      <x:c r="L149" s="5" t="str">
        <x:v>원문 세부기준</x:v>
      </x:c>
      <x:c r="M149" s="5" t="str">
        <x:v>추출 후 기본 구조 검토; 원문 적용수준·전체 맥락 재확인 필요</x:v>
      </x:c>
      <x:c r="N149" s="5" t="str">
        <x:v>UI-029</x:v>
      </x:c>
      <x:c r="O149" s="5" t="str">
        <x:v>자동 추출 후보 / 공식 전수 체크리스트 아님</x:v>
      </x:c>
    </x:row>
    <x:row r="150" ht="15" hidden="0" customHeight="1">
      <x:c r="A150" s="5" t="str">
        <x:v>KRDS-SEC-030-A-01</x:v>
      </x:c>
      <x:c r="B150" s="5" t="str">
        <x:v>KRDS-SEC-030</x:v>
      </x:c>
      <x:c r="C150" s="5" t="str">
        <x:v>컴포넌트</x:v>
      </x:c>
      <x:c r="D150" s="5" t="str">
        <x:v>레이아웃·표현</x:v>
      </x:c>
      <x:c r="E150" s="5" t="str">
        <x:v>달력</x:v>
      </x:c>
      <x:c r="F150" s="5" t="str">
        <x:v>접근성 가이드라인</x:v>
      </x:c>
      <x:c r="G150" s="5" t="str">
        <x:v>01</x:v>
      </x:c>
      <x:c r="H150" s="5" t="n">
        <x:v>376</x:v>
      </x:c>
      <x:c r="I150" s="5" t="n">
        <x:v>376</x:v>
      </x:c>
      <x:c r="J150" s="5" t="str"/>
      <x:c r="K150" s="5" t="str">
        <x:v>날짜 및 관련 정보의 의미를 색상으로만 구분하지 않는다.</x:v>
      </x:c>
      <x:c r="L150" s="5" t="str">
        <x:v>원문 세부기준</x:v>
      </x:c>
      <x:c r="M150" s="5" t="str">
        <x:v>추출 후 기본 구조 검토; 원문 적용수준·전체 맥락 재확인 필요</x:v>
      </x:c>
      <x:c r="N150" s="5" t="str">
        <x:v>UI-029</x:v>
      </x:c>
      <x:c r="O150" s="5" t="str">
        <x:v>자동 추출 후보 / 공식 전수 체크리스트 아님</x:v>
      </x:c>
    </x:row>
    <x:row r="151" ht="15" hidden="0" customHeight="1">
      <x:c r="A151" s="5" t="str">
        <x:v>KRDS-SEC-030-A-02</x:v>
      </x:c>
      <x:c r="B151" s="5" t="str">
        <x:v>KRDS-SEC-030</x:v>
      </x:c>
      <x:c r="C151" s="5" t="str">
        <x:v>컴포넌트</x:v>
      </x:c>
      <x:c r="D151" s="5" t="str">
        <x:v>레이아웃·표현</x:v>
      </x:c>
      <x:c r="E151" s="5" t="str">
        <x:v>달력</x:v>
      </x:c>
      <x:c r="F151" s="5" t="str">
        <x:v>접근성 가이드라인</x:v>
      </x:c>
      <x:c r="G151" s="5" t="str">
        <x:v>02</x:v>
      </x:c>
      <x:c r="H151" s="5" t="n">
        <x:v>376</x:v>
      </x:c>
      <x:c r="I151" s="5" t="n">
        <x:v>376</x:v>
      </x:c>
      <x:c r="J151" s="5" t="str"/>
      <x:c r="K151" s="5" t="str">
        <x:v>날짜 및 관련 정보의 의미를 스크린 리더에서 확인할 수 있도록 한다.</x:v>
      </x:c>
      <x:c r="L151" s="5" t="str">
        <x:v>원문 세부기준</x:v>
      </x:c>
      <x:c r="M151" s="5" t="str">
        <x:v>추출 후 기본 구조 검토; 원문 적용수준·전체 맥락 재확인 필요</x:v>
      </x:c>
      <x:c r="N151" s="5" t="str">
        <x:v>UI-029</x:v>
      </x:c>
      <x:c r="O151" s="5" t="str">
        <x:v>자동 추출 후보 / 공식 전수 체크리스트 아님</x:v>
      </x:c>
    </x:row>
    <x:row r="152" ht="15" hidden="0" customHeight="1">
      <x:c r="A152" s="5" t="str">
        <x:v>KRDS-SEC-030-A-03</x:v>
      </x:c>
      <x:c r="B152" s="5" t="str">
        <x:v>KRDS-SEC-030</x:v>
      </x:c>
      <x:c r="C152" s="5" t="str">
        <x:v>컴포넌트</x:v>
      </x:c>
      <x:c r="D152" s="5" t="str">
        <x:v>레이아웃·표현</x:v>
      </x:c>
      <x:c r="E152" s="5" t="str">
        <x:v>달력</x:v>
      </x:c>
      <x:c r="F152" s="5" t="str">
        <x:v>접근성 가이드라인</x:v>
      </x:c>
      <x:c r="G152" s="5" t="str">
        <x:v>03</x:v>
      </x:c>
      <x:c r="H152" s="5" t="n">
        <x:v>376</x:v>
      </x:c>
      <x:c r="I152" s="5" t="n">
        <x:v>376</x:v>
      </x:c>
      <x:c r="J152" s="5" t="str"/>
      <x:c r="K152" s="5" t="str">
        <x:v>달력에서 제공되는 모든 기능을 키보드로 실행할 수 있도록 한다.</x:v>
      </x:c>
      <x:c r="L152" s="5" t="str">
        <x:v>원문 세부기준</x:v>
      </x:c>
      <x:c r="M152" s="5" t="str">
        <x:v>추출 후 기본 구조 검토; 원문 적용수준·전체 맥락 재확인 필요</x:v>
      </x:c>
      <x:c r="N152" s="5" t="str">
        <x:v>UI-029</x:v>
      </x:c>
      <x:c r="O152" s="5" t="str">
        <x:v>자동 추출 후보 / 공식 전수 체크리스트 아님</x:v>
      </x:c>
    </x:row>
    <x:row r="153" ht="15" hidden="0" customHeight="1">
      <x:c r="A153" s="5" t="str">
        <x:v>KRDS-SEC-030-A-04</x:v>
      </x:c>
      <x:c r="B153" s="5" t="str">
        <x:v>KRDS-SEC-030</x:v>
      </x:c>
      <x:c r="C153" s="5" t="str">
        <x:v>컴포넌트</x:v>
      </x:c>
      <x:c r="D153" s="5" t="str">
        <x:v>레이아웃·표현</x:v>
      </x:c>
      <x:c r="E153" s="5" t="str">
        <x:v>달력</x:v>
      </x:c>
      <x:c r="F153" s="5" t="str">
        <x:v>접근성 가이드라인</x:v>
      </x:c>
      <x:c r="G153" s="5" t="str">
        <x:v>04</x:v>
      </x:c>
      <x:c r="H153" s="5" t="n">
        <x:v>377</x:v>
      </x:c>
      <x:c r="I153" s="5" t="n">
        <x:v>377</x:v>
      </x:c>
      <x:c r="J153" s="5" t="str"/>
      <x:c r="K153" s="5" t="str">
        <x:v>달력에서 제공되는 모든 기능에 키보드 초점이 명확하게 표시되도록 한다.</x:v>
      </x:c>
      <x:c r="L153" s="5" t="str">
        <x:v>원문 세부기준</x:v>
      </x:c>
      <x:c r="M153" s="5" t="str">
        <x:v>추출 후 기본 구조 검토; 원문 적용수준·전체 맥락 재확인 필요</x:v>
      </x:c>
      <x:c r="N153" s="5" t="str">
        <x:v>UI-029</x:v>
      </x:c>
      <x:c r="O153" s="5" t="str">
        <x:v>자동 추출 후보 / 공식 전수 체크리스트 아님</x:v>
      </x:c>
    </x:row>
    <x:row r="154" ht="15" hidden="0" customHeight="1">
      <x:c r="A154" s="5" t="str">
        <x:v>KRDS-SEC-031-U-01</x:v>
      </x:c>
      <x:c r="B154" s="5" t="str">
        <x:v>KRDS-SEC-031</x:v>
      </x:c>
      <x:c r="C154" s="5" t="str">
        <x:v>컴포넌트</x:v>
      </x:c>
      <x:c r="D154" s="5" t="str">
        <x:v>레이아웃·표현</x:v>
      </x:c>
      <x:c r="E154" s="5" t="str">
        <x:v>디스클로저</x:v>
      </x:c>
      <x:c r="F154" s="5" t="str">
        <x:v>사용성 가이드라인</x:v>
      </x:c>
      <x:c r="G154" s="5" t="str">
        <x:v>01</x:v>
      </x:c>
      <x:c r="H154" s="5" t="n">
        <x:v>382</x:v>
      </x:c>
      <x:c r="I154" s="5" t="n">
        <x:v>382</x:v>
      </x:c>
      <x:c r="J154" s="5" t="str">
        <x:v>383</x:v>
      </x:c>
      <x:c r="K154" s="5" t="str">
        <x:v>기본적으로 축소된 상태로 제공한다.</x:v>
      </x:c>
      <x:c r="L154" s="5" t="str">
        <x:v>원문 세부기준</x:v>
      </x:c>
      <x:c r="M154" s="5" t="str">
        <x:v>추출 후 기본 구조 검토; 원문 적용수준·전체 맥락 재확인 필요</x:v>
      </x:c>
      <x:c r="N154" s="5" t="str">
        <x:v>UI-030</x:v>
      </x:c>
      <x:c r="O154" s="5" t="str">
        <x:v>자동 추출 후보 / 공식 전수 체크리스트 아님</x:v>
      </x:c>
    </x:row>
    <x:row r="155" ht="15" hidden="0" customHeight="1">
      <x:c r="A155" s="5" t="str">
        <x:v>KRDS-SEC-031-U-02</x:v>
      </x:c>
      <x:c r="B155" s="5" t="str">
        <x:v>KRDS-SEC-031</x:v>
      </x:c>
      <x:c r="C155" s="5" t="str">
        <x:v>컴포넌트</x:v>
      </x:c>
      <x:c r="D155" s="5" t="str">
        <x:v>레이아웃·표현</x:v>
      </x:c>
      <x:c r="E155" s="5" t="str">
        <x:v>디스클로저</x:v>
      </x:c>
      <x:c r="F155" s="5" t="str">
        <x:v>사용성 가이드라인</x:v>
      </x:c>
      <x:c r="G155" s="5" t="str">
        <x:v>02</x:v>
      </x:c>
      <x:c r="H155" s="5" t="n">
        <x:v>382</x:v>
      </x:c>
      <x:c r="I155" s="5" t="n">
        <x:v>382</x:v>
      </x:c>
      <x:c r="J155" s="5" t="str">
        <x:v>383</x:v>
      </x:c>
      <x:c r="K155" s="5" t="str">
        <x:v>디스클로저를 통해 제공하고자 하는 부가 정보와 관련된 정보/컨트롤/섹션 아래에 배치한다.</x:v>
      </x:c>
      <x:c r="L155" s="5" t="str">
        <x:v>원문 세부기준</x:v>
      </x:c>
      <x:c r="M155" s="5" t="str">
        <x:v>추출 후 기본 구조 검토; 원문 적용수준·전체 맥락 재확인 필요</x:v>
      </x:c>
      <x:c r="N155" s="5" t="str">
        <x:v>UI-030</x:v>
      </x:c>
      <x:c r="O155" s="5" t="str">
        <x:v>자동 추출 후보 / 공식 전수 체크리스트 아님</x:v>
      </x:c>
    </x:row>
    <x:row r="156" ht="15" hidden="0" customHeight="1">
      <x:c r="A156" s="5" t="str">
        <x:v>KRDS-SEC-031-U-03</x:v>
      </x:c>
      <x:c r="B156" s="5" t="str">
        <x:v>KRDS-SEC-031</x:v>
      </x:c>
      <x:c r="C156" s="5" t="str">
        <x:v>컴포넌트</x:v>
      </x:c>
      <x:c r="D156" s="5" t="str">
        <x:v>레이아웃·표현</x:v>
      </x:c>
      <x:c r="E156" s="5" t="str">
        <x:v>디스클로저</x:v>
      </x:c>
      <x:c r="F156" s="5" t="str">
        <x:v>사용성 가이드라인</x:v>
      </x:c>
      <x:c r="G156" s="5" t="str">
        <x:v>03</x:v>
      </x:c>
      <x:c r="H156" s="5" t="n">
        <x:v>382</x:v>
      </x:c>
      <x:c r="I156" s="5" t="n">
        <x:v>382</x:v>
      </x:c>
      <x:c r="J156" s="5" t="str">
        <x:v>384</x:v>
      </x:c>
      <x:c r="K156" s="5" t="str">
        <x:v>가능한 한 하나의 섹션에 하나의 디스클로저만 사용한다.</x:v>
      </x:c>
      <x:c r="L156" s="5" t="str">
        <x:v>원문 세부기준</x:v>
      </x:c>
      <x:c r="M156" s="5" t="str">
        <x:v>추출 후 기본 구조 검토; 원문 적용수준·전체 맥락 재확인 필요</x:v>
      </x:c>
      <x:c r="N156" s="5" t="str">
        <x:v>UI-030</x:v>
      </x:c>
      <x:c r="O156" s="5" t="str">
        <x:v>자동 추출 후보 / 공식 전수 체크리스트 아님</x:v>
      </x:c>
    </x:row>
    <x:row r="157" ht="15" hidden="0" customHeight="1">
      <x:c r="A157" s="5" t="str">
        <x:v>KRDS-SEC-031-A-01</x:v>
      </x:c>
      <x:c r="B157" s="5" t="str">
        <x:v>KRDS-SEC-031</x:v>
      </x:c>
      <x:c r="C157" s="5" t="str">
        <x:v>컴포넌트</x:v>
      </x:c>
      <x:c r="D157" s="5" t="str">
        <x:v>레이아웃·표현</x:v>
      </x:c>
      <x:c r="E157" s="5" t="str">
        <x:v>디스클로저</x:v>
      </x:c>
      <x:c r="F157" s="5" t="str">
        <x:v>접근성 가이드라인</x:v>
      </x:c>
      <x:c r="G157" s="5" t="str">
        <x:v>01</x:v>
      </x:c>
      <x:c r="H157" s="5" t="n">
        <x:v>385</x:v>
      </x:c>
      <x:c r="I157" s="5" t="n">
        <x:v>385</x:v>
      </x:c>
      <x:c r="J157" s="5" t="str"/>
      <x:c r="K157" s="5" t="str">
        <x:v>디스클로저를 버튼 역할로 제공한다.</x:v>
      </x:c>
      <x:c r="L157" s="5" t="str">
        <x:v>원문 세부기준</x:v>
      </x:c>
      <x:c r="M157" s="5" t="str">
        <x:v>추출 후 기본 구조 검토; 원문 적용수준·전체 맥락 재확인 필요</x:v>
      </x:c>
      <x:c r="N157" s="5" t="str">
        <x:v>UI-030</x:v>
      </x:c>
      <x:c r="O157" s="5" t="str">
        <x:v>자동 추출 후보 / 공식 전수 체크리스트 아님</x:v>
      </x:c>
    </x:row>
    <x:row r="158" ht="15" hidden="0" customHeight="1">
      <x:c r="A158" s="5" t="str">
        <x:v>KRDS-SEC-031-A-02</x:v>
      </x:c>
      <x:c r="B158" s="5" t="str">
        <x:v>KRDS-SEC-031</x:v>
      </x:c>
      <x:c r="C158" s="5" t="str">
        <x:v>컴포넌트</x:v>
      </x:c>
      <x:c r="D158" s="5" t="str">
        <x:v>레이아웃·표현</x:v>
      </x:c>
      <x:c r="E158" s="5" t="str">
        <x:v>디스클로저</x:v>
      </x:c>
      <x:c r="F158" s="5" t="str">
        <x:v>접근성 가이드라인</x:v>
      </x:c>
      <x:c r="G158" s="5" t="str">
        <x:v>02</x:v>
      </x:c>
      <x:c r="H158" s="5" t="n">
        <x:v>385</x:v>
      </x:c>
      <x:c r="I158" s="5" t="n">
        <x:v>385</x:v>
      </x:c>
      <x:c r="J158" s="5" t="str"/>
      <x:c r="K158" s="5" t="str">
        <x:v>스크린 리더에서 확장/축소 상태 정보를 확인할 수 있도록 한다.</x:v>
      </x:c>
      <x:c r="L158" s="5" t="str">
        <x:v>원문 세부기준</x:v>
      </x:c>
      <x:c r="M158" s="5" t="str">
        <x:v>추출 후 기본 구조 검토; 원문 적용수준·전체 맥락 재확인 필요</x:v>
      </x:c>
      <x:c r="N158" s="5" t="str">
        <x:v>UI-030</x:v>
      </x:c>
      <x:c r="O158" s="5" t="str">
        <x:v>자동 추출 후보 / 공식 전수 체크리스트 아님</x:v>
      </x:c>
    </x:row>
    <x:row r="159" ht="39.599998474121094" hidden="0" customHeight="1">
      <x:c r="A159" s="5" t="str">
        <x:v>KRDS-SEC-032-U-01</x:v>
      </x:c>
      <x:c r="B159" s="5" t="str">
        <x:v>KRDS-SEC-032</x:v>
      </x:c>
      <x:c r="C159" s="5" t="str">
        <x:v>컴포넌트</x:v>
      </x:c>
      <x:c r="D159" s="5" t="str">
        <x:v>레이아웃·표현</x:v>
      </x:c>
      <x:c r="E159" s="5" t="str">
        <x:v>모달</x:v>
      </x:c>
      <x:c r="F159" s="5" t="str">
        <x:v>사용성 가이드라인</x:v>
      </x:c>
      <x:c r="G159" s="5" t="str">
        <x:v>01</x:v>
      </x:c>
      <x:c r="H159" s="5" t="n">
        <x:v>391</x:v>
      </x:c>
      <x:c r="I159" s="5" t="n">
        <x:v>391</x:v>
      </x:c>
      <x:c r="J159" s="5" t="str">
        <x:v>392</x:v>
      </x:c>
      <x:c r="K159" s="5" t="str">
        <x:v>모달은 콘텐츠의 양을 고려하여 적절한 크기로 제공한다.</x:v>
      </x:c>
      <x:c r="L159" s="5" t="str">
        <x:v>원문 세부기준</x:v>
      </x:c>
      <x:c r="M159" s="5" t="str">
        <x:v>추출 후 기본 구조 검토; 원문 적용수준·전체 맥락 재확인 필요</x:v>
      </x:c>
      <x:c r="N159" s="5" t="str">
        <x:v>UI-031
UI-104
UI-105</x:v>
      </x:c>
      <x:c r="O159" s="5" t="str">
        <x:v>자동 추출 후보 / 공식 전수 체크리스트 아님</x:v>
      </x:c>
    </x:row>
    <x:row r="160" ht="39.599998474121094" hidden="0" customHeight="1">
      <x:c r="A160" s="5" t="str">
        <x:v>KRDS-SEC-032-U-02</x:v>
      </x:c>
      <x:c r="B160" s="5" t="str">
        <x:v>KRDS-SEC-032</x:v>
      </x:c>
      <x:c r="C160" s="5" t="str">
        <x:v>컴포넌트</x:v>
      </x:c>
      <x:c r="D160" s="5" t="str">
        <x:v>레이아웃·표현</x:v>
      </x:c>
      <x:c r="E160" s="5" t="str">
        <x:v>모달</x:v>
      </x:c>
      <x:c r="F160" s="5" t="str">
        <x:v>사용성 가이드라인</x:v>
      </x:c>
      <x:c r="G160" s="5" t="str">
        <x:v>02</x:v>
      </x:c>
      <x:c r="H160" s="5" t="n">
        <x:v>391</x:v>
      </x:c>
      <x:c r="I160" s="5" t="n">
        <x:v>391</x:v>
      </x:c>
      <x:c r="J160" s="5" t="str">
        <x:v>393</x:v>
      </x:c>
      <x:c r="K160" s="5" t="str">
        <x:v>콘텐츠 영역에 스크롤이 필요한 경우 사용자가 스크롤 영역을 인지할 수 있도록 표현하고 푸터가 항상 표시되도록 한다.</x:v>
      </x:c>
      <x:c r="L160" s="5" t="str">
        <x:v>원문 세부기준</x:v>
      </x:c>
      <x:c r="M160" s="5" t="str">
        <x:v>추출 후 기본 구조 검토; 원문 적용수준·전체 맥락 재확인 필요</x:v>
      </x:c>
      <x:c r="N160" s="5" t="str">
        <x:v>UI-031
UI-104
UI-105</x:v>
      </x:c>
      <x:c r="O160" s="5" t="str">
        <x:v>자동 추출 후보 / 공식 전수 체크리스트 아님</x:v>
      </x:c>
    </x:row>
    <x:row r="161" ht="39.599998474121094" hidden="0" customHeight="1">
      <x:c r="A161" s="5" t="str">
        <x:v>KRDS-SEC-032-U-03</x:v>
      </x:c>
      <x:c r="B161" s="5" t="str">
        <x:v>KRDS-SEC-032</x:v>
      </x:c>
      <x:c r="C161" s="5" t="str">
        <x:v>컴포넌트</x:v>
      </x:c>
      <x:c r="D161" s="5" t="str">
        <x:v>레이아웃·표현</x:v>
      </x:c>
      <x:c r="E161" s="5" t="str">
        <x:v>모달</x:v>
      </x:c>
      <x:c r="F161" s="5" t="str">
        <x:v>사용성 가이드라인</x:v>
      </x:c>
      <x:c r="G161" s="5" t="str">
        <x:v>03</x:v>
      </x:c>
      <x:c r="H161" s="5" t="n">
        <x:v>391</x:v>
      </x:c>
      <x:c r="I161" s="5" t="n">
        <x:v>391</x:v>
      </x:c>
      <x:c r="J161" s="5" t="str">
        <x:v>394</x:v>
      </x:c>
      <x:c r="K161" s="5" t="str">
        <x:v>헤더, 콘텐츠, 버튼 레이블은 명확한 내용으로 제공한다.</x:v>
      </x:c>
      <x:c r="L161" s="5" t="str">
        <x:v>원문 세부기준</x:v>
      </x:c>
      <x:c r="M161" s="5" t="str">
        <x:v>추출 후 기본 구조 검토; 원문 적용수준·전체 맥락 재확인 필요</x:v>
      </x:c>
      <x:c r="N161" s="5" t="str">
        <x:v>UI-031
UI-104
UI-105</x:v>
      </x:c>
      <x:c r="O161" s="5" t="str">
        <x:v>자동 추출 후보 / 공식 전수 체크리스트 아님</x:v>
      </x:c>
    </x:row>
    <x:row r="162" ht="39.599998474121094" hidden="0" customHeight="1">
      <x:c r="A162" s="5" t="str">
        <x:v>KRDS-SEC-032-U-04</x:v>
      </x:c>
      <x:c r="B162" s="5" t="str">
        <x:v>KRDS-SEC-032</x:v>
      </x:c>
      <x:c r="C162" s="5" t="str">
        <x:v>컴포넌트</x:v>
      </x:c>
      <x:c r="D162" s="5" t="str">
        <x:v>레이아웃·표현</x:v>
      </x:c>
      <x:c r="E162" s="5" t="str">
        <x:v>모달</x:v>
      </x:c>
      <x:c r="F162" s="5" t="str">
        <x:v>사용성 가이드라인</x:v>
      </x:c>
      <x:c r="G162" s="5" t="str">
        <x:v>04</x:v>
      </x:c>
      <x:c r="H162" s="5" t="n">
        <x:v>391</x:v>
      </x:c>
      <x:c r="I162" s="5" t="n">
        <x:v>391</x:v>
      </x:c>
      <x:c r="J162" s="5" t="str">
        <x:v>395</x:v>
      </x:c>
      <x:c r="K162" s="5" t="str">
        <x:v>모달 내 상호작용을 최소화한다.</x:v>
      </x:c>
      <x:c r="L162" s="5" t="str">
        <x:v>원문 세부기준</x:v>
      </x:c>
      <x:c r="M162" s="5" t="str">
        <x:v>추출 후 기본 구조 검토; 원문 적용수준·전체 맥락 재확인 필요</x:v>
      </x:c>
      <x:c r="N162" s="5" t="str">
        <x:v>UI-031
UI-104
UI-105</x:v>
      </x:c>
      <x:c r="O162" s="5" t="str">
        <x:v>자동 추출 후보 / 공식 전수 체크리스트 아님</x:v>
      </x:c>
    </x:row>
    <x:row r="163" ht="39.599998474121094" hidden="0" customHeight="1">
      <x:c r="A163" s="5" t="str">
        <x:v>KRDS-SEC-032-U-05</x:v>
      </x:c>
      <x:c r="B163" s="5" t="str">
        <x:v>KRDS-SEC-032</x:v>
      </x:c>
      <x:c r="C163" s="5" t="str">
        <x:v>컴포넌트</x:v>
      </x:c>
      <x:c r="D163" s="5" t="str">
        <x:v>레이아웃·표현</x:v>
      </x:c>
      <x:c r="E163" s="5" t="str">
        <x:v>모달</x:v>
      </x:c>
      <x:c r="F163" s="5" t="str">
        <x:v>사용성 가이드라인</x:v>
      </x:c>
      <x:c r="G163" s="5" t="str">
        <x:v>05</x:v>
      </x:c>
      <x:c r="H163" s="5" t="n">
        <x:v>391</x:v>
      </x:c>
      <x:c r="I163" s="5" t="n">
        <x:v>391</x:v>
      </x:c>
      <x:c r="J163" s="5" t="str">
        <x:v>396</x:v>
      </x:c>
      <x:c r="K163" s="5" t="str">
        <x:v>모달은 사용자의 행동을 통해 실행한다.</x:v>
      </x:c>
      <x:c r="L163" s="5" t="str">
        <x:v>원문 세부기준</x:v>
      </x:c>
      <x:c r="M163" s="5" t="str">
        <x:v>추출 후 기본 구조 검토; 원문 적용수준·전체 맥락 재확인 필요</x:v>
      </x:c>
      <x:c r="N163" s="5" t="str">
        <x:v>UI-031
UI-104
UI-105</x:v>
      </x:c>
      <x:c r="O163" s="5" t="str">
        <x:v>자동 추출 후보 / 공식 전수 체크리스트 아님</x:v>
      </x:c>
    </x:row>
    <x:row r="164" ht="39.599998474121094" hidden="0" customHeight="1">
      <x:c r="A164" s="5" t="str">
        <x:v>KRDS-SEC-032-A-01</x:v>
      </x:c>
      <x:c r="B164" s="5" t="str">
        <x:v>KRDS-SEC-032</x:v>
      </x:c>
      <x:c r="C164" s="5" t="str">
        <x:v>컴포넌트</x:v>
      </x:c>
      <x:c r="D164" s="5" t="str">
        <x:v>레이아웃·표현</x:v>
      </x:c>
      <x:c r="E164" s="5" t="str">
        <x:v>모달</x:v>
      </x:c>
      <x:c r="F164" s="5" t="str">
        <x:v>접근성 가이드라인</x:v>
      </x:c>
      <x:c r="G164" s="5" t="str">
        <x:v>01</x:v>
      </x:c>
      <x:c r="H164" s="5" t="n">
        <x:v>397</x:v>
      </x:c>
      <x:c r="I164" s="5" t="n">
        <x:v>397</x:v>
      </x:c>
      <x:c r="J164" s="5" t="str"/>
      <x:c r="K164" s="5" t="str">
        <x:v>모달과 내부 요소의 초점 이동 순서를 논리적으로 제공한다.</x:v>
      </x:c>
      <x:c r="L164" s="5" t="str">
        <x:v>원문 세부기준</x:v>
      </x:c>
      <x:c r="M164" s="5" t="str">
        <x:v>추출 후 기본 구조 검토; 원문 적용수준·전체 맥락 재확인 필요</x:v>
      </x:c>
      <x:c r="N164" s="5" t="str">
        <x:v>UI-031
UI-104
UI-105</x:v>
      </x:c>
      <x:c r="O164" s="5" t="str">
        <x:v>자동 추출 후보 / 공식 전수 체크리스트 아님</x:v>
      </x:c>
    </x:row>
    <x:row r="165" ht="39.599998474121094" hidden="0" customHeight="1">
      <x:c r="A165" s="5" t="str">
        <x:v>KRDS-SEC-032-A-02</x:v>
      </x:c>
      <x:c r="B165" s="5" t="str">
        <x:v>KRDS-SEC-032</x:v>
      </x:c>
      <x:c r="C165" s="5" t="str">
        <x:v>컴포넌트</x:v>
      </x:c>
      <x:c r="D165" s="5" t="str">
        <x:v>레이아웃·표현</x:v>
      </x:c>
      <x:c r="E165" s="5" t="str">
        <x:v>모달</x:v>
      </x:c>
      <x:c r="F165" s="5" t="str">
        <x:v>접근성 가이드라인</x:v>
      </x:c>
      <x:c r="G165" s="5" t="str">
        <x:v>02</x:v>
      </x:c>
      <x:c r="H165" s="5" t="n">
        <x:v>397</x:v>
      </x:c>
      <x:c r="I165" s="5" t="n">
        <x:v>397</x:v>
      </x:c>
      <x:c r="J165" s="5" t="str"/>
      <x:c r="K165" s="5" t="str">
        <x:v>모달의 닫기 버튼은 모달의 가장 마지막 요소로 마크업한다.</x:v>
      </x:c>
      <x:c r="L165" s="5" t="str">
        <x:v>원문 세부기준</x:v>
      </x:c>
      <x:c r="M165" s="5" t="str">
        <x:v>추출 후 기본 구조 검토; 원문 적용수준·전체 맥락 재확인 필요</x:v>
      </x:c>
      <x:c r="N165" s="5" t="str">
        <x:v>UI-031
UI-104
UI-105</x:v>
      </x:c>
      <x:c r="O165" s="5" t="str">
        <x:v>자동 추출 후보 / 공식 전수 체크리스트 아님</x:v>
      </x:c>
    </x:row>
    <x:row r="166" ht="15" hidden="0" customHeight="1">
      <x:c r="A166" s="5" t="str">
        <x:v>KRDS-SEC-033-U-01</x:v>
      </x:c>
      <x:c r="B166" s="5" t="str">
        <x:v>KRDS-SEC-033</x:v>
      </x:c>
      <x:c r="C166" s="5" t="str">
        <x:v>컴포넌트</x:v>
      </x:c>
      <x:c r="D166" s="5" t="str">
        <x:v>레이아웃·표현</x:v>
      </x:c>
      <x:c r="E166" s="5" t="str">
        <x:v>배지</x:v>
      </x:c>
      <x:c r="F166" s="5" t="str">
        <x:v>사용성 가이드라인</x:v>
      </x:c>
      <x:c r="G166" s="5" t="str">
        <x:v>01</x:v>
      </x:c>
      <x:c r="H166" s="5" t="n">
        <x:v>401</x:v>
      </x:c>
      <x:c r="I166" s="5" t="n">
        <x:v>401</x:v>
      </x:c>
      <x:c r="J166" s="5" t="str">
        <x:v>402</x:v>
      </x:c>
      <x:c r="K166" s="5" t="str">
        <x:v>레이블은 정확한 내용으로 간결하게 제공한다.</x:v>
      </x:c>
      <x:c r="L166" s="5" t="str">
        <x:v>원문 세부기준</x:v>
      </x:c>
      <x:c r="M166" s="5" t="str">
        <x:v>추출 후 기본 구조 검토; 원문 적용수준·전체 맥락 재확인 필요</x:v>
      </x:c>
      <x:c r="N166" s="5" t="str">
        <x:v>UI-032</x:v>
      </x:c>
      <x:c r="O166" s="5" t="str">
        <x:v>자동 추출 후보 / 공식 전수 체크리스트 아님</x:v>
      </x:c>
    </x:row>
    <x:row r="167" ht="15" hidden="0" customHeight="1">
      <x:c r="A167" s="5" t="str">
        <x:v>KRDS-SEC-033-U-02</x:v>
      </x:c>
      <x:c r="B167" s="5" t="str">
        <x:v>KRDS-SEC-033</x:v>
      </x:c>
      <x:c r="C167" s="5" t="str">
        <x:v>컴포넌트</x:v>
      </x:c>
      <x:c r="D167" s="5" t="str">
        <x:v>레이아웃·표현</x:v>
      </x:c>
      <x:c r="E167" s="5" t="str">
        <x:v>배지</x:v>
      </x:c>
      <x:c r="F167" s="5" t="str">
        <x:v>사용성 가이드라인</x:v>
      </x:c>
      <x:c r="G167" s="5" t="str">
        <x:v>02</x:v>
      </x:c>
      <x:c r="H167" s="5" t="n">
        <x:v>401</x:v>
      </x:c>
      <x:c r="I167" s="5" t="n">
        <x:v>401</x:v>
      </x:c>
      <x:c r="J167" s="5" t="str">
        <x:v>402</x:v>
      </x:c>
      <x:c r="K167" s="5" t="str">
        <x:v>레이블과 컨테이너의 색상은 일반적인 의미 체계, 일관성을 고려하여 선택한다.</x:v>
      </x:c>
      <x:c r="L167" s="5" t="str">
        <x:v>원문 세부기준</x:v>
      </x:c>
      <x:c r="M167" s="5" t="str">
        <x:v>추출 후 기본 구조 검토; 원문 적용수준·전체 맥락 재확인 필요</x:v>
      </x:c>
      <x:c r="N167" s="5" t="str">
        <x:v>UI-032</x:v>
      </x:c>
      <x:c r="O167" s="5" t="str">
        <x:v>자동 추출 후보 / 공식 전수 체크리스트 아님</x:v>
      </x:c>
    </x:row>
    <x:row r="168" ht="15" hidden="0" customHeight="1">
      <x:c r="A168" s="5" t="str">
        <x:v>KRDS-SEC-033-U-03</x:v>
      </x:c>
      <x:c r="B168" s="5" t="str">
        <x:v>KRDS-SEC-033</x:v>
      </x:c>
      <x:c r="C168" s="5" t="str">
        <x:v>컴포넌트</x:v>
      </x:c>
      <x:c r="D168" s="5" t="str">
        <x:v>레이아웃·표현</x:v>
      </x:c>
      <x:c r="E168" s="5" t="str">
        <x:v>배지</x:v>
      </x:c>
      <x:c r="F168" s="5" t="str">
        <x:v>사용성 가이드라인</x:v>
      </x:c>
      <x:c r="G168" s="5" t="str">
        <x:v>03</x:v>
      </x:c>
      <x:c r="H168" s="5" t="n">
        <x:v>401</x:v>
      </x:c>
      <x:c r="I168" s="5" t="n">
        <x:v>401</x:v>
      </x:c>
      <x:c r="J168" s="5" t="str">
        <x:v>402</x:v>
      </x:c>
      <x:c r="K168" s="5" t="str">
        <x:v>배지를 대화형 요소로 사용하지 않는다.</x:v>
      </x:c>
      <x:c r="L168" s="5" t="str">
        <x:v>원문 세부기준</x:v>
      </x:c>
      <x:c r="M168" s="5" t="str">
        <x:v>추출 후 기본 구조 검토; 원문 적용수준·전체 맥락 재확인 필요</x:v>
      </x:c>
      <x:c r="N168" s="5" t="str">
        <x:v>UI-032</x:v>
      </x:c>
      <x:c r="O168" s="5" t="str">
        <x:v>자동 추출 후보 / 공식 전수 체크리스트 아님</x:v>
      </x:c>
    </x:row>
    <x:row r="169" ht="15" hidden="0" customHeight="1">
      <x:c r="A169" s="5" t="str">
        <x:v>KRDS-SEC-033-U-04</x:v>
      </x:c>
      <x:c r="B169" s="5" t="str">
        <x:v>KRDS-SEC-033</x:v>
      </x:c>
      <x:c r="C169" s="5" t="str">
        <x:v>컴포넌트</x:v>
      </x:c>
      <x:c r="D169" s="5" t="str">
        <x:v>레이아웃·표현</x:v>
      </x:c>
      <x:c r="E169" s="5" t="str">
        <x:v>배지</x:v>
      </x:c>
      <x:c r="F169" s="5" t="str">
        <x:v>사용성 가이드라인</x:v>
      </x:c>
      <x:c r="G169" s="5" t="str">
        <x:v>04</x:v>
      </x:c>
      <x:c r="H169" s="5" t="n">
        <x:v>401</x:v>
      </x:c>
      <x:c r="I169" s="5" t="n">
        <x:v>401</x:v>
      </x:c>
      <x:c r="J169" s="5" t="str">
        <x:v>403</x:v>
      </x:c>
      <x:c r="K169" s="5" t="str">
        <x:v>하나의 요소에 한 개의 배지를 사용한다.</x:v>
      </x:c>
      <x:c r="L169" s="5" t="str">
        <x:v>원문 세부기준</x:v>
      </x:c>
      <x:c r="M169" s="5" t="str">
        <x:v>추출 후 기본 구조 검토; 원문 적용수준·전체 맥락 재확인 필요</x:v>
      </x:c>
      <x:c r="N169" s="5" t="str">
        <x:v>UI-032</x:v>
      </x:c>
      <x:c r="O169" s="5" t="str">
        <x:v>자동 추출 후보 / 공식 전수 체크리스트 아님</x:v>
      </x:c>
    </x:row>
    <x:row r="170" ht="15" hidden="0" customHeight="1">
      <x:c r="A170" s="5" t="str">
        <x:v>KRDS-SEC-033-U-05</x:v>
      </x:c>
      <x:c r="B170" s="5" t="str">
        <x:v>KRDS-SEC-033</x:v>
      </x:c>
      <x:c r="C170" s="5" t="str">
        <x:v>컴포넌트</x:v>
      </x:c>
      <x:c r="D170" s="5" t="str">
        <x:v>레이아웃·표현</x:v>
      </x:c>
      <x:c r="E170" s="5" t="str">
        <x:v>배지</x:v>
      </x:c>
      <x:c r="F170" s="5" t="str">
        <x:v>사용성 가이드라인</x:v>
      </x:c>
      <x:c r="G170" s="5" t="str">
        <x:v>05</x:v>
      </x:c>
      <x:c r="H170" s="5" t="n">
        <x:v>401</x:v>
      </x:c>
      <x:c r="I170" s="5" t="n">
        <x:v>401</x:v>
      </x:c>
      <x:c r="J170" s="5" t="str">
        <x:v>403</x:v>
      </x:c>
      <x:c r="K170" s="5" t="str">
        <x:v>배지의 배경색으로 주조색을 사용하지 않는다.</x:v>
      </x:c>
      <x:c r="L170" s="5" t="str">
        <x:v>원문 세부기준</x:v>
      </x:c>
      <x:c r="M170" s="5" t="str">
        <x:v>추출 후 기본 구조 검토; 원문 적용수준·전체 맥락 재확인 필요</x:v>
      </x:c>
      <x:c r="N170" s="5" t="str">
        <x:v>UI-032</x:v>
      </x:c>
      <x:c r="O170" s="5" t="str">
        <x:v>자동 추출 후보 / 공식 전수 체크리스트 아님</x:v>
      </x:c>
    </x:row>
    <x:row r="171" ht="15" hidden="0" customHeight="1">
      <x:c r="A171" s="5" t="str">
        <x:v>KRDS-SEC-033-A-01</x:v>
      </x:c>
      <x:c r="B171" s="5" t="str">
        <x:v>KRDS-SEC-033</x:v>
      </x:c>
      <x:c r="C171" s="5" t="str">
        <x:v>컴포넌트</x:v>
      </x:c>
      <x:c r="D171" s="5" t="str">
        <x:v>레이아웃·표현</x:v>
      </x:c>
      <x:c r="E171" s="5" t="str">
        <x:v>배지</x:v>
      </x:c>
      <x:c r="F171" s="5" t="str">
        <x:v>접근성 가이드라인</x:v>
      </x:c>
      <x:c r="G171" s="5" t="str">
        <x:v>01</x:v>
      </x:c>
      <x:c r="H171" s="5" t="n">
        <x:v>404</x:v>
      </x:c>
      <x:c r="I171" s="5" t="n">
        <x:v>404</x:v>
      </x:c>
      <x:c r="J171" s="5" t="str"/>
      <x:c r="K171" s="5" t="str">
        <x:v>텍스트 레이블을 제공한다.</x:v>
      </x:c>
      <x:c r="L171" s="5" t="str">
        <x:v>원문 세부기준</x:v>
      </x:c>
      <x:c r="M171" s="5" t="str">
        <x:v>추출 후 기본 구조 검토; 원문 적용수준·전체 맥락 재확인 필요</x:v>
      </x:c>
      <x:c r="N171" s="5" t="str">
        <x:v>UI-032</x:v>
      </x:c>
      <x:c r="O171" s="5" t="str">
        <x:v>자동 추출 후보 / 공식 전수 체크리스트 아님</x:v>
      </x:c>
    </x:row>
    <x:row r="172" ht="15" hidden="0" customHeight="1">
      <x:c r="A172" s="5" t="str">
        <x:v>KRDS-SEC-033-A-02</x:v>
      </x:c>
      <x:c r="B172" s="5" t="str">
        <x:v>KRDS-SEC-033</x:v>
      </x:c>
      <x:c r="C172" s="5" t="str">
        <x:v>컴포넌트</x:v>
      </x:c>
      <x:c r="D172" s="5" t="str">
        <x:v>레이아웃·표현</x:v>
      </x:c>
      <x:c r="E172" s="5" t="str">
        <x:v>배지</x:v>
      </x:c>
      <x:c r="F172" s="5" t="str">
        <x:v>접근성 가이드라인</x:v>
      </x:c>
      <x:c r="G172" s="5" t="str">
        <x:v>02</x:v>
      </x:c>
      <x:c r="H172" s="5" t="n">
        <x:v>404</x:v>
      </x:c>
      <x:c r="I172" s="5" t="n">
        <x:v>404</x:v>
      </x:c>
      <x:c r="J172" s="5" t="str"/>
      <x:c r="K172" s="5" t="str">
        <x:v>텍스트 레이블의 색상은 배경과 4.5:1 이상의 명도 대비를 갖도록 표현한다.</x:v>
      </x:c>
      <x:c r="L172" s="5" t="str">
        <x:v>원문 세부기준</x:v>
      </x:c>
      <x:c r="M172" s="5" t="str">
        <x:v>추출 후 기본 구조 검토; 원문 적용수준·전체 맥락 재확인 필요</x:v>
      </x:c>
      <x:c r="N172" s="5" t="str">
        <x:v>UI-032</x:v>
      </x:c>
      <x:c r="O172" s="5" t="str">
        <x:v>자동 추출 후보 / 공식 전수 체크리스트 아님</x:v>
      </x:c>
    </x:row>
    <x:row r="173" ht="15" hidden="0" customHeight="1">
      <x:c r="A173" s="5" t="str">
        <x:v>KRDS-SEC-034-U-01</x:v>
      </x:c>
      <x:c r="B173" s="5" t="str">
        <x:v>KRDS-SEC-034</x:v>
      </x:c>
      <x:c r="C173" s="5" t="str">
        <x:v>컴포넌트</x:v>
      </x:c>
      <x:c r="D173" s="5" t="str">
        <x:v>레이아웃·표현</x:v>
      </x:c>
      <x:c r="E173" s="5" t="str">
        <x:v>아코디언</x:v>
      </x:c>
      <x:c r="F173" s="5" t="str">
        <x:v>사용성 가이드라인</x:v>
      </x:c>
      <x:c r="G173" s="5" t="str">
        <x:v>01</x:v>
      </x:c>
      <x:c r="H173" s="5" t="n">
        <x:v>408</x:v>
      </x:c>
      <x:c r="I173" s="5" t="n">
        <x:v>408</x:v>
      </x:c>
      <x:c r="J173" s="5" t="str">
        <x:v>409</x:v>
      </x:c>
      <x:c r="K173" s="5" t="str">
        <x:v>아코디언의 확장 상태를 나타내는 아이콘은 항상 일관된 위치에 제공한다.</x:v>
      </x:c>
      <x:c r="L173" s="5" t="str">
        <x:v>원문 세부기준</x:v>
      </x:c>
      <x:c r="M173" s="5" t="str">
        <x:v>추출 후 기본 구조 검토; 원문 적용수준·전체 맥락 재확인 필요</x:v>
      </x:c>
      <x:c r="N173" s="5" t="str">
        <x:v>UI-033</x:v>
      </x:c>
      <x:c r="O173" s="5" t="str">
        <x:v>자동 추출 후보 / 공식 전수 체크리스트 아님</x:v>
      </x:c>
    </x:row>
    <x:row r="174" ht="15" hidden="0" customHeight="1">
      <x:c r="A174" s="5" t="str">
        <x:v>KRDS-SEC-034-U-02</x:v>
      </x:c>
      <x:c r="B174" s="5" t="str">
        <x:v>KRDS-SEC-034</x:v>
      </x:c>
      <x:c r="C174" s="5" t="str">
        <x:v>컴포넌트</x:v>
      </x:c>
      <x:c r="D174" s="5" t="str">
        <x:v>레이아웃·표현</x:v>
      </x:c>
      <x:c r="E174" s="5" t="str">
        <x:v>아코디언</x:v>
      </x:c>
      <x:c r="F174" s="5" t="str">
        <x:v>사용성 가이드라인</x:v>
      </x:c>
      <x:c r="G174" s="5" t="str">
        <x:v>02</x:v>
      </x:c>
      <x:c r="H174" s="5" t="n">
        <x:v>408</x:v>
      </x:c>
      <x:c r="I174" s="5" t="n">
        <x:v>408</x:v>
      </x:c>
      <x:c r="J174" s="5" t="str">
        <x:v>410</x:v>
      </x:c>
      <x:c r="K174" s="5" t="str">
        <x:v>아코디언의 확장 상태를 나타내는 아이콘은 패널이 펼쳐지거나 접히는 방향을 정확하게 반영하도록 제공한다.</x:v>
      </x:c>
      <x:c r="L174" s="5" t="str">
        <x:v>원문 세부기준</x:v>
      </x:c>
      <x:c r="M174" s="5" t="str">
        <x:v>추출 후 기본 구조 검토; 원문 적용수준·전체 맥락 재확인 필요</x:v>
      </x:c>
      <x:c r="N174" s="5" t="str">
        <x:v>UI-033</x:v>
      </x:c>
      <x:c r="O174" s="5" t="str">
        <x:v>자동 추출 후보 / 공식 전수 체크리스트 아님</x:v>
      </x:c>
    </x:row>
    <x:row r="175" ht="15" hidden="0" customHeight="1">
      <x:c r="A175" s="5" t="str">
        <x:v>KRDS-SEC-034-U-03</x:v>
      </x:c>
      <x:c r="B175" s="5" t="str">
        <x:v>KRDS-SEC-034</x:v>
      </x:c>
      <x:c r="C175" s="5" t="str">
        <x:v>컴포넌트</x:v>
      </x:c>
      <x:c r="D175" s="5" t="str">
        <x:v>레이아웃·표현</x:v>
      </x:c>
      <x:c r="E175" s="5" t="str">
        <x:v>아코디언</x:v>
      </x:c>
      <x:c r="F175" s="5" t="str">
        <x:v>사용성 가이드라인</x:v>
      </x:c>
      <x:c r="G175" s="5" t="str">
        <x:v>03</x:v>
      </x:c>
      <x:c r="H175" s="5" t="n">
        <x:v>408</x:v>
      </x:c>
      <x:c r="I175" s="5" t="n">
        <x:v>408</x:v>
      </x:c>
      <x:c r="J175" s="5" t="str">
        <x:v>411</x:v>
      </x:c>
      <x:c r="K175" s="5" t="str">
        <x:v>헤더 전체를 클릭 가능하도록 만든다.</x:v>
      </x:c>
      <x:c r="L175" s="5" t="str">
        <x:v>원문 세부기준</x:v>
      </x:c>
      <x:c r="M175" s="5" t="str">
        <x:v>추출 후 기본 구조 검토; 원문 적용수준·전체 맥락 재확인 필요</x:v>
      </x:c>
      <x:c r="N175" s="5" t="str">
        <x:v>UI-033</x:v>
      </x:c>
      <x:c r="O175" s="5" t="str">
        <x:v>자동 추출 후보 / 공식 전수 체크리스트 아님</x:v>
      </x:c>
    </x:row>
    <x:row r="176" ht="15" hidden="0" customHeight="1">
      <x:c r="A176" s="5" t="str">
        <x:v>KRDS-SEC-034-U-04</x:v>
      </x:c>
      <x:c r="B176" s="5" t="str">
        <x:v>KRDS-SEC-034</x:v>
      </x:c>
      <x:c r="C176" s="5" t="str">
        <x:v>컴포넌트</x:v>
      </x:c>
      <x:c r="D176" s="5" t="str">
        <x:v>레이아웃·표현</x:v>
      </x:c>
      <x:c r="E176" s="5" t="str">
        <x:v>아코디언</x:v>
      </x:c>
      <x:c r="F176" s="5" t="str">
        <x:v>사용성 가이드라인</x:v>
      </x:c>
      <x:c r="G176" s="5" t="str">
        <x:v>04</x:v>
      </x:c>
      <x:c r="H176" s="5" t="n">
        <x:v>408</x:v>
      </x:c>
      <x:c r="I176" s="5" t="n">
        <x:v>408</x:v>
      </x:c>
      <x:c r="J176" s="5" t="str">
        <x:v>412</x:v>
      </x:c>
      <x:c r="K176" s="5" t="str">
        <x:v>헤더와 패널은 서로 관련 있는 것으로 인지될 수 있게 표현한다.</x:v>
      </x:c>
      <x:c r="L176" s="5" t="str">
        <x:v>원문 세부기준</x:v>
      </x:c>
      <x:c r="M176" s="5" t="str">
        <x:v>추출 후 기본 구조 검토; 원문 적용수준·전체 맥락 재확인 필요</x:v>
      </x:c>
      <x:c r="N176" s="5" t="str">
        <x:v>UI-033</x:v>
      </x:c>
      <x:c r="O176" s="5" t="str">
        <x:v>자동 추출 후보 / 공식 전수 체크리스트 아님</x:v>
      </x:c>
    </x:row>
    <x:row r="177" ht="15" hidden="0" customHeight="1">
      <x:c r="A177" s="5" t="str">
        <x:v>KRDS-SEC-034-U-05</x:v>
      </x:c>
      <x:c r="B177" s="5" t="str">
        <x:v>KRDS-SEC-034</x:v>
      </x:c>
      <x:c r="C177" s="5" t="str">
        <x:v>컴포넌트</x:v>
      </x:c>
      <x:c r="D177" s="5" t="str">
        <x:v>레이아웃·표현</x:v>
      </x:c>
      <x:c r="E177" s="5" t="str">
        <x:v>아코디언</x:v>
      </x:c>
      <x:c r="F177" s="5" t="str">
        <x:v>사용성 가이드라인</x:v>
      </x:c>
      <x:c r="G177" s="5" t="str">
        <x:v>05</x:v>
      </x:c>
      <x:c r="H177" s="5" t="n">
        <x:v>408</x:v>
      </x:c>
      <x:c r="I177" s="5" t="n">
        <x:v>408</x:v>
      </x:c>
      <x:c r="J177" s="5" t="str">
        <x:v>413</x:v>
      </x:c>
      <x:c r="K177" s="5" t="str">
        <x:v>패널 영역에 스크롤이 발생하지 않도록 한다.</x:v>
      </x:c>
      <x:c r="L177" s="5" t="str">
        <x:v>원문 세부기준</x:v>
      </x:c>
      <x:c r="M177" s="5" t="str">
        <x:v>추출 후 기본 구조 검토; 원문 적용수준·전체 맥락 재확인 필요</x:v>
      </x:c>
      <x:c r="N177" s="5" t="str">
        <x:v>UI-033</x:v>
      </x:c>
      <x:c r="O177" s="5" t="str">
        <x:v>자동 추출 후보 / 공식 전수 체크리스트 아님</x:v>
      </x:c>
    </x:row>
    <x:row r="178" ht="15" hidden="0" customHeight="1">
      <x:c r="A178" s="5" t="str">
        <x:v>KRDS-SEC-034-A-01</x:v>
      </x:c>
      <x:c r="B178" s="5" t="str">
        <x:v>KRDS-SEC-034</x:v>
      </x:c>
      <x:c r="C178" s="5" t="str">
        <x:v>컴포넌트</x:v>
      </x:c>
      <x:c r="D178" s="5" t="str">
        <x:v>레이아웃·표현</x:v>
      </x:c>
      <x:c r="E178" s="5" t="str">
        <x:v>아코디언</x:v>
      </x:c>
      <x:c r="F178" s="5" t="str">
        <x:v>접근성 가이드라인</x:v>
      </x:c>
      <x:c r="G178" s="5" t="str">
        <x:v>01</x:v>
      </x:c>
      <x:c r="H178" s="5" t="n">
        <x:v>414</x:v>
      </x:c>
      <x:c r="I178" s="5" t="n">
        <x:v>414</x:v>
      </x:c>
      <x:c r="J178" s="5" t="str"/>
      <x:c r="K178" s="5" t="str">
        <x:v>아코디언에 접근 가능한 제목을 제공한다.</x:v>
      </x:c>
      <x:c r="L178" s="5" t="str">
        <x:v>원문 세부기준</x:v>
      </x:c>
      <x:c r="M178" s="5" t="str">
        <x:v>추출 후 기본 구조 검토; 원문 적용수준·전체 맥락 재확인 필요</x:v>
      </x:c>
      <x:c r="N178" s="5" t="str">
        <x:v>UI-033</x:v>
      </x:c>
      <x:c r="O178" s="5" t="str">
        <x:v>자동 추출 후보 / 공식 전수 체크리스트 아님</x:v>
      </x:c>
    </x:row>
    <x:row r="179" ht="15" hidden="0" customHeight="1">
      <x:c r="A179" s="5" t="str">
        <x:v>KRDS-SEC-034-A-02</x:v>
      </x:c>
      <x:c r="B179" s="5" t="str">
        <x:v>KRDS-SEC-034</x:v>
      </x:c>
      <x:c r="C179" s="5" t="str">
        <x:v>컴포넌트</x:v>
      </x:c>
      <x:c r="D179" s="5" t="str">
        <x:v>레이아웃·표현</x:v>
      </x:c>
      <x:c r="E179" s="5" t="str">
        <x:v>아코디언</x:v>
      </x:c>
      <x:c r="F179" s="5" t="str">
        <x:v>접근성 가이드라인</x:v>
      </x:c>
      <x:c r="G179" s="5" t="str">
        <x:v>02</x:v>
      </x:c>
      <x:c r="H179" s="5" t="n">
        <x:v>414</x:v>
      </x:c>
      <x:c r="I179" s="5" t="n">
        <x:v>414</x:v>
      </x:c>
      <x:c r="J179" s="5" t="str"/>
      <x:c r="K179" s="5" t="str">
        <x:v>아코디언의 활성화 상태 정보를 스크린 리더에서 확인할 수 있도록 한다.</x:v>
      </x:c>
      <x:c r="L179" s="5" t="str">
        <x:v>원문 세부기준</x:v>
      </x:c>
      <x:c r="M179" s="5" t="str">
        <x:v>추출 후 기본 구조 검토; 원문 적용수준·전체 맥락 재확인 필요</x:v>
      </x:c>
      <x:c r="N179" s="5" t="str">
        <x:v>UI-033</x:v>
      </x:c>
      <x:c r="O179" s="5" t="str">
        <x:v>자동 추출 후보 / 공식 전수 체크리스트 아님</x:v>
      </x:c>
    </x:row>
    <x:row r="180" ht="15" hidden="0" customHeight="1">
      <x:c r="A180" s="5" t="str">
        <x:v>KRDS-SEC-034-A-03</x:v>
      </x:c>
      <x:c r="B180" s="5" t="str">
        <x:v>KRDS-SEC-034</x:v>
      </x:c>
      <x:c r="C180" s="5" t="str">
        <x:v>컴포넌트</x:v>
      </x:c>
      <x:c r="D180" s="5" t="str">
        <x:v>레이아웃·표현</x:v>
      </x:c>
      <x:c r="E180" s="5" t="str">
        <x:v>아코디언</x:v>
      </x:c>
      <x:c r="F180" s="5" t="str">
        <x:v>접근성 가이드라인</x:v>
      </x:c>
      <x:c r="G180" s="5" t="str">
        <x:v>03</x:v>
      </x:c>
      <x:c r="H180" s="5" t="n">
        <x:v>414</x:v>
      </x:c>
      <x:c r="I180" s="5" t="n">
        <x:v>414</x:v>
      </x:c>
      <x:c r="J180" s="5" t="str"/>
      <x:c r="K180" s="5" t="str">
        <x:v>헤더를 버튼 역할로 제공한다.</x:v>
      </x:c>
      <x:c r="L180" s="5" t="str">
        <x:v>원문 세부기준</x:v>
      </x:c>
      <x:c r="M180" s="5" t="str">
        <x:v>추출 후 기본 구조 검토; 원문 적용수준·전체 맥락 재확인 필요</x:v>
      </x:c>
      <x:c r="N180" s="5" t="str">
        <x:v>UI-033</x:v>
      </x:c>
      <x:c r="O180" s="5" t="str">
        <x:v>자동 추출 후보 / 공식 전수 체크리스트 아님</x:v>
      </x:c>
    </x:row>
    <x:row r="181" ht="15" hidden="0" customHeight="1">
      <x:c r="A181" s="5" t="str">
        <x:v>KRDS-SEC-035-U-01</x:v>
      </x:c>
      <x:c r="B181" s="5" t="str">
        <x:v>KRDS-SEC-035</x:v>
      </x:c>
      <x:c r="C181" s="5" t="str">
        <x:v>컴포넌트</x:v>
      </x:c>
      <x:c r="D181" s="5" t="str">
        <x:v>레이아웃·표현</x:v>
      </x:c>
      <x:c r="E181" s="5" t="str">
        <x:v>이미지</x:v>
      </x:c>
      <x:c r="F181" s="5" t="str">
        <x:v>사용성 가이드라인</x:v>
      </x:c>
      <x:c r="G181" s="5" t="str">
        <x:v>01</x:v>
      </x:c>
      <x:c r="H181" s="5" t="n">
        <x:v>418</x:v>
      </x:c>
      <x:c r="I181" s="5" t="n">
        <x:v>418</x:v>
      </x:c>
      <x:c r="J181" s="5" t="str">
        <x:v>419</x:v>
      </x:c>
      <x:c r="K181" s="5" t="str">
        <x:v>이미지 콘텐츠를 사용하는 목적에 대해 가장 먼저 정의한다.</x:v>
      </x:c>
      <x:c r="L181" s="5" t="str">
        <x:v>원문 세부기준</x:v>
      </x:c>
      <x:c r="M181" s="5" t="str">
        <x:v>추출 후 기본 구조 검토; 원문 적용수준·전체 맥락 재확인 필요</x:v>
      </x:c>
      <x:c r="N181" s="5" t="str">
        <x:v>UI-034</x:v>
      </x:c>
      <x:c r="O181" s="5" t="str">
        <x:v>자동 추출 후보 / 공식 전수 체크리스트 아님</x:v>
      </x:c>
    </x:row>
    <x:row r="182" ht="15" hidden="0" customHeight="1">
      <x:c r="A182" s="5" t="str">
        <x:v>KRDS-SEC-035-U-02</x:v>
      </x:c>
      <x:c r="B182" s="5" t="str">
        <x:v>KRDS-SEC-035</x:v>
      </x:c>
      <x:c r="C182" s="5" t="str">
        <x:v>컴포넌트</x:v>
      </x:c>
      <x:c r="D182" s="5" t="str">
        <x:v>레이아웃·표현</x:v>
      </x:c>
      <x:c r="E182" s="5" t="str">
        <x:v>이미지</x:v>
      </x:c>
      <x:c r="F182" s="5" t="str">
        <x:v>사용성 가이드라인</x:v>
      </x:c>
      <x:c r="G182" s="5" t="str">
        <x:v>02</x:v>
      </x:c>
      <x:c r="H182" s="5" t="n">
        <x:v>418</x:v>
      </x:c>
      <x:c r="I182" s="5" t="n">
        <x:v>418</x:v>
      </x:c>
      <x:c r="J182" s="5" t="str">
        <x:v>419</x:v>
      </x:c>
      <x:c r="K182" s="5" t="str">
        <x:v>이미지에 텍스트를 합성할 때 스타일에 유의한다.</x:v>
      </x:c>
      <x:c r="L182" s="5" t="str">
        <x:v>원문 세부기준</x:v>
      </x:c>
      <x:c r="M182" s="5" t="str">
        <x:v>추출 후 기본 구조 검토; 원문 적용수준·전체 맥락 재확인 필요</x:v>
      </x:c>
      <x:c r="N182" s="5" t="str">
        <x:v>UI-034</x:v>
      </x:c>
      <x:c r="O182" s="5" t="str">
        <x:v>자동 추출 후보 / 공식 전수 체크리스트 아님</x:v>
      </x:c>
    </x:row>
    <x:row r="183" ht="15" hidden="0" customHeight="1">
      <x:c r="A183" s="5" t="str">
        <x:v>KRDS-SEC-035-U-03</x:v>
      </x:c>
      <x:c r="B183" s="5" t="str">
        <x:v>KRDS-SEC-035</x:v>
      </x:c>
      <x:c r="C183" s="5" t="str">
        <x:v>컴포넌트</x:v>
      </x:c>
      <x:c r="D183" s="5" t="str">
        <x:v>레이아웃·표현</x:v>
      </x:c>
      <x:c r="E183" s="5" t="str">
        <x:v>이미지</x:v>
      </x:c>
      <x:c r="F183" s="5" t="str">
        <x:v>사용성 가이드라인</x:v>
      </x:c>
      <x:c r="G183" s="5" t="str">
        <x:v>03</x:v>
      </x:c>
      <x:c r="H183" s="5" t="n">
        <x:v>418</x:v>
      </x:c>
      <x:c r="I183" s="5" t="n">
        <x:v>418</x:v>
      </x:c>
      <x:c r="J183" s="5" t="str">
        <x:v>420</x:v>
      </x:c>
      <x:c r="K183" s="5" t="str">
        <x:v>이미지에 대체 텍스트 또는 설명을 제공한다.</x:v>
      </x:c>
      <x:c r="L183" s="5" t="str">
        <x:v>원문 세부기준</x:v>
      </x:c>
      <x:c r="M183" s="5" t="str">
        <x:v>추출 후 기본 구조 검토; 원문 적용수준·전체 맥락 재확인 필요</x:v>
      </x:c>
      <x:c r="N183" s="5" t="str">
        <x:v>UI-034</x:v>
      </x:c>
      <x:c r="O183" s="5" t="str">
        <x:v>자동 추출 후보 / 공식 전수 체크리스트 아님</x:v>
      </x:c>
    </x:row>
    <x:row r="184" ht="15" hidden="0" customHeight="1">
      <x:c r="A184" s="5" t="str">
        <x:v>KRDS-SEC-035-P-01</x:v>
      </x:c>
      <x:c r="B184" s="5" t="str">
        <x:v>KRDS-SEC-035</x:v>
      </x:c>
      <x:c r="C184" s="5" t="str">
        <x:v>컴포넌트</x:v>
      </x:c>
      <x:c r="D184" s="5" t="str">
        <x:v>레이아웃·표현</x:v>
      </x:c>
      <x:c r="E184" s="5" t="str">
        <x:v>이미지</x:v>
      </x:c>
      <x:c r="F184" s="5" t="str">
        <x:v>플랫폼에 대한 고려 사항</x:v>
      </x:c>
      <x:c r="G184" s="5" t="str">
        <x:v>01</x:v>
      </x:c>
      <x:c r="H184" s="5" t="n">
        <x:v>421</x:v>
      </x:c>
      <x:c r="I184" s="5" t="n">
        <x:v>421</x:v>
      </x:c>
      <x:c r="J184" s="5" t="str"/>
      <x:c r="K184" s="5" t="str">
        <x:v>사용자의 화면 크기, 접속 환경을 고려하여 이미지 계획을 수립한다.</x:v>
      </x:c>
      <x:c r="L184" s="5" t="str">
        <x:v>원문 세부기준</x:v>
      </x:c>
      <x:c r="M184" s="5" t="str">
        <x:v>추출 후 기본 구조 검토; 원문 적용수준·전체 맥락 재확인 필요</x:v>
      </x:c>
      <x:c r="N184" s="5" t="str">
        <x:v>UI-034</x:v>
      </x:c>
      <x:c r="O184" s="5" t="str">
        <x:v>자동 추출 후보 / 공식 전수 체크리스트 아님</x:v>
      </x:c>
    </x:row>
    <x:row r="185" ht="15" hidden="0" customHeight="1">
      <x:c r="A185" s="5" t="str">
        <x:v>KRDS-SEC-035-A-01</x:v>
      </x:c>
      <x:c r="B185" s="5" t="str">
        <x:v>KRDS-SEC-035</x:v>
      </x:c>
      <x:c r="C185" s="5" t="str">
        <x:v>컴포넌트</x:v>
      </x:c>
      <x:c r="D185" s="5" t="str">
        <x:v>레이아웃·표현</x:v>
      </x:c>
      <x:c r="E185" s="5" t="str">
        <x:v>이미지</x:v>
      </x:c>
      <x:c r="F185" s="5" t="str">
        <x:v>접근성 가이드라인</x:v>
      </x:c>
      <x:c r="G185" s="5" t="str">
        <x:v>01</x:v>
      </x:c>
      <x:c r="H185" s="5" t="n">
        <x:v>422</x:v>
      </x:c>
      <x:c r="I185" s="5" t="n">
        <x:v>422</x:v>
      </x:c>
      <x:c r="J185" s="5" t="str"/>
      <x:c r="K185" s="5" t="str">
        <x:v>장식용 이미지를 제외한 모든 이미지에 대체 텍스트를 제공한다.</x:v>
      </x:c>
      <x:c r="L185" s="5" t="str">
        <x:v>원문 세부기준</x:v>
      </x:c>
      <x:c r="M185" s="5" t="str">
        <x:v>추출 후 기본 구조 검토; 원문 적용수준·전체 맥락 재확인 필요</x:v>
      </x:c>
      <x:c r="N185" s="5" t="str">
        <x:v>UI-034</x:v>
      </x:c>
      <x:c r="O185" s="5" t="str">
        <x:v>자동 추출 후보 / 공식 전수 체크리스트 아님</x:v>
      </x:c>
    </x:row>
    <x:row r="186" ht="15" hidden="0" customHeight="1">
      <x:c r="A186" s="5" t="str">
        <x:v>KRDS-SEC-035-A-02</x:v>
      </x:c>
      <x:c r="B186" s="5" t="str">
        <x:v>KRDS-SEC-035</x:v>
      </x:c>
      <x:c r="C186" s="5" t="str">
        <x:v>컴포넌트</x:v>
      </x:c>
      <x:c r="D186" s="5" t="str">
        <x:v>레이아웃·표현</x:v>
      </x:c>
      <x:c r="E186" s="5" t="str">
        <x:v>이미지</x:v>
      </x:c>
      <x:c r="F186" s="5" t="str">
        <x:v>접근성 가이드라인</x:v>
      </x:c>
      <x:c r="G186" s="5" t="str">
        <x:v>02</x:v>
      </x:c>
      <x:c r="H186" s="5" t="n">
        <x:v>422</x:v>
      </x:c>
      <x:c r="I186" s="5" t="n">
        <x:v>422</x:v>
      </x:c>
      <x:c r="J186" s="5" t="str"/>
      <x:c r="K186" s="5" t="str">
        <x:v>가능한 한 이미지 텍스트를 사용하지 않는다.</x:v>
      </x:c>
      <x:c r="L186" s="5" t="str">
        <x:v>원문 세부기준</x:v>
      </x:c>
      <x:c r="M186" s="5" t="str">
        <x:v>추출 후 기본 구조 검토; 원문 적용수준·전체 맥락 재확인 필요</x:v>
      </x:c>
      <x:c r="N186" s="5" t="str">
        <x:v>UI-034</x:v>
      </x:c>
      <x:c r="O186" s="5" t="str">
        <x:v>자동 추출 후보 / 공식 전수 체크리스트 아님</x:v>
      </x:c>
    </x:row>
    <x:row r="187" ht="15" hidden="0" customHeight="1">
      <x:c r="A187" s="5" t="str">
        <x:v>KRDS-SEC-036-U-01</x:v>
      </x:c>
      <x:c r="B187" s="5" t="str">
        <x:v>KRDS-SEC-036</x:v>
      </x:c>
      <x:c r="C187" s="5" t="str">
        <x:v>컴포넌트</x:v>
      </x:c>
      <x:c r="D187" s="5" t="str">
        <x:v>레이아웃·표현</x:v>
      </x:c>
      <x:c r="E187" s="5" t="str">
        <x:v>캐러셀</x:v>
      </x:c>
      <x:c r="F187" s="5" t="str">
        <x:v>사용성 가이드라인</x:v>
      </x:c>
      <x:c r="G187" s="5" t="str">
        <x:v>01</x:v>
      </x:c>
      <x:c r="H187" s="5" t="n">
        <x:v>430</x:v>
      </x:c>
      <x:c r="I187" s="5" t="n">
        <x:v>430</x:v>
      </x:c>
      <x:c r="J187" s="5" t="str">
        <x:v>431</x:v>
      </x:c>
      <x:c r="K187" s="5" t="str">
        <x:v>슬라이드 수를 5개 이내로 사용한다.</x:v>
      </x:c>
      <x:c r="L187" s="5" t="str">
        <x:v>원문 세부기준</x:v>
      </x:c>
      <x:c r="M187" s="5" t="str">
        <x:v>추출 후 기본 구조 검토; 원문 적용수준·전체 맥락 재확인 필요</x:v>
      </x:c>
      <x:c r="N187" s="5" t="str">
        <x:v>UI-035</x:v>
      </x:c>
      <x:c r="O187" s="5" t="str">
        <x:v>자동 추출 후보 / 공식 전수 체크리스트 아님</x:v>
      </x:c>
    </x:row>
    <x:row r="188" ht="15" hidden="0" customHeight="1">
      <x:c r="A188" s="5" t="str">
        <x:v>KRDS-SEC-036-U-02</x:v>
      </x:c>
      <x:c r="B188" s="5" t="str">
        <x:v>KRDS-SEC-036</x:v>
      </x:c>
      <x:c r="C188" s="5" t="str">
        <x:v>컴포넌트</x:v>
      </x:c>
      <x:c r="D188" s="5" t="str">
        <x:v>레이아웃·표현</x:v>
      </x:c>
      <x:c r="E188" s="5" t="str">
        <x:v>캐러셀</x:v>
      </x:c>
      <x:c r="F188" s="5" t="str">
        <x:v>사용성 가이드라인</x:v>
      </x:c>
      <x:c r="G188" s="5" t="str">
        <x:v>02</x:v>
      </x:c>
      <x:c r="H188" s="5" t="n">
        <x:v>430</x:v>
      </x:c>
      <x:c r="I188" s="5" t="n">
        <x:v>430</x:v>
      </x:c>
      <x:c r="J188" s="5" t="str">
        <x:v>432</x:v>
      </x:c>
      <x:c r="K188" s="5" t="str">
        <x:v>캐러셀 항목의 텍스트 콘텐츠는 1~2줄로 작성한다.</x:v>
      </x:c>
      <x:c r="L188" s="5" t="str">
        <x:v>원문 세부기준</x:v>
      </x:c>
      <x:c r="M188" s="5" t="str">
        <x:v>추출 후 기본 구조 검토; 원문 적용수준·전체 맥락 재확인 필요</x:v>
      </x:c>
      <x:c r="N188" s="5" t="str">
        <x:v>UI-035</x:v>
      </x:c>
      <x:c r="O188" s="5" t="str">
        <x:v>자동 추출 후보 / 공식 전수 체크리스트 아님</x:v>
      </x:c>
    </x:row>
    <x:row r="189" ht="15" hidden="0" customHeight="1">
      <x:c r="A189" s="5" t="str">
        <x:v>KRDS-SEC-036-U-03</x:v>
      </x:c>
      <x:c r="B189" s="5" t="str">
        <x:v>KRDS-SEC-036</x:v>
      </x:c>
      <x:c r="C189" s="5" t="str">
        <x:v>컴포넌트</x:v>
      </x:c>
      <x:c r="D189" s="5" t="str">
        <x:v>레이아웃·표현</x:v>
      </x:c>
      <x:c r="E189" s="5" t="str">
        <x:v>캐러셀</x:v>
      </x:c>
      <x:c r="F189" s="5" t="str">
        <x:v>사용성 가이드라인</x:v>
      </x:c>
      <x:c r="G189" s="5" t="str">
        <x:v>03</x:v>
      </x:c>
      <x:c r="H189" s="5" t="n">
        <x:v>430</x:v>
      </x:c>
      <x:c r="I189" s="5" t="n">
        <x:v>430</x:v>
      </x:c>
      <x:c r="J189" s="5" t="str">
        <x:v>432</x:v>
      </x:c>
      <x:c r="K189" s="5" t="str">
        <x:v>캐러셀 항목의 콘텐츠의 윤곽이 명확하게 드러나도록 표현한다.</x:v>
      </x:c>
      <x:c r="L189" s="5" t="str">
        <x:v>원문 세부기준</x:v>
      </x:c>
      <x:c r="M189" s="5" t="str">
        <x:v>추출 후 기본 구조 검토; 원문 적용수준·전체 맥락 재확인 필요</x:v>
      </x:c>
      <x:c r="N189" s="5" t="str">
        <x:v>UI-035</x:v>
      </x:c>
      <x:c r="O189" s="5" t="str">
        <x:v>자동 추출 후보 / 공식 전수 체크리스트 아님</x:v>
      </x:c>
    </x:row>
    <x:row r="190" ht="15" hidden="0" customHeight="1">
      <x:c r="A190" s="5" t="str">
        <x:v>KRDS-SEC-036-U-04</x:v>
      </x:c>
      <x:c r="B190" s="5" t="str">
        <x:v>KRDS-SEC-036</x:v>
      </x:c>
      <x:c r="C190" s="5" t="str">
        <x:v>컴포넌트</x:v>
      </x:c>
      <x:c r="D190" s="5" t="str">
        <x:v>레이아웃·표현</x:v>
      </x:c>
      <x:c r="E190" s="5" t="str">
        <x:v>캐러셀</x:v>
      </x:c>
      <x:c r="F190" s="5" t="str">
        <x:v>사용성 가이드라인</x:v>
      </x:c>
      <x:c r="G190" s="5" t="str">
        <x:v>04</x:v>
      </x:c>
      <x:c r="H190" s="5" t="n">
        <x:v>430</x:v>
      </x:c>
      <x:c r="I190" s="5" t="n">
        <x:v>430</x:v>
      </x:c>
      <x:c r="J190" s="5" t="str">
        <x:v>433</x:v>
      </x:c>
      <x:c r="K190" s="5" t="str">
        <x:v>캐러셀 관련 컨트롤, 항목 탐색 식별자가 캐러셀 항목과 중첩되지 않도록 한다.</x:v>
      </x:c>
      <x:c r="L190" s="5" t="str">
        <x:v>원문 세부기준</x:v>
      </x:c>
      <x:c r="M190" s="5" t="str">
        <x:v>추출 후 기본 구조 검토; 원문 적용수준·전체 맥락 재확인 필요</x:v>
      </x:c>
      <x:c r="N190" s="5" t="str">
        <x:v>UI-035</x:v>
      </x:c>
      <x:c r="O190" s="5" t="str">
        <x:v>자동 추출 후보 / 공식 전수 체크리스트 아님</x:v>
      </x:c>
    </x:row>
    <x:row r="191" ht="15" hidden="0" customHeight="1">
      <x:c r="A191" s="5" t="str">
        <x:v>KRDS-SEC-036-U-05</x:v>
      </x:c>
      <x:c r="B191" s="5" t="str">
        <x:v>KRDS-SEC-036</x:v>
      </x:c>
      <x:c r="C191" s="5" t="str">
        <x:v>컴포넌트</x:v>
      </x:c>
      <x:c r="D191" s="5" t="str">
        <x:v>레이아웃·표현</x:v>
      </x:c>
      <x:c r="E191" s="5" t="str">
        <x:v>캐러셀</x:v>
      </x:c>
      <x:c r="F191" s="5" t="str">
        <x:v>사용성 가이드라인</x:v>
      </x:c>
      <x:c r="G191" s="5" t="str">
        <x:v>05</x:v>
      </x:c>
      <x:c r="H191" s="5" t="n">
        <x:v>430</x:v>
      </x:c>
      <x:c r="I191" s="5" t="n">
        <x:v>430</x:v>
      </x:c>
      <x:c r="J191" s="5" t="str">
        <x:v>434</x:v>
      </x:c>
      <x:c r="K191" s="5" t="str">
        <x:v>캐러셀 관련 컨트롤과 항목 탐색 식별자가 명확하게 인지될 수 있도록 표현한다.</x:v>
      </x:c>
      <x:c r="L191" s="5" t="str">
        <x:v>원문 세부기준</x:v>
      </x:c>
      <x:c r="M191" s="5" t="str">
        <x:v>추출 후 기본 구조 검토; 원문 적용수준·전체 맥락 재확인 필요</x:v>
      </x:c>
      <x:c r="N191" s="5" t="str">
        <x:v>UI-035</x:v>
      </x:c>
      <x:c r="O191" s="5" t="str">
        <x:v>자동 추출 후보 / 공식 전수 체크리스트 아님</x:v>
      </x:c>
    </x:row>
    <x:row r="192" ht="15" hidden="0" customHeight="1">
      <x:c r="A192" s="5" t="str">
        <x:v>KRDS-SEC-036-U-06</x:v>
      </x:c>
      <x:c r="B192" s="5" t="str">
        <x:v>KRDS-SEC-036</x:v>
      </x:c>
      <x:c r="C192" s="5" t="str">
        <x:v>컴포넌트</x:v>
      </x:c>
      <x:c r="D192" s="5" t="str">
        <x:v>레이아웃·표현</x:v>
      </x:c>
      <x:c r="E192" s="5" t="str">
        <x:v>캐러셀</x:v>
      </x:c>
      <x:c r="F192" s="5" t="str">
        <x:v>사용성 가이드라인</x:v>
      </x:c>
      <x:c r="G192" s="5" t="str">
        <x:v>06</x:v>
      </x:c>
      <x:c r="H192" s="5" t="n">
        <x:v>430</x:v>
      </x:c>
      <x:c r="I192" s="5" t="n">
        <x:v>430</x:v>
      </x:c>
      <x:c r="J192" s="5" t="str">
        <x:v>435</x:v>
      </x:c>
      <x:c r="K192" s="5" t="str">
        <x:v>캐러셀 관련 컨트롤과 항목 탐색 식별자를 일관된 위치에 표시한다.</x:v>
      </x:c>
      <x:c r="L192" s="5" t="str">
        <x:v>원문 세부기준</x:v>
      </x:c>
      <x:c r="M192" s="5" t="str">
        <x:v>추출 후 기본 구조 검토; 원문 적용수준·전체 맥락 재확인 필요</x:v>
      </x:c>
      <x:c r="N192" s="5" t="str">
        <x:v>UI-035</x:v>
      </x:c>
      <x:c r="O192" s="5" t="str">
        <x:v>자동 추출 후보 / 공식 전수 체크리스트 아님</x:v>
      </x:c>
    </x:row>
    <x:row r="193" ht="15" hidden="0" customHeight="1">
      <x:c r="A193" s="5" t="str">
        <x:v>KRDS-SEC-036-U-07</x:v>
      </x:c>
      <x:c r="B193" s="5" t="str">
        <x:v>KRDS-SEC-036</x:v>
      </x:c>
      <x:c r="C193" s="5" t="str">
        <x:v>컴포넌트</x:v>
      </x:c>
      <x:c r="D193" s="5" t="str">
        <x:v>레이아웃·표현</x:v>
      </x:c>
      <x:c r="E193" s="5" t="str">
        <x:v>캐러셀</x:v>
      </x:c>
      <x:c r="F193" s="5" t="str">
        <x:v>사용성 가이드라인</x:v>
      </x:c>
      <x:c r="G193" s="5" t="str">
        <x:v>07</x:v>
      </x:c>
      <x:c r="H193" s="5" t="n">
        <x:v>430</x:v>
      </x:c>
      <x:c r="I193" s="5" t="n">
        <x:v>430</x:v>
      </x:c>
      <x:c r="J193" s="5" t="str">
        <x:v>435</x:v>
      </x:c>
      <x:c r="K193" s="5" t="str">
        <x:v>전체 슬라이드 수와 사용자의 탐색 위치를 표시한다.</x:v>
      </x:c>
      <x:c r="L193" s="5" t="str">
        <x:v>원문 세부기준</x:v>
      </x:c>
      <x:c r="M193" s="5" t="str">
        <x:v>추출 후 기본 구조 검토; 원문 적용수준·전체 맥락 재확인 필요</x:v>
      </x:c>
      <x:c r="N193" s="5" t="str">
        <x:v>UI-035</x:v>
      </x:c>
      <x:c r="O193" s="5" t="str">
        <x:v>자동 추출 후보 / 공식 전수 체크리스트 아님</x:v>
      </x:c>
    </x:row>
    <x:row r="194" ht="15" hidden="0" customHeight="1">
      <x:c r="A194" s="5" t="str">
        <x:v>KRDS-SEC-036-U-08</x:v>
      </x:c>
      <x:c r="B194" s="5" t="str">
        <x:v>KRDS-SEC-036</x:v>
      </x:c>
      <x:c r="C194" s="5" t="str">
        <x:v>컴포넌트</x:v>
      </x:c>
      <x:c r="D194" s="5" t="str">
        <x:v>레이아웃·표현</x:v>
      </x:c>
      <x:c r="E194" s="5" t="str">
        <x:v>캐러셀</x:v>
      </x:c>
      <x:c r="F194" s="5" t="str">
        <x:v>사용성 가이드라인</x:v>
      </x:c>
      <x:c r="G194" s="5" t="str">
        <x:v>08</x:v>
      </x:c>
      <x:c r="H194" s="5" t="n">
        <x:v>430</x:v>
      </x:c>
      <x:c r="I194" s="5" t="n">
        <x:v>430</x:v>
      </x:c>
      <x:c r="J194" s="5" t="str">
        <x:v>435</x:v>
      </x:c>
      <x:c r="K194" s="5" t="str">
        <x:v>캐러셀 관련 컨트롤 요소를 쉽게 조작할 수 있도록 충분히 크게 표현한다.</x:v>
      </x:c>
      <x:c r="L194" s="5" t="str">
        <x:v>원문 세부기준</x:v>
      </x:c>
      <x:c r="M194" s="5" t="str">
        <x:v>추출 후 기본 구조 검토; 원문 적용수준·전체 맥락 재확인 필요</x:v>
      </x:c>
      <x:c r="N194" s="5" t="str">
        <x:v>UI-035</x:v>
      </x:c>
      <x:c r="O194" s="5" t="str">
        <x:v>자동 추출 후보 / 공식 전수 체크리스트 아님</x:v>
      </x:c>
    </x:row>
    <x:row r="195" ht="15" hidden="0" customHeight="1">
      <x:c r="A195" s="5" t="str">
        <x:v>KRDS-SEC-036-U-09</x:v>
      </x:c>
      <x:c r="B195" s="5" t="str">
        <x:v>KRDS-SEC-036</x:v>
      </x:c>
      <x:c r="C195" s="5" t="str">
        <x:v>컴포넌트</x:v>
      </x:c>
      <x:c r="D195" s="5" t="str">
        <x:v>레이아웃·표현</x:v>
      </x:c>
      <x:c r="E195" s="5" t="str">
        <x:v>캐러셀</x:v>
      </x:c>
      <x:c r="F195" s="5" t="str">
        <x:v>사용성 가이드라인</x:v>
      </x:c>
      <x:c r="G195" s="5" t="str">
        <x:v>09</x:v>
      </x:c>
      <x:c r="H195" s="5" t="n">
        <x:v>430</x:v>
      </x:c>
      <x:c r="I195" s="5" t="n">
        <x:v>430</x:v>
      </x:c>
      <x:c r="J195" s="5" t="str">
        <x:v>436</x:v>
      </x:c>
      <x:c r="K195" s="5" t="str">
        <x:v>중요한 항목을 우선적으로 배치한다.</x:v>
      </x:c>
      <x:c r="L195" s="5" t="str">
        <x:v>원문 세부기준</x:v>
      </x:c>
      <x:c r="M195" s="5" t="str">
        <x:v>추출 후 기본 구조 검토; 원문 적용수준·전체 맥락 재확인 필요</x:v>
      </x:c>
      <x:c r="N195" s="5" t="str">
        <x:v>UI-035</x:v>
      </x:c>
      <x:c r="O195" s="5" t="str">
        <x:v>자동 추출 후보 / 공식 전수 체크리스트 아님</x:v>
      </x:c>
    </x:row>
    <x:row r="196" ht="15" hidden="0" customHeight="1">
      <x:c r="A196" s="5" t="str">
        <x:v>KRDS-SEC-036-U-10</x:v>
      </x:c>
      <x:c r="B196" s="5" t="str">
        <x:v>KRDS-SEC-036</x:v>
      </x:c>
      <x:c r="C196" s="5" t="str">
        <x:v>컴포넌트</x:v>
      </x:c>
      <x:c r="D196" s="5" t="str">
        <x:v>레이아웃·표현</x:v>
      </x:c>
      <x:c r="E196" s="5" t="str">
        <x:v>캐러셀</x:v>
      </x:c>
      <x:c r="F196" s="5" t="str">
        <x:v>사용성 가이드라인</x:v>
      </x:c>
      <x:c r="G196" s="5" t="str">
        <x:v>10</x:v>
      </x:c>
      <x:c r="H196" s="5" t="n">
        <x:v>430</x:v>
      </x:c>
      <x:c r="I196" s="5" t="n">
        <x:v>430</x:v>
      </x:c>
      <x:c r="J196" s="5" t="str">
        <x:v>437</x:v>
      </x:c>
      <x:c r="K196" s="5" t="str">
        <x:v>드래그 앤 드롭/스와이프로 슬라이드를 전환할 수 있도록 한다.</x:v>
      </x:c>
      <x:c r="L196" s="5" t="str">
        <x:v>원문 세부기준</x:v>
      </x:c>
      <x:c r="M196" s="5" t="str">
        <x:v>추출 후 기본 구조 검토; 원문 적용수준·전체 맥락 재확인 필요</x:v>
      </x:c>
      <x:c r="N196" s="5" t="str">
        <x:v>UI-035</x:v>
      </x:c>
      <x:c r="O196" s="5" t="str">
        <x:v>자동 추출 후보 / 공식 전수 체크리스트 아님</x:v>
      </x:c>
    </x:row>
    <x:row r="197" ht="15" hidden="0" customHeight="1">
      <x:c r="A197" s="5" t="str">
        <x:v>KRDS-SEC-036-U-11</x:v>
      </x:c>
      <x:c r="B197" s="5" t="str">
        <x:v>KRDS-SEC-036</x:v>
      </x:c>
      <x:c r="C197" s="5" t="str">
        <x:v>컴포넌트</x:v>
      </x:c>
      <x:c r="D197" s="5" t="str">
        <x:v>레이아웃·표현</x:v>
      </x:c>
      <x:c r="E197" s="5" t="str">
        <x:v>캐러셀</x:v>
      </x:c>
      <x:c r="F197" s="5" t="str">
        <x:v>사용성 가이드라인</x:v>
      </x:c>
      <x:c r="G197" s="5" t="str">
        <x:v>11</x:v>
      </x:c>
      <x:c r="H197" s="5" t="n">
        <x:v>430</x:v>
      </x:c>
      <x:c r="I197" s="5" t="n">
        <x:v>430</x:v>
      </x:c>
      <x:c r="J197" s="5" t="str">
        <x:v>438</x:v>
      </x:c>
      <x:c r="K197" s="5" t="str">
        <x:v>표시할 캐러셀 항목 수가 1개인 경우 캐러셀과 관련된 단서를 숨긴다.</x:v>
      </x:c>
      <x:c r="L197" s="5" t="str">
        <x:v>원문 세부기준</x:v>
      </x:c>
      <x:c r="M197" s="5" t="str">
        <x:v>추출 후 기본 구조 검토; 원문 적용수준·전체 맥락 재확인 필요</x:v>
      </x:c>
      <x:c r="N197" s="5" t="str">
        <x:v>UI-035</x:v>
      </x:c>
      <x:c r="O197" s="5" t="str">
        <x:v>자동 추출 후보 / 공식 전수 체크리스트 아님</x:v>
      </x:c>
    </x:row>
    <x:row r="198" ht="15" hidden="0" customHeight="1">
      <x:c r="A198" s="5" t="str">
        <x:v>KRDS-SEC-036-P-01</x:v>
      </x:c>
      <x:c r="B198" s="5" t="str">
        <x:v>KRDS-SEC-036</x:v>
      </x:c>
      <x:c r="C198" s="5" t="str">
        <x:v>컴포넌트</x:v>
      </x:c>
      <x:c r="D198" s="5" t="str">
        <x:v>레이아웃·표현</x:v>
      </x:c>
      <x:c r="E198" s="5" t="str">
        <x:v>캐러셀</x:v>
      </x:c>
      <x:c r="F198" s="5" t="str">
        <x:v>플랫폼에 대한 고려 사항</x:v>
      </x:c>
      <x:c r="G198" s="5" t="str">
        <x:v>01</x:v>
      </x:c>
      <x:c r="H198" s="5" t="n">
        <x:v>439</x:v>
      </x:c>
      <x:c r="I198" s="5" t="n">
        <x:v>439</x:v>
      </x:c>
      <x:c r="J198" s="5" t="str"/>
      <x:c r="K198" s="5" t="str">
        <x:v>화면 크기가 충분한 경우 도형형 항목 탐색 식별자를 버튼으로 제공한다.</x:v>
      </x:c>
      <x:c r="L198" s="5" t="str">
        <x:v>원문 세부기준</x:v>
      </x:c>
      <x:c r="M198" s="5" t="str">
        <x:v>추출 후 기본 구조 검토; 원문 적용수준·전체 맥락 재확인 필요</x:v>
      </x:c>
      <x:c r="N198" s="5" t="str">
        <x:v>UI-035</x:v>
      </x:c>
      <x:c r="O198" s="5" t="str">
        <x:v>자동 추출 후보 / 공식 전수 체크리스트 아님</x:v>
      </x:c>
    </x:row>
    <x:row r="199" ht="15" hidden="0" customHeight="1">
      <x:c r="A199" s="5" t="str">
        <x:v>KRDS-SEC-036-P-02</x:v>
      </x:c>
      <x:c r="B199" s="5" t="str">
        <x:v>KRDS-SEC-036</x:v>
      </x:c>
      <x:c r="C199" s="5" t="str">
        <x:v>컴포넌트</x:v>
      </x:c>
      <x:c r="D199" s="5" t="str">
        <x:v>레이아웃·표현</x:v>
      </x:c>
      <x:c r="E199" s="5" t="str">
        <x:v>캐러셀</x:v>
      </x:c>
      <x:c r="F199" s="5" t="str">
        <x:v>플랫폼에 대한 고려 사항</x:v>
      </x:c>
      <x:c r="G199" s="5" t="str">
        <x:v>02</x:v>
      </x:c>
      <x:c r="H199" s="5" t="n">
        <x:v>440</x:v>
      </x:c>
      <x:c r="I199" s="5" t="n">
        <x:v>440</x:v>
      </x:c>
      <x:c r="J199" s="5" t="str"/>
      <x:c r="K199" s="5" t="str">
        <x:v>화면 크기가 충분하지 않은 경우 도형형 항목 탐색 식별자는 분수형으로 전환한다.</x:v>
      </x:c>
      <x:c r="L199" s="5" t="str">
        <x:v>원문 세부기준</x:v>
      </x:c>
      <x:c r="M199" s="5" t="str">
        <x:v>추출 후 기본 구조 검토; 원문 적용수준·전체 맥락 재확인 필요</x:v>
      </x:c>
      <x:c r="N199" s="5" t="str">
        <x:v>UI-035</x:v>
      </x:c>
      <x:c r="O199" s="5" t="str">
        <x:v>자동 추출 후보 / 공식 전수 체크리스트 아님</x:v>
      </x:c>
    </x:row>
    <x:row r="200" ht="15" hidden="0" customHeight="1">
      <x:c r="A200" s="5" t="str">
        <x:v>KRDS-SEC-036-A-01</x:v>
      </x:c>
      <x:c r="B200" s="5" t="str">
        <x:v>KRDS-SEC-036</x:v>
      </x:c>
      <x:c r="C200" s="5" t="str">
        <x:v>컴포넌트</x:v>
      </x:c>
      <x:c r="D200" s="5" t="str">
        <x:v>레이아웃·표현</x:v>
      </x:c>
      <x:c r="E200" s="5" t="str">
        <x:v>캐러셀</x:v>
      </x:c>
      <x:c r="F200" s="5" t="str">
        <x:v>접근성 가이드라인</x:v>
      </x:c>
      <x:c r="G200" s="5" t="str">
        <x:v>01</x:v>
      </x:c>
      <x:c r="H200" s="5" t="n">
        <x:v>441</x:v>
      </x:c>
      <x:c r="I200" s="5" t="n">
        <x:v>441</x:v>
      </x:c>
      <x:c r="J200" s="5" t="str"/>
      <x:c r="K200" s="5" t="str">
        <x:v>자동 재생 캐러셀에서 정지 버튼이 상호작용 가능한 첫 요소로 제공되어야 한다.</x:v>
      </x:c>
      <x:c r="L200" s="5" t="str">
        <x:v>원문 세부기준</x:v>
      </x:c>
      <x:c r="M200" s="5" t="str">
        <x:v>추출 후 기본 구조 검토; 원문 적용수준·전체 맥락 재확인 필요</x:v>
      </x:c>
      <x:c r="N200" s="5" t="str">
        <x:v>UI-035</x:v>
      </x:c>
      <x:c r="O200" s="5" t="str">
        <x:v>자동 추출 후보 / 공식 전수 체크리스트 아님</x:v>
      </x:c>
    </x:row>
    <x:row r="201" ht="15" hidden="0" customHeight="1">
      <x:c r="A201" s="5" t="str">
        <x:v>KRDS-SEC-036-A-02</x:v>
      </x:c>
      <x:c r="B201" s="5" t="str">
        <x:v>KRDS-SEC-036</x:v>
      </x:c>
      <x:c r="C201" s="5" t="str">
        <x:v>컴포넌트</x:v>
      </x:c>
      <x:c r="D201" s="5" t="str">
        <x:v>레이아웃·표현</x:v>
      </x:c>
      <x:c r="E201" s="5" t="str">
        <x:v>캐러셀</x:v>
      </x:c>
      <x:c r="F201" s="5" t="str">
        <x:v>접근성 가이드라인</x:v>
      </x:c>
      <x:c r="G201" s="5" t="str">
        <x:v>02</x:v>
      </x:c>
      <x:c r="H201" s="5" t="n">
        <x:v>441</x:v>
      </x:c>
      <x:c r="I201" s="5" t="n">
        <x:v>441</x:v>
      </x:c>
      <x:c r="J201" s="5" t="str"/>
      <x:c r="K201" s="5" t="str">
        <x:v>단일 지점과의 상호작용을 통해 슬라이드를 탐색할 수 있는 수단을 제공한다.</x:v>
      </x:c>
      <x:c r="L201" s="5" t="str">
        <x:v>원문 세부기준</x:v>
      </x:c>
      <x:c r="M201" s="5" t="str">
        <x:v>추출 후 기본 구조 검토; 원문 적용수준·전체 맥락 재확인 필요</x:v>
      </x:c>
      <x:c r="N201" s="5" t="str">
        <x:v>UI-035</x:v>
      </x:c>
      <x:c r="O201" s="5" t="str">
        <x:v>자동 추출 후보 / 공식 전수 체크리스트 아님</x:v>
      </x:c>
    </x:row>
    <x:row r="202" ht="15" hidden="0" customHeight="1">
      <x:c r="A202" s="5" t="str">
        <x:v>KRDS-SEC-036-A-03</x:v>
      </x:c>
      <x:c r="B202" s="5" t="str">
        <x:v>KRDS-SEC-036</x:v>
      </x:c>
      <x:c r="C202" s="5" t="str">
        <x:v>컴포넌트</x:v>
      </x:c>
      <x:c r="D202" s="5" t="str">
        <x:v>레이아웃·표현</x:v>
      </x:c>
      <x:c r="E202" s="5" t="str">
        <x:v>캐러셀</x:v>
      </x:c>
      <x:c r="F202" s="5" t="str">
        <x:v>접근성 가이드라인</x:v>
      </x:c>
      <x:c r="G202" s="5" t="str">
        <x:v>03</x:v>
      </x:c>
      <x:c r="H202" s="5" t="n">
        <x:v>441</x:v>
      </x:c>
      <x:c r="I202" s="5" t="n">
        <x:v>441</x:v>
      </x:c>
      <x:c r="J202" s="5" t="str"/>
      <x:c r="K202" s="5" t="str">
        <x:v>캐러셀에서 제공되는 모든 기능을 키보드로 실행할 수 있도록 한다.</x:v>
      </x:c>
      <x:c r="L202" s="5" t="str">
        <x:v>원문 세부기준</x:v>
      </x:c>
      <x:c r="M202" s="5" t="str">
        <x:v>추출 후 기본 구조 검토; 원문 적용수준·전체 맥락 재확인 필요</x:v>
      </x:c>
      <x:c r="N202" s="5" t="str">
        <x:v>UI-035</x:v>
      </x:c>
      <x:c r="O202" s="5" t="str">
        <x:v>자동 추출 후보 / 공식 전수 체크리스트 아님</x:v>
      </x:c>
    </x:row>
    <x:row r="203" ht="15" hidden="0" customHeight="1">
      <x:c r="A203" s="5" t="str">
        <x:v>KRDS-SEC-036-A-04</x:v>
      </x:c>
      <x:c r="B203" s="5" t="str">
        <x:v>KRDS-SEC-036</x:v>
      </x:c>
      <x:c r="C203" s="5" t="str">
        <x:v>컴포넌트</x:v>
      </x:c>
      <x:c r="D203" s="5" t="str">
        <x:v>레이아웃·표현</x:v>
      </x:c>
      <x:c r="E203" s="5" t="str">
        <x:v>캐러셀</x:v>
      </x:c>
      <x:c r="F203" s="5" t="str">
        <x:v>접근성 가이드라인</x:v>
      </x:c>
      <x:c r="G203" s="5" t="str">
        <x:v>04</x:v>
      </x:c>
      <x:c r="H203" s="5" t="n">
        <x:v>442</x:v>
      </x:c>
      <x:c r="I203" s="5" t="n">
        <x:v>442</x:v>
      </x:c>
      <x:c r="J203" s="5" t="str"/>
      <x:c r="K203" s="5" t="str">
        <x:v>키보드와 스크린 리더는 기본 항목에만 접근하도록 한다.</x:v>
      </x:c>
      <x:c r="L203" s="5" t="str">
        <x:v>원문 세부기준</x:v>
      </x:c>
      <x:c r="M203" s="5" t="str">
        <x:v>추출 후 기본 구조 검토; 원문 적용수준·전체 맥락 재확인 필요</x:v>
      </x:c>
      <x:c r="N203" s="5" t="str">
        <x:v>UI-035</x:v>
      </x:c>
      <x:c r="O203" s="5" t="str">
        <x:v>자동 추출 후보 / 공식 전수 체크리스트 아님</x:v>
      </x:c>
    </x:row>
    <x:row r="204" ht="15" hidden="0" customHeight="1">
      <x:c r="A204" s="5" t="str">
        <x:v>KRDS-SEC-036-A-05</x:v>
      </x:c>
      <x:c r="B204" s="5" t="str">
        <x:v>KRDS-SEC-036</x:v>
      </x:c>
      <x:c r="C204" s="5" t="str">
        <x:v>컴포넌트</x:v>
      </x:c>
      <x:c r="D204" s="5" t="str">
        <x:v>레이아웃·표현</x:v>
      </x:c>
      <x:c r="E204" s="5" t="str">
        <x:v>캐러셀</x:v>
      </x:c>
      <x:c r="F204" s="5" t="str">
        <x:v>접근성 가이드라인</x:v>
      </x:c>
      <x:c r="G204" s="5" t="str">
        <x:v>05</x:v>
      </x:c>
      <x:c r="H204" s="5" t="n">
        <x:v>442</x:v>
      </x:c>
      <x:c r="I204" s="5" t="n">
        <x:v>442</x:v>
      </x:c>
      <x:c r="J204" s="5" t="str"/>
      <x:c r="K204" s="5" t="str">
        <x:v>텍스트가 포함된 이미지를 사용하지 않는다.</x:v>
      </x:c>
      <x:c r="L204" s="5" t="str">
        <x:v>원문 세부기준</x:v>
      </x:c>
      <x:c r="M204" s="5" t="str">
        <x:v>추출 후 기본 구조 검토; 원문 적용수준·전체 맥락 재확인 필요</x:v>
      </x:c>
      <x:c r="N204" s="5" t="str">
        <x:v>UI-035</x:v>
      </x:c>
      <x:c r="O204" s="5" t="str">
        <x:v>자동 추출 후보 / 공식 전수 체크리스트 아님</x:v>
      </x:c>
    </x:row>
    <x:row r="205" ht="15" hidden="0" customHeight="1">
      <x:c r="A205" s="5" t="str">
        <x:v>KRDS-SEC-037-U-01</x:v>
      </x:c>
      <x:c r="B205" s="5" t="str">
        <x:v>KRDS-SEC-037</x:v>
      </x:c>
      <x:c r="C205" s="5" t="str">
        <x:v>컴포넌트</x:v>
      </x:c>
      <x:c r="D205" s="5" t="str">
        <x:v>레이아웃·표현</x:v>
      </x:c>
      <x:c r="E205" s="5" t="str">
        <x:v>탭</x:v>
      </x:c>
      <x:c r="F205" s="5" t="str">
        <x:v>사용성 가이드라인</x:v>
      </x:c>
      <x:c r="G205" s="5" t="str">
        <x:v>01</x:v>
      </x:c>
      <x:c r="H205" s="5" t="n">
        <x:v>448</x:v>
      </x:c>
      <x:c r="I205" s="5" t="n">
        <x:v>448</x:v>
      </x:c>
      <x:c r="J205" s="5" t="str">
        <x:v>449</x:v>
      </x:c>
      <x:c r="K205" s="5" t="str">
        <x:v>사용자가 탭과 탭 패널 간 관계를 명확하게 인지할 수 있도록 표현한다.</x:v>
      </x:c>
      <x:c r="L205" s="5" t="str">
        <x:v>원문 세부기준</x:v>
      </x:c>
      <x:c r="M205" s="5" t="str">
        <x:v>추출 후 기본 구조 검토; 원문 적용수준·전체 맥락 재확인 필요</x:v>
      </x:c>
      <x:c r="N205" s="5" t="str">
        <x:v>UI-036</x:v>
      </x:c>
      <x:c r="O205" s="5" t="str">
        <x:v>자동 추출 후보 / 공식 전수 체크리스트 아님</x:v>
      </x:c>
    </x:row>
    <x:row r="206" ht="15" hidden="0" customHeight="1">
      <x:c r="A206" s="5" t="str">
        <x:v>KRDS-SEC-037-U-02</x:v>
      </x:c>
      <x:c r="B206" s="5" t="str">
        <x:v>KRDS-SEC-037</x:v>
      </x:c>
      <x:c r="C206" s="5" t="str">
        <x:v>컴포넌트</x:v>
      </x:c>
      <x:c r="D206" s="5" t="str">
        <x:v>레이아웃·표현</x:v>
      </x:c>
      <x:c r="E206" s="5" t="str">
        <x:v>탭</x:v>
      </x:c>
      <x:c r="F206" s="5" t="str">
        <x:v>사용성 가이드라인</x:v>
      </x:c>
      <x:c r="G206" s="5" t="str">
        <x:v>02</x:v>
      </x:c>
      <x:c r="H206" s="5" t="n">
        <x:v>448</x:v>
      </x:c>
      <x:c r="I206" s="5" t="n">
        <x:v>448</x:v>
      </x:c>
      <x:c r="J206" s="5" t="str">
        <x:v>450</x:v>
      </x:c>
      <x:c r="K206" s="5" t="str">
        <x:v>탭 레이블은 표시할 콘텐츠 섹션의 정보를 예측할 수 있는 명확한 내용으로 제공한다.</x:v>
      </x:c>
      <x:c r="L206" s="5" t="str">
        <x:v>원문 세부기준</x:v>
      </x:c>
      <x:c r="M206" s="5" t="str">
        <x:v>추출 후 기본 구조 검토; 원문 적용수준·전체 맥락 재확인 필요</x:v>
      </x:c>
      <x:c r="N206" s="5" t="str">
        <x:v>UI-036</x:v>
      </x:c>
      <x:c r="O206" s="5" t="str">
        <x:v>자동 추출 후보 / 공식 전수 체크리스트 아님</x:v>
      </x:c>
    </x:row>
    <x:row r="207" ht="15" hidden="0" customHeight="1">
      <x:c r="A207" s="5" t="str">
        <x:v>KRDS-SEC-037-U-03</x:v>
      </x:c>
      <x:c r="B207" s="5" t="str">
        <x:v>KRDS-SEC-037</x:v>
      </x:c>
      <x:c r="C207" s="5" t="str">
        <x:v>컴포넌트</x:v>
      </x:c>
      <x:c r="D207" s="5" t="str">
        <x:v>레이아웃·표현</x:v>
      </x:c>
      <x:c r="E207" s="5" t="str">
        <x:v>탭</x:v>
      </x:c>
      <x:c r="F207" s="5" t="str">
        <x:v>사용성 가이드라인</x:v>
      </x:c>
      <x:c r="G207" s="5" t="str">
        <x:v>03</x:v>
      </x:c>
      <x:c r="H207" s="5" t="n">
        <x:v>448</x:v>
      </x:c>
      <x:c r="I207" s="5" t="n">
        <x:v>448</x:v>
      </x:c>
      <x:c r="J207" s="5" t="str">
        <x:v>451</x:v>
      </x:c>
      <x:c r="K207" s="5" t="str">
        <x:v>탭에 사용 불가 상태를 사용하지 않는다.</x:v>
      </x:c>
      <x:c r="L207" s="5" t="str">
        <x:v>원문 세부기준</x:v>
      </x:c>
      <x:c r="M207" s="5" t="str">
        <x:v>추출 후 기본 구조 검토; 원문 적용수준·전체 맥락 재확인 필요</x:v>
      </x:c>
      <x:c r="N207" s="5" t="str">
        <x:v>UI-036</x:v>
      </x:c>
      <x:c r="O207" s="5" t="str">
        <x:v>자동 추출 후보 / 공식 전수 체크리스트 아님</x:v>
      </x:c>
    </x:row>
    <x:row r="208" ht="15" hidden="0" customHeight="1">
      <x:c r="A208" s="5" t="str">
        <x:v>KRDS-SEC-037-U-04</x:v>
      </x:c>
      <x:c r="B208" s="5" t="str">
        <x:v>KRDS-SEC-037</x:v>
      </x:c>
      <x:c r="C208" s="5" t="str">
        <x:v>컴포넌트</x:v>
      </x:c>
      <x:c r="D208" s="5" t="str">
        <x:v>레이아웃·표현</x:v>
      </x:c>
      <x:c r="E208" s="5" t="str">
        <x:v>탭</x:v>
      </x:c>
      <x:c r="F208" s="5" t="str">
        <x:v>사용성 가이드라인</x:v>
      </x:c>
      <x:c r="G208" s="5" t="str">
        <x:v>04</x:v>
      </x:c>
      <x:c r="H208" s="5" t="n">
        <x:v>448</x:v>
      </x:c>
      <x:c r="I208" s="5" t="n">
        <x:v>448</x:v>
      </x:c>
      <x:c r="J208" s="5" t="str">
        <x:v>452</x:v>
      </x:c>
      <x:c r="K208" s="5" t="str">
        <x:v>여러 개의 탭을 중첩하는 경우, 서로 다른 수준의 탭이 명확하게 구분되도록 표현한다.</x:v>
      </x:c>
      <x:c r="L208" s="5" t="str">
        <x:v>원문 세부기준</x:v>
      </x:c>
      <x:c r="M208" s="5" t="str">
        <x:v>추출 후 기본 구조 검토; 원문 적용수준·전체 맥락 재확인 필요</x:v>
      </x:c>
      <x:c r="N208" s="5" t="str">
        <x:v>UI-036</x:v>
      </x:c>
      <x:c r="O208" s="5" t="str">
        <x:v>자동 추출 후보 / 공식 전수 체크리스트 아님</x:v>
      </x:c>
    </x:row>
    <x:row r="209" ht="15" hidden="0" customHeight="1">
      <x:c r="A209" s="5" t="str">
        <x:v>KRDS-SEC-037-U-05</x:v>
      </x:c>
      <x:c r="B209" s="5" t="str">
        <x:v>KRDS-SEC-037</x:v>
      </x:c>
      <x:c r="C209" s="5" t="str">
        <x:v>컴포넌트</x:v>
      </x:c>
      <x:c r="D209" s="5" t="str">
        <x:v>레이아웃·표현</x:v>
      </x:c>
      <x:c r="E209" s="5" t="str">
        <x:v>탭</x:v>
      </x:c>
      <x:c r="F209" s="5" t="str">
        <x:v>사용성 가이드라인</x:v>
      </x:c>
      <x:c r="G209" s="5" t="str">
        <x:v>05</x:v>
      </x:c>
      <x:c r="H209" s="5" t="n">
        <x:v>448</x:v>
      </x:c>
      <x:c r="I209" s="5" t="n">
        <x:v>448</x:v>
      </x:c>
      <x:c r="J209" s="5" t="str">
        <x:v>453</x:v>
      </x:c>
      <x:c r="K209" s="5" t="str">
        <x:v>수직 탭은 탭을 수평으로 배치하기 어려운 경우에 사용한다.</x:v>
      </x:c>
      <x:c r="L209" s="5" t="str">
        <x:v>원문 세부기준</x:v>
      </x:c>
      <x:c r="M209" s="5" t="str">
        <x:v>추출 후 기본 구조 검토; 원문 적용수준·전체 맥락 재확인 필요</x:v>
      </x:c>
      <x:c r="N209" s="5" t="str">
        <x:v>UI-036</x:v>
      </x:c>
      <x:c r="O209" s="5" t="str">
        <x:v>자동 추출 후보 / 공식 전수 체크리스트 아님</x:v>
      </x:c>
    </x:row>
    <x:row r="210" ht="15" hidden="0" customHeight="1">
      <x:c r="A210" s="5" t="str">
        <x:v>KRDS-SEC-037-U-06</x:v>
      </x:c>
      <x:c r="B210" s="5" t="str">
        <x:v>KRDS-SEC-037</x:v>
      </x:c>
      <x:c r="C210" s="5" t="str">
        <x:v>컴포넌트</x:v>
      </x:c>
      <x:c r="D210" s="5" t="str">
        <x:v>레이아웃·표현</x:v>
      </x:c>
      <x:c r="E210" s="5" t="str">
        <x:v>탭</x:v>
      </x:c>
      <x:c r="F210" s="5" t="str">
        <x:v>사용성 가이드라인</x:v>
      </x:c>
      <x:c r="G210" s="5" t="str">
        <x:v>06</x:v>
      </x:c>
      <x:c r="H210" s="5" t="n">
        <x:v>448</x:v>
      </x:c>
      <x:c r="I210" s="5" t="n">
        <x:v>448</x:v>
      </x:c>
      <x:c r="J210" s="5" t="str">
        <x:v>454</x:v>
      </x:c>
      <x:c r="K210" s="5" t="str">
        <x:v>탭의 항목 수가 많아 일렬로 배치하기 어려운 경우 별도의 탐색 컨트롤을 제공한다.</x:v>
      </x:c>
      <x:c r="L210" s="5" t="str">
        <x:v>원문 세부기준</x:v>
      </x:c>
      <x:c r="M210" s="5" t="str">
        <x:v>추출 후 기본 구조 검토; 원문 적용수준·전체 맥락 재확인 필요</x:v>
      </x:c>
      <x:c r="N210" s="5" t="str">
        <x:v>UI-036</x:v>
      </x:c>
      <x:c r="O210" s="5" t="str">
        <x:v>자동 추출 후보 / 공식 전수 체크리스트 아님</x:v>
      </x:c>
    </x:row>
    <x:row r="211" ht="15" hidden="0" customHeight="1">
      <x:c r="A211" s="5" t="str">
        <x:v>KRDS-SEC-037-A-01</x:v>
      </x:c>
      <x:c r="B211" s="5" t="str">
        <x:v>KRDS-SEC-037</x:v>
      </x:c>
      <x:c r="C211" s="5" t="str">
        <x:v>컴포넌트</x:v>
      </x:c>
      <x:c r="D211" s="5" t="str">
        <x:v>레이아웃·표현</x:v>
      </x:c>
      <x:c r="E211" s="5" t="str">
        <x:v>탭</x:v>
      </x:c>
      <x:c r="F211" s="5" t="str">
        <x:v>접근성 가이드라인</x:v>
      </x:c>
      <x:c r="G211" s="5" t="str">
        <x:v>01</x:v>
      </x:c>
      <x:c r="H211" s="5" t="n">
        <x:v>455</x:v>
      </x:c>
      <x:c r="I211" s="5" t="n">
        <x:v>455</x:v>
      </x:c>
      <x:c r="J211" s="5" t="str"/>
      <x:c r="K211" s="5" t="str">
        <x:v>탭의 선택 상태를 색상으로만 구분하지 않는다.</x:v>
      </x:c>
      <x:c r="L211" s="5" t="str">
        <x:v>원문 세부기준</x:v>
      </x:c>
      <x:c r="M211" s="5" t="str">
        <x:v>추출 후 기본 구조 검토; 원문 적용수준·전체 맥락 재확인 필요</x:v>
      </x:c>
      <x:c r="N211" s="5" t="str">
        <x:v>UI-036</x:v>
      </x:c>
      <x:c r="O211" s="5" t="str">
        <x:v>자동 추출 후보 / 공식 전수 체크리스트 아님</x:v>
      </x:c>
    </x:row>
    <x:row r="212" ht="15" hidden="0" customHeight="1">
      <x:c r="A212" s="5" t="str">
        <x:v>KRDS-SEC-037-A-02</x:v>
      </x:c>
      <x:c r="B212" s="5" t="str">
        <x:v>KRDS-SEC-037</x:v>
      </x:c>
      <x:c r="C212" s="5" t="str">
        <x:v>컴포넌트</x:v>
      </x:c>
      <x:c r="D212" s="5" t="str">
        <x:v>레이아웃·표현</x:v>
      </x:c>
      <x:c r="E212" s="5" t="str">
        <x:v>탭</x:v>
      </x:c>
      <x:c r="F212" s="5" t="str">
        <x:v>접근성 가이드라인</x:v>
      </x:c>
      <x:c r="G212" s="5" t="str">
        <x:v>02</x:v>
      </x:c>
      <x:c r="H212" s="5" t="n">
        <x:v>456</x:v>
      </x:c>
      <x:c r="I212" s="5" t="n">
        <x:v>456</x:v>
      </x:c>
      <x:c r="J212" s="5" t="str"/>
      <x:c r="K212" s="5" t="str">
        <x:v>탭을 키보드로 탐색하고 실행할 수 있도록 한다.</x:v>
      </x:c>
      <x:c r="L212" s="5" t="str">
        <x:v>원문 세부기준</x:v>
      </x:c>
      <x:c r="M212" s="5" t="str">
        <x:v>추출 후 기본 구조 검토; 원문 적용수준·전체 맥락 재확인 필요</x:v>
      </x:c>
      <x:c r="N212" s="5" t="str">
        <x:v>UI-036</x:v>
      </x:c>
      <x:c r="O212" s="5" t="str">
        <x:v>자동 추출 후보 / 공식 전수 체크리스트 아님</x:v>
      </x:c>
    </x:row>
    <x:row r="213" ht="15" hidden="0" customHeight="1">
      <x:c r="A213" s="5" t="str">
        <x:v>KRDS-SEC-037-A-03</x:v>
      </x:c>
      <x:c r="B213" s="5" t="str">
        <x:v>KRDS-SEC-037</x:v>
      </x:c>
      <x:c r="C213" s="5" t="str">
        <x:v>컴포넌트</x:v>
      </x:c>
      <x:c r="D213" s="5" t="str">
        <x:v>레이아웃·표현</x:v>
      </x:c>
      <x:c r="E213" s="5" t="str">
        <x:v>탭</x:v>
      </x:c>
      <x:c r="F213" s="5" t="str">
        <x:v>접근성 가이드라인</x:v>
      </x:c>
      <x:c r="G213" s="5" t="str">
        <x:v>03</x:v>
      </x:c>
      <x:c r="H213" s="5" t="n">
        <x:v>456</x:v>
      </x:c>
      <x:c r="I213" s="5" t="n">
        <x:v>456</x:v>
      </x:c>
      <x:c r="J213" s="5" t="str"/>
      <x:c r="K213" s="5" t="str">
        <x:v>탭의 키보드 초점이 명확하게 표시되도록 한다.</x:v>
      </x:c>
      <x:c r="L213" s="5" t="str">
        <x:v>원문 세부기준</x:v>
      </x:c>
      <x:c r="M213" s="5" t="str">
        <x:v>추출 후 기본 구조 검토; 원문 적용수준·전체 맥락 재확인 필요</x:v>
      </x:c>
      <x:c r="N213" s="5" t="str">
        <x:v>UI-036</x:v>
      </x:c>
      <x:c r="O213" s="5" t="str">
        <x:v>자동 추출 후보 / 공식 전수 체크리스트 아님</x:v>
      </x:c>
    </x:row>
    <x:row r="214" ht="15" hidden="0" customHeight="1">
      <x:c r="A214" s="5" t="str">
        <x:v>KRDS-SEC-037-A-04</x:v>
      </x:c>
      <x:c r="B214" s="5" t="str">
        <x:v>KRDS-SEC-037</x:v>
      </x:c>
      <x:c r="C214" s="5" t="str">
        <x:v>컴포넌트</x:v>
      </x:c>
      <x:c r="D214" s="5" t="str">
        <x:v>레이아웃·표현</x:v>
      </x:c>
      <x:c r="E214" s="5" t="str">
        <x:v>탭</x:v>
      </x:c>
      <x:c r="F214" s="5" t="str">
        <x:v>접근성 가이드라인</x:v>
      </x:c>
      <x:c r="G214" s="5" t="str">
        <x:v>04</x:v>
      </x:c>
      <x:c r="H214" s="5" t="n">
        <x:v>456</x:v>
      </x:c>
      <x:c r="I214" s="5" t="n">
        <x:v>456</x:v>
      </x:c>
      <x:c r="J214" s="5" t="str"/>
      <x:c r="K214" s="5" t="str">
        <x:v>탭의 선택 상태를 스크린 리더로 확인할 수 있도록 한다.</x:v>
      </x:c>
      <x:c r="L214" s="5" t="str">
        <x:v>원문 세부기준</x:v>
      </x:c>
      <x:c r="M214" s="5" t="str">
        <x:v>추출 후 기본 구조 검토; 원문 적용수준·전체 맥락 재확인 필요</x:v>
      </x:c>
      <x:c r="N214" s="5" t="str">
        <x:v>UI-036</x:v>
      </x:c>
      <x:c r="O214" s="5" t="str">
        <x:v>자동 추출 후보 / 공식 전수 체크리스트 아님</x:v>
      </x:c>
    </x:row>
    <x:row r="215" ht="15" hidden="0" customHeight="1">
      <x:c r="A215" s="5" t="str">
        <x:v>KRDS-SEC-037-A-05</x:v>
      </x:c>
      <x:c r="B215" s="5" t="str">
        <x:v>KRDS-SEC-037</x:v>
      </x:c>
      <x:c r="C215" s="5" t="str">
        <x:v>컴포넌트</x:v>
      </x:c>
      <x:c r="D215" s="5" t="str">
        <x:v>레이아웃·표현</x:v>
      </x:c>
      <x:c r="E215" s="5" t="str">
        <x:v>탭</x:v>
      </x:c>
      <x:c r="F215" s="5" t="str">
        <x:v>접근성 가이드라인</x:v>
      </x:c>
      <x:c r="G215" s="5" t="str">
        <x:v>05</x:v>
      </x:c>
      <x:c r="H215" s="5" t="n">
        <x:v>457</x:v>
      </x:c>
      <x:c r="I215" s="5" t="n">
        <x:v>457</x:v>
      </x:c>
      <x:c r="J215" s="5" t="str"/>
      <x:c r="K215" s="5" t="str">
        <x:v>탭과 패널의 역할 및 관계를 스크린 리더로 확인할 수 있도록 한다.</x:v>
      </x:c>
      <x:c r="L215" s="5" t="str">
        <x:v>원문 세부기준</x:v>
      </x:c>
      <x:c r="M215" s="5" t="str">
        <x:v>추출 후 기본 구조 검토; 원문 적용수준·전체 맥락 재확인 필요</x:v>
      </x:c>
      <x:c r="N215" s="5" t="str">
        <x:v>UI-036</x:v>
      </x:c>
      <x:c r="O215" s="5" t="str">
        <x:v>자동 추출 후보 / 공식 전수 체크리스트 아님</x:v>
      </x:c>
    </x:row>
    <x:row r="216" ht="26.399999618530273" hidden="0" customHeight="1">
      <x:c r="A216" s="5" t="str">
        <x:v>KRDS-SEC-038-U-01</x:v>
      </x:c>
      <x:c r="B216" s="5" t="str">
        <x:v>KRDS-SEC-038</x:v>
      </x:c>
      <x:c r="C216" s="5" t="str">
        <x:v>컴포넌트</x:v>
      </x:c>
      <x:c r="D216" s="5" t="str">
        <x:v>레이아웃·표현</x:v>
      </x:c>
      <x:c r="E216" s="5" t="str">
        <x:v>표</x:v>
      </x:c>
      <x:c r="F216" s="5" t="str">
        <x:v>사용성 가이드라인</x:v>
      </x:c>
      <x:c r="G216" s="5" t="str">
        <x:v>01</x:v>
      </x:c>
      <x:c r="H216" s="5" t="n">
        <x:v>462</x:v>
      </x:c>
      <x:c r="I216" s="5" t="n">
        <x:v>462</x:v>
      </x:c>
      <x:c r="J216" s="5" t="str">
        <x:v>463</x:v>
      </x:c>
      <x:c r="K216" s="5" t="str">
        <x:v>표는 데이터 잘림 없이 표시될 수 있는 영역에 사용한다.</x:v>
      </x:c>
      <x:c r="L216" s="5" t="str">
        <x:v>원문 세부기준</x:v>
      </x:c>
      <x:c r="M216" s="5" t="str">
        <x:v>추출 후 기본 구조 검토; 원문 적용수준·전체 맥락 재확인 필요</x:v>
      </x:c>
      <x:c r="N216" s="5" t="str">
        <x:v>UI-037
UI-106</x:v>
      </x:c>
      <x:c r="O216" s="5" t="str">
        <x:v>자동 추출 후보 / 공식 전수 체크리스트 아님</x:v>
      </x:c>
    </x:row>
    <x:row r="217" ht="26.399999618530273" hidden="0" customHeight="1">
      <x:c r="A217" s="5" t="str">
        <x:v>KRDS-SEC-038-U-02</x:v>
      </x:c>
      <x:c r="B217" s="5" t="str">
        <x:v>KRDS-SEC-038</x:v>
      </x:c>
      <x:c r="C217" s="5" t="str">
        <x:v>컴포넌트</x:v>
      </x:c>
      <x:c r="D217" s="5" t="str">
        <x:v>레이아웃·표현</x:v>
      </x:c>
      <x:c r="E217" s="5" t="str">
        <x:v>표</x:v>
      </x:c>
      <x:c r="F217" s="5" t="str">
        <x:v>사용성 가이드라인</x:v>
      </x:c>
      <x:c r="G217" s="5" t="str">
        <x:v>02</x:v>
      </x:c>
      <x:c r="H217" s="5" t="n">
        <x:v>462</x:v>
      </x:c>
      <x:c r="I217" s="5" t="n">
        <x:v>462</x:v>
      </x:c>
      <x:c r="J217" s="5" t="str">
        <x:v>464</x:v>
      </x:c>
      <x:c r="K217" s="5" t="str">
        <x:v>열의 최소 너비는 콘텐츠의 길이를 고려하여 설정한다.</x:v>
      </x:c>
      <x:c r="L217" s="5" t="str">
        <x:v>원문 세부기준</x:v>
      </x:c>
      <x:c r="M217" s="5" t="str">
        <x:v>추출 후 기본 구조 검토; 원문 적용수준·전체 맥락 재확인 필요</x:v>
      </x:c>
      <x:c r="N217" s="5" t="str">
        <x:v>UI-037
UI-106</x:v>
      </x:c>
      <x:c r="O217" s="5" t="str">
        <x:v>자동 추출 후보 / 공식 전수 체크리스트 아님</x:v>
      </x:c>
    </x:row>
    <x:row r="218" ht="26.399999618530273" hidden="0" customHeight="1">
      <x:c r="A218" s="5" t="str">
        <x:v>KRDS-SEC-038-U-03</x:v>
      </x:c>
      <x:c r="B218" s="5" t="str">
        <x:v>KRDS-SEC-038</x:v>
      </x:c>
      <x:c r="C218" s="5" t="str">
        <x:v>컴포넌트</x:v>
      </x:c>
      <x:c r="D218" s="5" t="str">
        <x:v>레이아웃·표현</x:v>
      </x:c>
      <x:c r="E218" s="5" t="str">
        <x:v>표</x:v>
      </x:c>
      <x:c r="F218" s="5" t="str">
        <x:v>사용성 가이드라인</x:v>
      </x:c>
      <x:c r="G218" s="5" t="str">
        <x:v>03</x:v>
      </x:c>
      <x:c r="H218" s="5" t="n">
        <x:v>462</x:v>
      </x:c>
      <x:c r="I218" s="5" t="n">
        <x:v>462</x:v>
      </x:c>
      <x:c r="J218" s="5" t="str">
        <x:v>464</x:v>
      </x:c>
      <x:c r="K218" s="5" t="str">
        <x:v>열 구분선의 사용을 지양한다.</x:v>
      </x:c>
      <x:c r="L218" s="5" t="str">
        <x:v>원문 세부기준</x:v>
      </x:c>
      <x:c r="M218" s="5" t="str">
        <x:v>추출 후 기본 구조 검토; 원문 적용수준·전체 맥락 재확인 필요</x:v>
      </x:c>
      <x:c r="N218" s="5" t="str">
        <x:v>UI-037
UI-106</x:v>
      </x:c>
      <x:c r="O218" s="5" t="str">
        <x:v>자동 추출 후보 / 공식 전수 체크리스트 아님</x:v>
      </x:c>
    </x:row>
    <x:row r="219" ht="26.399999618530273" hidden="0" customHeight="1">
      <x:c r="A219" s="5" t="str">
        <x:v>KRDS-SEC-038-U-04</x:v>
      </x:c>
      <x:c r="B219" s="5" t="str">
        <x:v>KRDS-SEC-038</x:v>
      </x:c>
      <x:c r="C219" s="5" t="str">
        <x:v>컴포넌트</x:v>
      </x:c>
      <x:c r="D219" s="5" t="str">
        <x:v>레이아웃·표현</x:v>
      </x:c>
      <x:c r="E219" s="5" t="str">
        <x:v>표</x:v>
      </x:c>
      <x:c r="F219" s="5" t="str">
        <x:v>사용성 가이드라인</x:v>
      </x:c>
      <x:c r="G219" s="5" t="str">
        <x:v>04</x:v>
      </x:c>
      <x:c r="H219" s="5" t="n">
        <x:v>462</x:v>
      </x:c>
      <x:c r="I219" s="5" t="n">
        <x:v>462</x:v>
      </x:c>
      <x:c r="J219" s="5" t="str">
        <x:v>464</x:v>
      </x:c>
      <x:c r="K219" s="5" t="str">
        <x:v>양적 데이터를 전달하기 위한 숫자는 오른쪽으로 정렬한다.</x:v>
      </x:c>
      <x:c r="L219" s="5" t="str">
        <x:v>원문 세부기준</x:v>
      </x:c>
      <x:c r="M219" s="5" t="str">
        <x:v>추출 후 기본 구조 검토; 원문 적용수준·전체 맥락 재확인 필요</x:v>
      </x:c>
      <x:c r="N219" s="5" t="str">
        <x:v>UI-037
UI-106</x:v>
      </x:c>
      <x:c r="O219" s="5" t="str">
        <x:v>자동 추출 후보 / 공식 전수 체크리스트 아님</x:v>
      </x:c>
    </x:row>
    <x:row r="220" ht="26.399999618530273" hidden="0" customHeight="1">
      <x:c r="A220" s="5" t="str">
        <x:v>KRDS-SEC-038-U-05</x:v>
      </x:c>
      <x:c r="B220" s="5" t="str">
        <x:v>KRDS-SEC-038</x:v>
      </x:c>
      <x:c r="C220" s="5" t="str">
        <x:v>컴포넌트</x:v>
      </x:c>
      <x:c r="D220" s="5" t="str">
        <x:v>레이아웃·표현</x:v>
      </x:c>
      <x:c r="E220" s="5" t="str">
        <x:v>표</x:v>
      </x:c>
      <x:c r="F220" s="5" t="str">
        <x:v>사용성 가이드라인</x:v>
      </x:c>
      <x:c r="G220" s="5" t="str">
        <x:v>05</x:v>
      </x:c>
      <x:c r="H220" s="5" t="n">
        <x:v>462</x:v>
      </x:c>
      <x:c r="I220" s="5" t="n">
        <x:v>462</x:v>
      </x:c>
      <x:c r="J220" s="5" t="str">
        <x:v>465</x:v>
      </x:c>
      <x:c r="K220" s="5" t="str">
        <x:v>텍스트 데이터, 명목 데이터는 왼쪽으로 정렬한다.</x:v>
      </x:c>
      <x:c r="L220" s="5" t="str">
        <x:v>원문 세부기준</x:v>
      </x:c>
      <x:c r="M220" s="5" t="str">
        <x:v>추출 후 기본 구조 검토; 원문 적용수준·전체 맥락 재확인 필요</x:v>
      </x:c>
      <x:c r="N220" s="5" t="str">
        <x:v>UI-037
UI-106</x:v>
      </x:c>
      <x:c r="O220" s="5" t="str">
        <x:v>자동 추출 후보 / 공식 전수 체크리스트 아님</x:v>
      </x:c>
    </x:row>
    <x:row r="221" ht="26.399999618530273" hidden="0" customHeight="1">
      <x:c r="A221" s="5" t="str">
        <x:v>KRDS-SEC-038-U-06</x:v>
      </x:c>
      <x:c r="B221" s="5" t="str">
        <x:v>KRDS-SEC-038</x:v>
      </x:c>
      <x:c r="C221" s="5" t="str">
        <x:v>컴포넌트</x:v>
      </x:c>
      <x:c r="D221" s="5" t="str">
        <x:v>레이아웃·표현</x:v>
      </x:c>
      <x:c r="E221" s="5" t="str">
        <x:v>표</x:v>
      </x:c>
      <x:c r="F221" s="5" t="str">
        <x:v>사용성 가이드라인</x:v>
      </x:c>
      <x:c r="G221" s="5" t="str">
        <x:v>06</x:v>
      </x:c>
      <x:c r="H221" s="5" t="n">
        <x:v>462</x:v>
      </x:c>
      <x:c r="I221" s="5" t="n">
        <x:v>462</x:v>
      </x:c>
      <x:c r="J221" s="5" t="str">
        <x:v>465</x:v>
      </x:c>
      <x:c r="K221" s="5" t="str">
        <x:v>열의 개수를 최소화한다.</x:v>
      </x:c>
      <x:c r="L221" s="5" t="str">
        <x:v>원문 세부기준</x:v>
      </x:c>
      <x:c r="M221" s="5" t="str">
        <x:v>추출 후 기본 구조 검토; 원문 적용수준·전체 맥락 재확인 필요</x:v>
      </x:c>
      <x:c r="N221" s="5" t="str">
        <x:v>UI-037
UI-106</x:v>
      </x:c>
      <x:c r="O221" s="5" t="str">
        <x:v>자동 추출 후보 / 공식 전수 체크리스트 아님</x:v>
      </x:c>
    </x:row>
    <x:row r="222" ht="26.399999618530273" hidden="0" customHeight="1">
      <x:c r="A222" s="5" t="str">
        <x:v>KRDS-SEC-038-U-07</x:v>
      </x:c>
      <x:c r="B222" s="5" t="str">
        <x:v>KRDS-SEC-038</x:v>
      </x:c>
      <x:c r="C222" s="5" t="str">
        <x:v>컴포넌트</x:v>
      </x:c>
      <x:c r="D222" s="5" t="str">
        <x:v>레이아웃·표현</x:v>
      </x:c>
      <x:c r="E222" s="5" t="str">
        <x:v>표</x:v>
      </x:c>
      <x:c r="F222" s="5" t="str">
        <x:v>사용성 가이드라인</x:v>
      </x:c>
      <x:c r="G222" s="5" t="str">
        <x:v>07</x:v>
      </x:c>
      <x:c r="H222" s="5" t="n">
        <x:v>462</x:v>
      </x:c>
      <x:c r="I222" s="5" t="n">
        <x:v>462</x:v>
      </x:c>
      <x:c r="J222" s="5" t="str">
        <x:v>465</x:v>
      </x:c>
      <x:c r="K222" s="5" t="str">
        <x:v>사용자가 원하는 대로 데이터를 정렬할 수 있는 기능을 제공한다.</x:v>
      </x:c>
      <x:c r="L222" s="5" t="str">
        <x:v>원문 세부기준</x:v>
      </x:c>
      <x:c r="M222" s="5" t="str">
        <x:v>추출 후 기본 구조 검토; 원문 적용수준·전체 맥락 재확인 필요</x:v>
      </x:c>
      <x:c r="N222" s="5" t="str">
        <x:v>UI-037
UI-106</x:v>
      </x:c>
      <x:c r="O222" s="5" t="str">
        <x:v>자동 추출 후보 / 공식 전수 체크리스트 아님</x:v>
      </x:c>
    </x:row>
    <x:row r="223" ht="26.399999618530273" hidden="0" customHeight="1">
      <x:c r="A223" s="5" t="str">
        <x:v>KRDS-SEC-038-U-08</x:v>
      </x:c>
      <x:c r="B223" s="5" t="str">
        <x:v>KRDS-SEC-038</x:v>
      </x:c>
      <x:c r="C223" s="5" t="str">
        <x:v>컴포넌트</x:v>
      </x:c>
      <x:c r="D223" s="5" t="str">
        <x:v>레이아웃·표현</x:v>
      </x:c>
      <x:c r="E223" s="5" t="str">
        <x:v>표</x:v>
      </x:c>
      <x:c r="F223" s="5" t="str">
        <x:v>사용성 가이드라인</x:v>
      </x:c>
      <x:c r="G223" s="5" t="str">
        <x:v>08</x:v>
      </x:c>
      <x:c r="H223" s="5" t="n">
        <x:v>462</x:v>
      </x:c>
      <x:c r="I223" s="5" t="n">
        <x:v>462</x:v>
      </x:c>
      <x:c r="J223" s="5" t="str">
        <x:v>466</x:v>
      </x:c>
      <x:c r="K223" s="5" t="str">
        <x:v>데이터값이 존재하지 않는 경우 셀을 비워두지 않고 대시(-)를 제공한다.</x:v>
      </x:c>
      <x:c r="L223" s="5" t="str">
        <x:v>원문 세부기준</x:v>
      </x:c>
      <x:c r="M223" s="5" t="str">
        <x:v>추출 후 기본 구조 검토; 원문 적용수준·전체 맥락 재확인 필요</x:v>
      </x:c>
      <x:c r="N223" s="5" t="str">
        <x:v>UI-037
UI-106</x:v>
      </x:c>
      <x:c r="O223" s="5" t="str">
        <x:v>자동 추출 후보 / 공식 전수 체크리스트 아님</x:v>
      </x:c>
    </x:row>
    <x:row r="224" ht="26.399999618530273" hidden="0" customHeight="1">
      <x:c r="A224" s="5" t="str">
        <x:v>KRDS-SEC-038-P-01</x:v>
      </x:c>
      <x:c r="B224" s="5" t="str">
        <x:v>KRDS-SEC-038</x:v>
      </x:c>
      <x:c r="C224" s="5" t="str">
        <x:v>컴포넌트</x:v>
      </x:c>
      <x:c r="D224" s="5" t="str">
        <x:v>레이아웃·표현</x:v>
      </x:c>
      <x:c r="E224" s="5" t="str">
        <x:v>표</x:v>
      </x:c>
      <x:c r="F224" s="5" t="str">
        <x:v>플랫폼에 대한 고려 사항</x:v>
      </x:c>
      <x:c r="G224" s="5" t="str">
        <x:v>01</x:v>
      </x:c>
      <x:c r="H224" s="5" t="n">
        <x:v>467</x:v>
      </x:c>
      <x:c r="I224" s="5" t="n">
        <x:v>467</x:v>
      </x:c>
      <x:c r="J224" s="5" t="str"/>
      <x:c r="K224" s="5" t="str">
        <x:v>화면 너비가 충분하지 않은 경우 데이터의 배열 방식의 변경을 고려한다.</x:v>
      </x:c>
      <x:c r="L224" s="5" t="str">
        <x:v>원문 세부기준</x:v>
      </x:c>
      <x:c r="M224" s="5" t="str">
        <x:v>추출 후 기본 구조 검토; 원문 적용수준·전체 맥락 재확인 필요</x:v>
      </x:c>
      <x:c r="N224" s="5" t="str">
        <x:v>UI-037
UI-106</x:v>
      </x:c>
      <x:c r="O224" s="5" t="str">
        <x:v>자동 추출 후보 / 공식 전수 체크리스트 아님</x:v>
      </x:c>
    </x:row>
    <x:row r="225" ht="26.399999618530273" hidden="0" customHeight="1">
      <x:c r="A225" s="5" t="str">
        <x:v>KRDS-SEC-038-P-02</x:v>
      </x:c>
      <x:c r="B225" s="5" t="str">
        <x:v>KRDS-SEC-038</x:v>
      </x:c>
      <x:c r="C225" s="5" t="str">
        <x:v>컴포넌트</x:v>
      </x:c>
      <x:c r="D225" s="5" t="str">
        <x:v>레이아웃·표현</x:v>
      </x:c>
      <x:c r="E225" s="5" t="str">
        <x:v>표</x:v>
      </x:c>
      <x:c r="F225" s="5" t="str">
        <x:v>플랫폼에 대한 고려 사항</x:v>
      </x:c>
      <x:c r="G225" s="5" t="str">
        <x:v>02</x:v>
      </x:c>
      <x:c r="H225" s="5" t="n">
        <x:v>468</x:v>
      </x:c>
      <x:c r="I225" s="5" t="n">
        <x:v>468</x:v>
      </x:c>
      <x:c r="J225" s="5" t="str"/>
      <x:c r="K225" s="5" t="str">
        <x:v>화면 너비가 충분하지 않은 경우 표 영역에 가로 스크롤을 사용하는 방안을 고려한다.</x:v>
      </x:c>
      <x:c r="L225" s="5" t="str">
        <x:v>원문 세부기준</x:v>
      </x:c>
      <x:c r="M225" s="5" t="str">
        <x:v>추출 후 기본 구조 검토; 원문 적용수준·전체 맥락 재확인 필요</x:v>
      </x:c>
      <x:c r="N225" s="5" t="str">
        <x:v>UI-037
UI-106</x:v>
      </x:c>
      <x:c r="O225" s="5" t="str">
        <x:v>자동 추출 후보 / 공식 전수 체크리스트 아님</x:v>
      </x:c>
    </x:row>
    <x:row r="226" ht="26.399999618530273" hidden="0" customHeight="1">
      <x:c r="A226" s="5" t="str">
        <x:v>KRDS-SEC-038-A-01</x:v>
      </x:c>
      <x:c r="B226" s="5" t="str">
        <x:v>KRDS-SEC-038</x:v>
      </x:c>
      <x:c r="C226" s="5" t="str">
        <x:v>컴포넌트</x:v>
      </x:c>
      <x:c r="D226" s="5" t="str">
        <x:v>레이아웃·표현</x:v>
      </x:c>
      <x:c r="E226" s="5" t="str">
        <x:v>표</x:v>
      </x:c>
      <x:c r="F226" s="5" t="str">
        <x:v>접근성 가이드라인</x:v>
      </x:c>
      <x:c r="G226" s="5" t="str">
        <x:v>01</x:v>
      </x:c>
      <x:c r="H226" s="5" t="n">
        <x:v>469</x:v>
      </x:c>
      <x:c r="I226" s="5" t="n">
        <x:v>469</x:v>
      </x:c>
      <x:c r="J226" s="5" t="str"/>
      <x:c r="K226" s="5" t="str">
        <x:v>데이터의 구조를 적절하게 반영하여 마크업한다.</x:v>
      </x:c>
      <x:c r="L226" s="5" t="str">
        <x:v>원문 세부기준</x:v>
      </x:c>
      <x:c r="M226" s="5" t="str">
        <x:v>추출 후 기본 구조 검토; 원문 적용수준·전체 맥락 재확인 필요</x:v>
      </x:c>
      <x:c r="N226" s="5" t="str">
        <x:v>UI-037
UI-106</x:v>
      </x:c>
      <x:c r="O226" s="5" t="str">
        <x:v>자동 추출 후보 / 공식 전수 체크리스트 아님</x:v>
      </x:c>
    </x:row>
    <x:row r="227" ht="26.399999618530273" hidden="0" customHeight="1">
      <x:c r="A227" s="5" t="str">
        <x:v>KRDS-SEC-038-A-02</x:v>
      </x:c>
      <x:c r="B227" s="5" t="str">
        <x:v>KRDS-SEC-038</x:v>
      </x:c>
      <x:c r="C227" s="5" t="str">
        <x:v>컴포넌트</x:v>
      </x:c>
      <x:c r="D227" s="5" t="str">
        <x:v>레이아웃·표현</x:v>
      </x:c>
      <x:c r="E227" s="5" t="str">
        <x:v>표</x:v>
      </x:c>
      <x:c r="F227" s="5" t="str">
        <x:v>접근성 가이드라인</x:v>
      </x:c>
      <x:c r="G227" s="5" t="str">
        <x:v>02</x:v>
      </x:c>
      <x:c r="H227" s="5" t="n">
        <x:v>469</x:v>
      </x:c>
      <x:c r="I227" s="5" t="n">
        <x:v>469</x:v>
      </x:c>
      <x:c r="J227" s="5" t="str"/>
      <x:c r="K227" s="5" t="str">
        <x:v>가로 스크롤이 필요한 경우 단순한 동작으로 스크롤 위치를 조정할 수 있도록 한다.</x:v>
      </x:c>
      <x:c r="L227" s="5" t="str">
        <x:v>원문 세부기준</x:v>
      </x:c>
      <x:c r="M227" s="5" t="str">
        <x:v>추출 후 기본 구조 검토; 원문 적용수준·전체 맥락 재확인 필요</x:v>
      </x:c>
      <x:c r="N227" s="5" t="str">
        <x:v>UI-037
UI-106</x:v>
      </x:c>
      <x:c r="O227" s="5" t="str">
        <x:v>자동 추출 후보 / 공식 전수 체크리스트 아님</x:v>
      </x:c>
    </x:row>
    <x:row r="228" ht="15" hidden="0" customHeight="1">
      <x:c r="A228" s="5" t="str">
        <x:v>KRDS-SEC-039-U-01</x:v>
      </x:c>
      <x:c r="B228" s="5" t="str">
        <x:v>KRDS-SEC-039</x:v>
      </x:c>
      <x:c r="C228" s="5" t="str">
        <x:v>컴포넌트</x:v>
      </x:c>
      <x:c r="D228" s="5" t="str">
        <x:v>레이아웃·표현</x:v>
      </x:c>
      <x:c r="E228" s="5" t="str">
        <x:v>스플래시 스크린</x:v>
      </x:c>
      <x:c r="F228" s="5" t="str">
        <x:v>사용성 가이드라인</x:v>
      </x:c>
      <x:c r="G228" s="5" t="str">
        <x:v>01</x:v>
      </x:c>
      <x:c r="H228" s="5" t="n">
        <x:v>474</x:v>
      </x:c>
      <x:c r="I228" s="5" t="n">
        <x:v>474</x:v>
      </x:c>
      <x:c r="J228" s="5" t="str">
        <x:v>475</x:v>
      </x:c>
      <x:c r="K228" s="5" t="str">
        <x:v>운영체제의 기본 스플래시 스크린을 활용한다.</x:v>
      </x:c>
      <x:c r="L228" s="5" t="str">
        <x:v>원문 세부기준</x:v>
      </x:c>
      <x:c r="M228" s="5" t="str">
        <x:v>추출 후 기본 구조 검토; 원문 적용수준·전체 맥락 재확인 필요</x:v>
      </x:c>
      <x:c r="N228" s="5" t="str">
        <x:v>UI-038</x:v>
      </x:c>
      <x:c r="O228" s="5" t="str">
        <x:v>자동 추출 후보 / 공식 전수 체크리스트 아님</x:v>
      </x:c>
    </x:row>
    <x:row r="229" ht="15" hidden="0" customHeight="1">
      <x:c r="A229" s="5" t="str">
        <x:v>KRDS-SEC-039-U-02</x:v>
      </x:c>
      <x:c r="B229" s="5" t="str">
        <x:v>KRDS-SEC-039</x:v>
      </x:c>
      <x:c r="C229" s="5" t="str">
        <x:v>컴포넌트</x:v>
      </x:c>
      <x:c r="D229" s="5" t="str">
        <x:v>레이아웃·표현</x:v>
      </x:c>
      <x:c r="E229" s="5" t="str">
        <x:v>스플래시 스크린</x:v>
      </x:c>
      <x:c r="F229" s="5" t="str">
        <x:v>사용성 가이드라인</x:v>
      </x:c>
      <x:c r="G229" s="5" t="str">
        <x:v>02</x:v>
      </x:c>
      <x:c r="H229" s="5" t="n">
        <x:v>474</x:v>
      </x:c>
      <x:c r="I229" s="5" t="n">
        <x:v>474</x:v>
      </x:c>
      <x:c r="J229" s="5" t="str">
        <x:v>476</x:v>
      </x:c>
      <x:c r="K229" s="5" t="str">
        <x:v>디자인 테마별로 최적화된 스플래시 스크린 제공을 고려한다.</x:v>
      </x:c>
      <x:c r="L229" s="5" t="str">
        <x:v>원문 세부기준</x:v>
      </x:c>
      <x:c r="M229" s="5" t="str">
        <x:v>추출 후 기본 구조 검토; 원문 적용수준·전체 맥락 재확인 필요</x:v>
      </x:c>
      <x:c r="N229" s="5" t="str">
        <x:v>UI-038</x:v>
      </x:c>
      <x:c r="O229" s="5" t="str">
        <x:v>자동 추출 후보 / 공식 전수 체크리스트 아님</x:v>
      </x:c>
    </x:row>
    <x:row r="230" ht="15" hidden="0" customHeight="1">
      <x:c r="A230" s="5" t="str">
        <x:v>KRDS-SEC-039-U-03</x:v>
      </x:c>
      <x:c r="B230" s="5" t="str">
        <x:v>KRDS-SEC-039</x:v>
      </x:c>
      <x:c r="C230" s="5" t="str">
        <x:v>컴포넌트</x:v>
      </x:c>
      <x:c r="D230" s="5" t="str">
        <x:v>레이아웃·표현</x:v>
      </x:c>
      <x:c r="E230" s="5" t="str">
        <x:v>스플래시 스크린</x:v>
      </x:c>
      <x:c r="F230" s="5" t="str">
        <x:v>사용성 가이드라인</x:v>
      </x:c>
      <x:c r="G230" s="5" t="str">
        <x:v>03</x:v>
      </x:c>
      <x:c r="H230" s="5" t="n">
        <x:v>474</x:v>
      </x:c>
      <x:c r="I230" s="5" t="n">
        <x:v>474</x:v>
      </x:c>
      <x:c r="J230" s="5" t="str">
        <x:v>478</x:v>
      </x:c>
      <x:c r="K230" s="5" t="str">
        <x:v>운영체제와 운영체제의 버전에 상관없이 일관성 있는 시작 경험을 제공한다.</x:v>
      </x:c>
      <x:c r="L230" s="5" t="str">
        <x:v>원문 세부기준</x:v>
      </x:c>
      <x:c r="M230" s="5" t="str">
        <x:v>추출 후 기본 구조 검토; 원문 적용수준·전체 맥락 재확인 필요</x:v>
      </x:c>
      <x:c r="N230" s="5" t="str">
        <x:v>UI-038</x:v>
      </x:c>
      <x:c r="O230" s="5" t="str">
        <x:v>자동 추출 후보 / 공식 전수 체크리스트 아님</x:v>
      </x:c>
    </x:row>
    <x:row r="231" ht="15" hidden="0" customHeight="1">
      <x:c r="A231" s="5" t="str">
        <x:v>KRDS-SEC-039-U-04</x:v>
      </x:c>
      <x:c r="B231" s="5" t="str">
        <x:v>KRDS-SEC-039</x:v>
      </x:c>
      <x:c r="C231" s="5" t="str">
        <x:v>컴포넌트</x:v>
      </x:c>
      <x:c r="D231" s="5" t="str">
        <x:v>레이아웃·표현</x:v>
      </x:c>
      <x:c r="E231" s="5" t="str">
        <x:v>스플래시 스크린</x:v>
      </x:c>
      <x:c r="F231" s="5" t="str">
        <x:v>사용성 가이드라인</x:v>
      </x:c>
      <x:c r="G231" s="5" t="str">
        <x:v>04</x:v>
      </x:c>
      <x:c r="H231" s="5" t="n">
        <x:v>474</x:v>
      </x:c>
      <x:c r="I231" s="5" t="n">
        <x:v>474</x:v>
      </x:c>
      <x:c r="J231" s="5" t="str">
        <x:v>480</x:v>
      </x:c>
      <x:c r="K231" s="5" t="str">
        <x:v>앱 실행이 길어질 경우 상태를 보여줄 수 있는 피드백을 제공한다.</x:v>
      </x:c>
      <x:c r="L231" s="5" t="str">
        <x:v>원문 세부기준</x:v>
      </x:c>
      <x:c r="M231" s="5" t="str">
        <x:v>추출 후 기본 구조 검토; 원문 적용수준·전체 맥락 재확인 필요</x:v>
      </x:c>
      <x:c r="N231" s="5" t="str">
        <x:v>UI-038</x:v>
      </x:c>
      <x:c r="O231" s="5" t="str">
        <x:v>자동 추출 후보 / 공식 전수 체크리스트 아님</x:v>
      </x:c>
    </x:row>
    <x:row r="232" ht="15" hidden="0" customHeight="1">
      <x:c r="A232" s="5" t="str">
        <x:v>KRDS-SEC-039-U-05</x:v>
      </x:c>
      <x:c r="B232" s="5" t="str">
        <x:v>KRDS-SEC-039</x:v>
      </x:c>
      <x:c r="C232" s="5" t="str">
        <x:v>컴포넌트</x:v>
      </x:c>
      <x:c r="D232" s="5" t="str">
        <x:v>레이아웃·표현</x:v>
      </x:c>
      <x:c r="E232" s="5" t="str">
        <x:v>스플래시 스크린</x:v>
      </x:c>
      <x:c r="F232" s="5" t="str">
        <x:v>사용성 가이드라인</x:v>
      </x:c>
      <x:c r="G232" s="5" t="str">
        <x:v>05</x:v>
      </x:c>
      <x:c r="H232" s="5" t="n">
        <x:v>474</x:v>
      </x:c>
      <x:c r="I232" s="5" t="n">
        <x:v>474</x:v>
      </x:c>
      <x:c r="J232" s="5" t="str">
        <x:v>481</x:v>
      </x:c>
      <x:c r="K232" s="5" t="str">
        <x:v>스플래시 스크린에 텍스트 사용을 최소화한다.</x:v>
      </x:c>
      <x:c r="L232" s="5" t="str">
        <x:v>원문 세부기준</x:v>
      </x:c>
      <x:c r="M232" s="5" t="str">
        <x:v>추출 후 기본 구조 검토; 원문 적용수준·전체 맥락 재확인 필요</x:v>
      </x:c>
      <x:c r="N232" s="5" t="str">
        <x:v>UI-038</x:v>
      </x:c>
      <x:c r="O232" s="5" t="str">
        <x:v>자동 추출 후보 / 공식 전수 체크리스트 아님</x:v>
      </x:c>
    </x:row>
    <x:row r="233" ht="15" hidden="0" customHeight="1">
      <x:c r="A233" s="5" t="str">
        <x:v>KRDS-SEC-039-U-06</x:v>
      </x:c>
      <x:c r="B233" s="5" t="str">
        <x:v>KRDS-SEC-039</x:v>
      </x:c>
      <x:c r="C233" s="5" t="str">
        <x:v>컴포넌트</x:v>
      </x:c>
      <x:c r="D233" s="5" t="str">
        <x:v>레이아웃·표현</x:v>
      </x:c>
      <x:c r="E233" s="5" t="str">
        <x:v>스플래시 스크린</x:v>
      </x:c>
      <x:c r="F233" s="5" t="str">
        <x:v>사용성 가이드라인</x:v>
      </x:c>
      <x:c r="G233" s="5" t="str">
        <x:v>06</x:v>
      </x:c>
      <x:c r="H233" s="5" t="n">
        <x:v>474</x:v>
      </x:c>
      <x:c r="I233" s="5" t="n">
        <x:v>474</x:v>
      </x:c>
      <x:c r="J233" s="5" t="str">
        <x:v>482</x:v>
      </x:c>
      <x:c r="K233" s="5" t="str">
        <x:v>스플래시 스크린의 노출 시간을 임의로 조정하지 않는다.</x:v>
      </x:c>
      <x:c r="L233" s="5" t="str">
        <x:v>원문 세부기준</x:v>
      </x:c>
      <x:c r="M233" s="5" t="str">
        <x:v>추출 후 기본 구조 검토; 원문 적용수준·전체 맥락 재확인 필요</x:v>
      </x:c>
      <x:c r="N233" s="5" t="str">
        <x:v>UI-038</x:v>
      </x:c>
      <x:c r="O233" s="5" t="str">
        <x:v>자동 추출 후보 / 공식 전수 체크리스트 아님</x:v>
      </x:c>
    </x:row>
    <x:row r="234" ht="15" hidden="0" customHeight="1">
      <x:c r="A234" s="5" t="str">
        <x:v>KRDS-SEC-040-U-01</x:v>
      </x:c>
      <x:c r="B234" s="5" t="str">
        <x:v>KRDS-SEC-040</x:v>
      </x:c>
      <x:c r="C234" s="5" t="str">
        <x:v>컴포넌트</x:v>
      </x:c>
      <x:c r="D234" s="5" t="str">
        <x:v>레이아웃·표현</x:v>
      </x:c>
      <x:c r="E234" s="5" t="str">
        <x:v>텍스트 목록</x:v>
      </x:c>
      <x:c r="F234" s="5" t="str">
        <x:v>사용성 가이드라인</x:v>
      </x:c>
      <x:c r="G234" s="5" t="str">
        <x:v>01</x:v>
      </x:c>
      <x:c r="H234" s="5" t="n">
        <x:v>487</x:v>
      </x:c>
      <x:c r="I234" s="5" t="n">
        <x:v>487</x:v>
      </x:c>
      <x:c r="J234" s="5" t="str">
        <x:v>488</x:v>
      </x:c>
      <x:c r="K234" s="5" t="str">
        <x:v>콘텐츠에 적합한 유형의 목록을 사용한다.</x:v>
      </x:c>
      <x:c r="L234" s="5" t="str">
        <x:v>원문 세부기준</x:v>
      </x:c>
      <x:c r="M234" s="5" t="str">
        <x:v>추출 후 기본 구조 검토; 원문 적용수준·전체 맥락 재확인 필요</x:v>
      </x:c>
      <x:c r="N234" s="5" t="str">
        <x:v>UI-039</x:v>
      </x:c>
      <x:c r="O234" s="5" t="str">
        <x:v>자동 추출 후보 / 공식 전수 체크리스트 아님</x:v>
      </x:c>
    </x:row>
    <x:row r="235" ht="15" hidden="0" customHeight="1">
      <x:c r="A235" s="5" t="str">
        <x:v>KRDS-SEC-040-U-02</x:v>
      </x:c>
      <x:c r="B235" s="5" t="str">
        <x:v>KRDS-SEC-040</x:v>
      </x:c>
      <x:c r="C235" s="5" t="str">
        <x:v>컴포넌트</x:v>
      </x:c>
      <x:c r="D235" s="5" t="str">
        <x:v>레이아웃·표현</x:v>
      </x:c>
      <x:c r="E235" s="5" t="str">
        <x:v>텍스트 목록</x:v>
      </x:c>
      <x:c r="F235" s="5" t="str">
        <x:v>사용성 가이드라인</x:v>
      </x:c>
      <x:c r="G235" s="5" t="str">
        <x:v>02</x:v>
      </x:c>
      <x:c r="H235" s="5" t="n">
        <x:v>487</x:v>
      </x:c>
      <x:c r="I235" s="5" t="n">
        <x:v>487</x:v>
      </x:c>
      <x:c r="J235" s="5" t="str">
        <x:v>489</x:v>
      </x:c>
      <x:c r="K235" s="5" t="str">
        <x:v>동일한 수준의 항목은 일관된 어투로 작성한다.</x:v>
      </x:c>
      <x:c r="L235" s="5" t="str">
        <x:v>원문 세부기준</x:v>
      </x:c>
      <x:c r="M235" s="5" t="str">
        <x:v>추출 후 기본 구조 검토; 원문 적용수준·전체 맥락 재확인 필요</x:v>
      </x:c>
      <x:c r="N235" s="5" t="str">
        <x:v>UI-039</x:v>
      </x:c>
      <x:c r="O235" s="5" t="str">
        <x:v>자동 추출 후보 / 공식 전수 체크리스트 아님</x:v>
      </x:c>
    </x:row>
    <x:row r="236" ht="15" hidden="0" customHeight="1">
      <x:c r="A236" s="5" t="str">
        <x:v>KRDS-SEC-040-U-03</x:v>
      </x:c>
      <x:c r="B236" s="5" t="str">
        <x:v>KRDS-SEC-040</x:v>
      </x:c>
      <x:c r="C236" s="5" t="str">
        <x:v>컴포넌트</x:v>
      </x:c>
      <x:c r="D236" s="5" t="str">
        <x:v>레이아웃·표현</x:v>
      </x:c>
      <x:c r="E236" s="5" t="str">
        <x:v>텍스트 목록</x:v>
      </x:c>
      <x:c r="F236" s="5" t="str">
        <x:v>사용성 가이드라인</x:v>
      </x:c>
      <x:c r="G236" s="5" t="str">
        <x:v>03</x:v>
      </x:c>
      <x:c r="H236" s="5" t="n">
        <x:v>487</x:v>
      </x:c>
      <x:c r="I236" s="5" t="n">
        <x:v>487</x:v>
      </x:c>
      <x:c r="J236" s="5" t="str">
        <x:v>490</x:v>
      </x:c>
      <x:c r="K236" s="5" t="str">
        <x:v>문장 형식에 적합한 종결 부호를 사용한다.</x:v>
      </x:c>
      <x:c r="L236" s="5" t="str">
        <x:v>원문 세부기준</x:v>
      </x:c>
      <x:c r="M236" s="5" t="str">
        <x:v>추출 후 기본 구조 검토; 원문 적용수준·전체 맥락 재확인 필요</x:v>
      </x:c>
      <x:c r="N236" s="5" t="str">
        <x:v>UI-039</x:v>
      </x:c>
      <x:c r="O236" s="5" t="str">
        <x:v>자동 추출 후보 / 공식 전수 체크리스트 아님</x:v>
      </x:c>
    </x:row>
    <x:row r="237" ht="15" hidden="0" customHeight="1">
      <x:c r="A237" s="5" t="str">
        <x:v>KRDS-SEC-040-U-04</x:v>
      </x:c>
      <x:c r="B237" s="5" t="str">
        <x:v>KRDS-SEC-040</x:v>
      </x:c>
      <x:c r="C237" s="5" t="str">
        <x:v>컴포넌트</x:v>
      </x:c>
      <x:c r="D237" s="5" t="str">
        <x:v>레이아웃·표현</x:v>
      </x:c>
      <x:c r="E237" s="5" t="str">
        <x:v>텍스트 목록</x:v>
      </x:c>
      <x:c r="F237" s="5" t="str">
        <x:v>사용성 가이드라인</x:v>
      </x:c>
      <x:c r="G237" s="5" t="str">
        <x:v>04</x:v>
      </x:c>
      <x:c r="H237" s="5" t="n">
        <x:v>487</x:v>
      </x:c>
      <x:c r="I237" s="5" t="n">
        <x:v>487</x:v>
      </x:c>
      <x:c r="J237" s="5" t="str">
        <x:v>491</x:v>
      </x:c>
      <x:c r="K237" s="5" t="str">
        <x:v>들여쓰기를 활용하여 계층 구조를 명확하게 구분한다.</x:v>
      </x:c>
      <x:c r="L237" s="5" t="str">
        <x:v>원문 세부기준</x:v>
      </x:c>
      <x:c r="M237" s="5" t="str">
        <x:v>추출 후 기본 구조 검토; 원문 적용수준·전체 맥락 재확인 필요</x:v>
      </x:c>
      <x:c r="N237" s="5" t="str">
        <x:v>UI-039</x:v>
      </x:c>
      <x:c r="O237" s="5" t="str">
        <x:v>자동 추출 후보 / 공식 전수 체크리스트 아님</x:v>
      </x:c>
    </x:row>
    <x:row r="238" ht="15" hidden="0" customHeight="1">
      <x:c r="A238" s="5" t="str">
        <x:v>KRDS-SEC-040-U-05</x:v>
      </x:c>
      <x:c r="B238" s="5" t="str">
        <x:v>KRDS-SEC-040</x:v>
      </x:c>
      <x:c r="C238" s="5" t="str">
        <x:v>컴포넌트</x:v>
      </x:c>
      <x:c r="D238" s="5" t="str">
        <x:v>레이아웃·표현</x:v>
      </x:c>
      <x:c r="E238" s="5" t="str">
        <x:v>텍스트 목록</x:v>
      </x:c>
      <x:c r="F238" s="5" t="str">
        <x:v>사용성 가이드라인</x:v>
      </x:c>
      <x:c r="G238" s="5" t="str">
        <x:v>05</x:v>
      </x:c>
      <x:c r="H238" s="5" t="n">
        <x:v>487</x:v>
      </x:c>
      <x:c r="I238" s="5" t="n">
        <x:v>487</x:v>
      </x:c>
      <x:c r="J238" s="5" t="str">
        <x:v>492</x:v>
      </x:c>
      <x:c r="K238" s="5" t="str">
        <x:v>목록은 3수준 이내로 구성한다.</x:v>
      </x:c>
      <x:c r="L238" s="5" t="str">
        <x:v>원문 세부기준</x:v>
      </x:c>
      <x:c r="M238" s="5" t="str">
        <x:v>추출 후 기본 구조 검토; 원문 적용수준·전체 맥락 재확인 필요</x:v>
      </x:c>
      <x:c r="N238" s="5" t="str">
        <x:v>UI-039</x:v>
      </x:c>
      <x:c r="O238" s="5" t="str">
        <x:v>자동 추출 후보 / 공식 전수 체크리스트 아님</x:v>
      </x:c>
    </x:row>
    <x:row r="239" ht="15" hidden="0" customHeight="1">
      <x:c r="A239" s="5" t="str">
        <x:v>KRDS-SEC-041-U-01</x:v>
      </x:c>
      <x:c r="B239" s="5" t="str">
        <x:v>KRDS-SEC-041</x:v>
      </x:c>
      <x:c r="C239" s="5" t="str">
        <x:v>컴포넌트</x:v>
      </x:c>
      <x:c r="D239" s="5" t="str">
        <x:v>액션</x:v>
      </x:c>
      <x:c r="E239" s="5" t="str">
        <x:v>링크</x:v>
      </x:c>
      <x:c r="F239" s="5" t="str">
        <x:v>사용성 가이드라인</x:v>
      </x:c>
      <x:c r="G239" s="5" t="str">
        <x:v>01</x:v>
      </x:c>
      <x:c r="H239" s="5" t="n">
        <x:v>499</x:v>
      </x:c>
      <x:c r="I239" s="5" t="n">
        <x:v>499</x:v>
      </x:c>
      <x:c r="J239" s="5" t="str">
        <x:v>500</x:v>
      </x:c>
      <x:c r="K239" s="5" t="str">
        <x:v>링크가 인라인으로 사용될 때 링크 텍스트를 주변 텍스트와 동일한 크기로 제공한다.</x:v>
      </x:c>
      <x:c r="L239" s="5" t="str">
        <x:v>원문 세부기준</x:v>
      </x:c>
      <x:c r="M239" s="5" t="str">
        <x:v>추출 후 기본 구조 검토; 원문 적용수준·전체 맥락 재확인 필요</x:v>
      </x:c>
      <x:c r="N239" s="5" t="str">
        <x:v>UI-040</x:v>
      </x:c>
      <x:c r="O239" s="5" t="str">
        <x:v>자동 추출 후보 / 공식 전수 체크리스트 아님</x:v>
      </x:c>
    </x:row>
    <x:row r="240" ht="15" hidden="0" customHeight="1">
      <x:c r="A240" s="5" t="str">
        <x:v>KRDS-SEC-041-U-02</x:v>
      </x:c>
      <x:c r="B240" s="5" t="str">
        <x:v>KRDS-SEC-041</x:v>
      </x:c>
      <x:c r="C240" s="5" t="str">
        <x:v>컴포넌트</x:v>
      </x:c>
      <x:c r="D240" s="5" t="str">
        <x:v>액션</x:v>
      </x:c>
      <x:c r="E240" s="5" t="str">
        <x:v>링크</x:v>
      </x:c>
      <x:c r="F240" s="5" t="str">
        <x:v>사용성 가이드라인</x:v>
      </x:c>
      <x:c r="G240" s="5" t="str">
        <x:v>02</x:v>
      </x:c>
      <x:c r="H240" s="5" t="n">
        <x:v>499</x:v>
      </x:c>
      <x:c r="I240" s="5" t="n">
        <x:v>499</x:v>
      </x:c>
      <x:c r="J240" s="5" t="str">
        <x:v>501</x:v>
      </x:c>
      <x:c r="K240" s="5" t="str">
        <x:v>링크와 관련된 사용자 과업, 플로(Flow)의 중요도에 따라 위계를 명확하게 구분한다.</x:v>
      </x:c>
      <x:c r="L240" s="5" t="str">
        <x:v>원문 세부기준</x:v>
      </x:c>
      <x:c r="M240" s="5" t="str">
        <x:v>추출 후 기본 구조 검토; 원문 적용수준·전체 맥락 재확인 필요</x:v>
      </x:c>
      <x:c r="N240" s="5" t="str">
        <x:v>UI-040</x:v>
      </x:c>
      <x:c r="O240" s="5" t="str">
        <x:v>자동 추출 후보 / 공식 전수 체크리스트 아님</x:v>
      </x:c>
    </x:row>
    <x:row r="241" ht="15" hidden="0" customHeight="1">
      <x:c r="A241" s="5" t="str">
        <x:v>KRDS-SEC-041-U-03</x:v>
      </x:c>
      <x:c r="B241" s="5" t="str">
        <x:v>KRDS-SEC-041</x:v>
      </x:c>
      <x:c r="C241" s="5" t="str">
        <x:v>컴포넌트</x:v>
      </x:c>
      <x:c r="D241" s="5" t="str">
        <x:v>액션</x:v>
      </x:c>
      <x:c r="E241" s="5" t="str">
        <x:v>링크</x:v>
      </x:c>
      <x:c r="F241" s="5" t="str">
        <x:v>사용성 가이드라인</x:v>
      </x:c>
      <x:c r="G241" s="5" t="str">
        <x:v>03</x:v>
      </x:c>
      <x:c r="H241" s="5" t="n">
        <x:v>499</x:v>
      </x:c>
      <x:c r="I241" s="5" t="n">
        <x:v>499</x:v>
      </x:c>
      <x:c r="J241" s="5" t="str">
        <x:v>502</x:v>
      </x:c>
      <x:c r="K241" s="5" t="str">
        <x:v>링크를 색상만으로 구분하지 않는다.</x:v>
      </x:c>
      <x:c r="L241" s="5" t="str">
        <x:v>원문 세부기준</x:v>
      </x:c>
      <x:c r="M241" s="5" t="str">
        <x:v>추출 후 기본 구조 검토; 원문 적용수준·전체 맥락 재확인 필요</x:v>
      </x:c>
      <x:c r="N241" s="5" t="str">
        <x:v>UI-040</x:v>
      </x:c>
      <x:c r="O241" s="5" t="str">
        <x:v>자동 추출 후보 / 공식 전수 체크리스트 아님</x:v>
      </x:c>
    </x:row>
    <x:row r="242" ht="15" hidden="0" customHeight="1">
      <x:c r="A242" s="5" t="str">
        <x:v>KRDS-SEC-041-U-04</x:v>
      </x:c>
      <x:c r="B242" s="5" t="str">
        <x:v>KRDS-SEC-041</x:v>
      </x:c>
      <x:c r="C242" s="5" t="str">
        <x:v>컴포넌트</x:v>
      </x:c>
      <x:c r="D242" s="5" t="str">
        <x:v>액션</x:v>
      </x:c>
      <x:c r="E242" s="5" t="str">
        <x:v>링크</x:v>
      </x:c>
      <x:c r="F242" s="5" t="str">
        <x:v>사용성 가이드라인</x:v>
      </x:c>
      <x:c r="G242" s="5" t="str">
        <x:v>04</x:v>
      </x:c>
      <x:c r="H242" s="5" t="n">
        <x:v>499</x:v>
      </x:c>
      <x:c r="I242" s="5" t="n">
        <x:v>499</x:v>
      </x:c>
      <x:c r="J242" s="5" t="str">
        <x:v>503</x:v>
      </x:c>
      <x:c r="K242" s="5" t="str">
        <x:v>링크 레이블은 연결된 목적지 정보를 예측할 수 있는 내용으로 제공한다.</x:v>
      </x:c>
      <x:c r="L242" s="5" t="str">
        <x:v>원문 세부기준</x:v>
      </x:c>
      <x:c r="M242" s="5" t="str">
        <x:v>추출 후 기본 구조 검토; 원문 적용수준·전체 맥락 재확인 필요</x:v>
      </x:c>
      <x:c r="N242" s="5" t="str">
        <x:v>UI-040</x:v>
      </x:c>
      <x:c r="O242" s="5" t="str">
        <x:v>자동 추출 후보 / 공식 전수 체크리스트 아님</x:v>
      </x:c>
    </x:row>
    <x:row r="243" ht="15" hidden="0" customHeight="1">
      <x:c r="A243" s="5" t="str">
        <x:v>KRDS-SEC-041-U-05</x:v>
      </x:c>
      <x:c r="B243" s="5" t="str">
        <x:v>KRDS-SEC-041</x:v>
      </x:c>
      <x:c r="C243" s="5" t="str">
        <x:v>컴포넌트</x:v>
      </x:c>
      <x:c r="D243" s="5" t="str">
        <x:v>액션</x:v>
      </x:c>
      <x:c r="E243" s="5" t="str">
        <x:v>링크</x:v>
      </x:c>
      <x:c r="F243" s="5" t="str">
        <x:v>사용성 가이드라인</x:v>
      </x:c>
      <x:c r="G243" s="5" t="str">
        <x:v>05</x:v>
      </x:c>
      <x:c r="H243" s="5" t="n">
        <x:v>499</x:v>
      </x:c>
      <x:c r="I243" s="5" t="n">
        <x:v>499</x:v>
      </x:c>
      <x:c r="J243" s="5" t="str">
        <x:v>504</x:v>
      </x:c>
      <x:c r="K243" s="5" t="str">
        <x:v>이메일 주소, 전화번호 정보를 링크로 제공한다.</x:v>
      </x:c>
      <x:c r="L243" s="5" t="str">
        <x:v>원문 세부기준</x:v>
      </x:c>
      <x:c r="M243" s="5" t="str">
        <x:v>추출 후 기본 구조 검토; 원문 적용수준·전체 맥락 재확인 필요</x:v>
      </x:c>
      <x:c r="N243" s="5" t="str">
        <x:v>UI-040</x:v>
      </x:c>
      <x:c r="O243" s="5" t="str">
        <x:v>자동 추출 후보 / 공식 전수 체크리스트 아님</x:v>
      </x:c>
    </x:row>
    <x:row r="244" ht="15" hidden="0" customHeight="1">
      <x:c r="A244" s="5" t="str">
        <x:v>KRDS-SEC-041-U-06</x:v>
      </x:c>
      <x:c r="B244" s="5" t="str">
        <x:v>KRDS-SEC-041</x:v>
      </x:c>
      <x:c r="C244" s="5" t="str">
        <x:v>컴포넌트</x:v>
      </x:c>
      <x:c r="D244" s="5" t="str">
        <x:v>액션</x:v>
      </x:c>
      <x:c r="E244" s="5" t="str">
        <x:v>링크</x:v>
      </x:c>
      <x:c r="F244" s="5" t="str">
        <x:v>사용성 가이드라인</x:v>
      </x:c>
      <x:c r="G244" s="5" t="str">
        <x:v>06</x:v>
      </x:c>
      <x:c r="H244" s="5" t="n">
        <x:v>499</x:v>
      </x:c>
      <x:c r="I244" s="5" t="n">
        <x:v>499</x:v>
      </x:c>
      <x:c r="J244" s="5" t="str">
        <x:v>505</x:v>
      </x:c>
      <x:c r="K244" s="5" t="str">
        <x:v>외부 서비스로 이동하는 링크를 분명하게 구분하고 일관된 방식으로 표현한다.</x:v>
      </x:c>
      <x:c r="L244" s="5" t="str">
        <x:v>원문 세부기준</x:v>
      </x:c>
      <x:c r="M244" s="5" t="str">
        <x:v>추출 후 기본 구조 검토; 원문 적용수준·전체 맥락 재확인 필요</x:v>
      </x:c>
      <x:c r="N244" s="5" t="str">
        <x:v>UI-040</x:v>
      </x:c>
      <x:c r="O244" s="5" t="str">
        <x:v>자동 추출 후보 / 공식 전수 체크리스트 아님</x:v>
      </x:c>
    </x:row>
    <x:row r="245" ht="15" hidden="0" customHeight="1">
      <x:c r="A245" s="5" t="str">
        <x:v>KRDS-SEC-041-U-07</x:v>
      </x:c>
      <x:c r="B245" s="5" t="str">
        <x:v>KRDS-SEC-041</x:v>
      </x:c>
      <x:c r="C245" s="5" t="str">
        <x:v>컴포넌트</x:v>
      </x:c>
      <x:c r="D245" s="5" t="str">
        <x:v>액션</x:v>
      </x:c>
      <x:c r="E245" s="5" t="str">
        <x:v>링크</x:v>
      </x:c>
      <x:c r="F245" s="5" t="str">
        <x:v>사용성 가이드라인</x:v>
      </x:c>
      <x:c r="G245" s="5" t="str">
        <x:v>07</x:v>
      </x:c>
      <x:c r="H245" s="5" t="n">
        <x:v>499</x:v>
      </x:c>
      <x:c r="I245" s="5" t="n">
        <x:v>499</x:v>
      </x:c>
      <x:c r="J245" s="5" t="str">
        <x:v>506</x:v>
      </x:c>
      <x:c r="K245" s="5" t="str">
        <x:v>링크는 레이블의 설명과 가장 관련성이 높은 목적지로 바로 이동할 수 있도록 구성한다.</x:v>
      </x:c>
      <x:c r="L245" s="5" t="str">
        <x:v>원문 세부기준</x:v>
      </x:c>
      <x:c r="M245" s="5" t="str">
        <x:v>추출 후 기본 구조 검토; 원문 적용수준·전체 맥락 재확인 필요</x:v>
      </x:c>
      <x:c r="N245" s="5" t="str">
        <x:v>UI-040</x:v>
      </x:c>
      <x:c r="O245" s="5" t="str">
        <x:v>자동 추출 후보 / 공식 전수 체크리스트 아님</x:v>
      </x:c>
    </x:row>
    <x:row r="246" ht="15" hidden="0" customHeight="1">
      <x:c r="A246" s="5" t="str">
        <x:v>KRDS-SEC-041-A-01</x:v>
      </x:c>
      <x:c r="B246" s="5" t="str">
        <x:v>KRDS-SEC-041</x:v>
      </x:c>
      <x:c r="C246" s="5" t="str">
        <x:v>컴포넌트</x:v>
      </x:c>
      <x:c r="D246" s="5" t="str">
        <x:v>액션</x:v>
      </x:c>
      <x:c r="E246" s="5" t="str">
        <x:v>링크</x:v>
      </x:c>
      <x:c r="F246" s="5" t="str">
        <x:v>접근성 가이드라인</x:v>
      </x:c>
      <x:c r="G246" s="5" t="str">
        <x:v>01</x:v>
      </x:c>
      <x:c r="H246" s="5" t="n">
        <x:v>507</x:v>
      </x:c>
      <x:c r="I246" s="5" t="n">
        <x:v>507</x:v>
      </x:c>
      <x:c r="J246" s="5" t="str"/>
      <x:c r="K246" s="5" t="str">
        <x:v>비활성화, 사용불가 상태인 경우를 제외하고 모든 링크는 키보드로 접근하고 조작할 수 있도록 한다.</x:v>
      </x:c>
      <x:c r="L246" s="5" t="str">
        <x:v>원문 세부기준</x:v>
      </x:c>
      <x:c r="M246" s="5" t="str">
        <x:v>추출 후 기본 구조 검토; 원문 적용수준·전체 맥락 재확인 필요</x:v>
      </x:c>
      <x:c r="N246" s="5" t="str">
        <x:v>UI-040</x:v>
      </x:c>
      <x:c r="O246" s="5" t="str">
        <x:v>자동 추출 후보 / 공식 전수 체크리스트 아님</x:v>
      </x:c>
    </x:row>
    <x:row r="247" ht="15" hidden="0" customHeight="1">
      <x:c r="A247" s="5" t="str">
        <x:v>KRDS-SEC-041-A-02</x:v>
      </x:c>
      <x:c r="B247" s="5" t="str">
        <x:v>KRDS-SEC-041</x:v>
      </x:c>
      <x:c r="C247" s="5" t="str">
        <x:v>컴포넌트</x:v>
      </x:c>
      <x:c r="D247" s="5" t="str">
        <x:v>액션</x:v>
      </x:c>
      <x:c r="E247" s="5" t="str">
        <x:v>링크</x:v>
      </x:c>
      <x:c r="F247" s="5" t="str">
        <x:v>접근성 가이드라인</x:v>
      </x:c>
      <x:c r="G247" s="5" t="str">
        <x:v>02</x:v>
      </x:c>
      <x:c r="H247" s="5" t="n">
        <x:v>507</x:v>
      </x:c>
      <x:c r="I247" s="5" t="n">
        <x:v>507</x:v>
      </x:c>
      <x:c r="J247" s="5" t="str"/>
      <x:c r="K247" s="5" t="str">
        <x:v>링크 텍스트는 링크 목적지 정보를 적절하게 설명할 수 있는 내용으로 제공한다.</x:v>
      </x:c>
      <x:c r="L247" s="5" t="str">
        <x:v>원문 세부기준</x:v>
      </x:c>
      <x:c r="M247" s="5" t="str">
        <x:v>추출 후 기본 구조 검토; 원문 적용수준·전체 맥락 재확인 필요</x:v>
      </x:c>
      <x:c r="N247" s="5" t="str">
        <x:v>UI-040</x:v>
      </x:c>
      <x:c r="O247" s="5" t="str">
        <x:v>자동 추출 후보 / 공식 전수 체크리스트 아님</x:v>
      </x:c>
    </x:row>
    <x:row r="248" ht="15" hidden="0" customHeight="1">
      <x:c r="A248" s="5" t="str">
        <x:v>KRDS-SEC-041-A-03</x:v>
      </x:c>
      <x:c r="B248" s="5" t="str">
        <x:v>KRDS-SEC-041</x:v>
      </x:c>
      <x:c r="C248" s="5" t="str">
        <x:v>컴포넌트</x:v>
      </x:c>
      <x:c r="D248" s="5" t="str">
        <x:v>액션</x:v>
      </x:c>
      <x:c r="E248" s="5" t="str">
        <x:v>링크</x:v>
      </x:c>
      <x:c r="F248" s="5" t="str">
        <x:v>접근성 가이드라인</x:v>
      </x:c>
      <x:c r="G248" s="5" t="str">
        <x:v>03</x:v>
      </x:c>
      <x:c r="H248" s="5" t="n">
        <x:v>507</x:v>
      </x:c>
      <x:c r="I248" s="5" t="n">
        <x:v>507</x:v>
      </x:c>
      <x:c r="J248" s="5" t="str"/>
      <x:c r="K248" s="5" t="str">
        <x:v>링크 레이블은 고유한 내용으로 제공한다.</x:v>
      </x:c>
      <x:c r="L248" s="5" t="str">
        <x:v>원문 세부기준</x:v>
      </x:c>
      <x:c r="M248" s="5" t="str">
        <x:v>추출 후 기본 구조 검토; 원문 적용수준·전체 맥락 재확인 필요</x:v>
      </x:c>
      <x:c r="N248" s="5" t="str">
        <x:v>UI-040</x:v>
      </x:c>
      <x:c r="O248" s="5" t="str">
        <x:v>자동 추출 후보 / 공식 전수 체크리스트 아님</x:v>
      </x:c>
    </x:row>
    <x:row r="249" ht="15" hidden="0" customHeight="1">
      <x:c r="A249" s="5" t="str">
        <x:v>KRDS-SEC-041-A-04</x:v>
      </x:c>
      <x:c r="B249" s="5" t="str">
        <x:v>KRDS-SEC-041</x:v>
      </x:c>
      <x:c r="C249" s="5" t="str">
        <x:v>컴포넌트</x:v>
      </x:c>
      <x:c r="D249" s="5" t="str">
        <x:v>액션</x:v>
      </x:c>
      <x:c r="E249" s="5" t="str">
        <x:v>링크</x:v>
      </x:c>
      <x:c r="F249" s="5" t="str">
        <x:v>접근성 가이드라인</x:v>
      </x:c>
      <x:c r="G249" s="5" t="str">
        <x:v>04</x:v>
      </x:c>
      <x:c r="H249" s="5" t="n">
        <x:v>508</x:v>
      </x:c>
      <x:c r="I249" s="5" t="n">
        <x:v>508</x:v>
      </x:c>
      <x:c r="J249" s="5" t="str"/>
      <x:c r="K249" s="5" t="str">
        <x:v>링크를 적절한 크기로 제공한다.</x:v>
      </x:c>
      <x:c r="L249" s="5" t="str">
        <x:v>원문 세부기준</x:v>
      </x:c>
      <x:c r="M249" s="5" t="str">
        <x:v>추출 후 기본 구조 검토; 원문 적용수준·전체 맥락 재확인 필요</x:v>
      </x:c>
      <x:c r="N249" s="5" t="str">
        <x:v>UI-040</x:v>
      </x:c>
      <x:c r="O249" s="5" t="str">
        <x:v>자동 추출 후보 / 공식 전수 체크리스트 아님</x:v>
      </x:c>
    </x:row>
    <x:row r="250" ht="15" hidden="0" customHeight="1">
      <x:c r="A250" s="5" t="str">
        <x:v>KRDS-SEC-041-A-05</x:v>
      </x:c>
      <x:c r="B250" s="5" t="str">
        <x:v>KRDS-SEC-041</x:v>
      </x:c>
      <x:c r="C250" s="5" t="str">
        <x:v>컴포넌트</x:v>
      </x:c>
      <x:c r="D250" s="5" t="str">
        <x:v>액션</x:v>
      </x:c>
      <x:c r="E250" s="5" t="str">
        <x:v>링크</x:v>
      </x:c>
      <x:c r="F250" s="5" t="str">
        <x:v>접근성 가이드라인</x:v>
      </x:c>
      <x:c r="G250" s="5" t="str">
        <x:v>05</x:v>
      </x:c>
      <x:c r="H250" s="5" t="n">
        <x:v>508</x:v>
      </x:c>
      <x:c r="I250" s="5" t="n">
        <x:v>508</x:v>
      </x:c>
      <x:c r="J250" s="5" t="str"/>
      <x:c r="K250" s="5" t="str">
        <x:v>링크로 작동하는 모든 요소는 스크린 리더에서 링크로 인지될 수 있도록 한다.</x:v>
      </x:c>
      <x:c r="L250" s="5" t="str">
        <x:v>원문 세부기준</x:v>
      </x:c>
      <x:c r="M250" s="5" t="str">
        <x:v>추출 후 기본 구조 검토; 원문 적용수준·전체 맥락 재확인 필요</x:v>
      </x:c>
      <x:c r="N250" s="5" t="str">
        <x:v>UI-040</x:v>
      </x:c>
      <x:c r="O250" s="5" t="str">
        <x:v>자동 추출 후보 / 공식 전수 체크리스트 아님</x:v>
      </x:c>
    </x:row>
    <x:row r="251" ht="15" hidden="0" customHeight="1">
      <x:c r="A251" s="5" t="str">
        <x:v>KRDS-SEC-042-U-01</x:v>
      </x:c>
      <x:c r="B251" s="5" t="str">
        <x:v>KRDS-SEC-042</x:v>
      </x:c>
      <x:c r="C251" s="5" t="str">
        <x:v>컴포넌트</x:v>
      </x:c>
      <x:c r="D251" s="5" t="str">
        <x:v>액션</x:v>
      </x:c>
      <x:c r="E251" s="5" t="str">
        <x:v>버튼</x:v>
      </x:c>
      <x:c r="F251" s="5" t="str">
        <x:v>사용성 가이드라인</x:v>
      </x:c>
      <x:c r="G251" s="5" t="str">
        <x:v>01</x:v>
      </x:c>
      <x:c r="H251" s="5" t="n">
        <x:v>512</x:v>
      </x:c>
      <x:c r="I251" s="5" t="n">
        <x:v>512</x:v>
      </x:c>
      <x:c r="J251" s="5" t="str">
        <x:v>513</x:v>
      </x:c>
      <x:c r="K251" s="5" t="str">
        <x:v>버튼이 그룹으로 제공될 때 모든 버튼의 크기를 동일하게 제공한다.</x:v>
      </x:c>
      <x:c r="L251" s="5" t="str">
        <x:v>원문 세부기준</x:v>
      </x:c>
      <x:c r="M251" s="5" t="str">
        <x:v>추출 후 기본 구조 검토; 원문 적용수준·전체 맥락 재확인 필요</x:v>
      </x:c>
      <x:c r="N251" s="5" t="str">
        <x:v>UI-041</x:v>
      </x:c>
      <x:c r="O251" s="5" t="str">
        <x:v>자동 추출 후보 / 공식 전수 체크리스트 아님</x:v>
      </x:c>
    </x:row>
    <x:row r="252" ht="15" hidden="0" customHeight="1">
      <x:c r="A252" s="5" t="str">
        <x:v>KRDS-SEC-042-U-02</x:v>
      </x:c>
      <x:c r="B252" s="5" t="str">
        <x:v>KRDS-SEC-042</x:v>
      </x:c>
      <x:c r="C252" s="5" t="str">
        <x:v>컴포넌트</x:v>
      </x:c>
      <x:c r="D252" s="5" t="str">
        <x:v>액션</x:v>
      </x:c>
      <x:c r="E252" s="5" t="str">
        <x:v>버튼</x:v>
      </x:c>
      <x:c r="F252" s="5" t="str">
        <x:v>사용성 가이드라인</x:v>
      </x:c>
      <x:c r="G252" s="5" t="str">
        <x:v>02</x:v>
      </x:c>
      <x:c r="H252" s="5" t="n">
        <x:v>512</x:v>
      </x:c>
      <x:c r="I252" s="5" t="n">
        <x:v>512</x:v>
      </x:c>
      <x:c r="J252" s="5" t="str">
        <x:v>514</x:v>
      </x:c>
      <x:c r="K252" s="5" t="str">
        <x:v>버튼과 관련된 사용자 과업, 플로(Flow)의 중요도에 따라 버튼 간 위계를 명확하게 구분한다.</x:v>
      </x:c>
      <x:c r="L252" s="5" t="str">
        <x:v>원문 세부기준</x:v>
      </x:c>
      <x:c r="M252" s="5" t="str">
        <x:v>추출 후 기본 구조 검토; 원문 적용수준·전체 맥락 재확인 필요</x:v>
      </x:c>
      <x:c r="N252" s="5" t="str">
        <x:v>UI-041</x:v>
      </x:c>
      <x:c r="O252" s="5" t="str">
        <x:v>자동 추출 후보 / 공식 전수 체크리스트 아님</x:v>
      </x:c>
    </x:row>
    <x:row r="253" ht="15" hidden="0" customHeight="1">
      <x:c r="A253" s="5" t="str">
        <x:v>KRDS-SEC-042-U-03</x:v>
      </x:c>
      <x:c r="B253" s="5" t="str">
        <x:v>KRDS-SEC-042</x:v>
      </x:c>
      <x:c r="C253" s="5" t="str">
        <x:v>컴포넌트</x:v>
      </x:c>
      <x:c r="D253" s="5" t="str">
        <x:v>액션</x:v>
      </x:c>
      <x:c r="E253" s="5" t="str">
        <x:v>버튼</x:v>
      </x:c>
      <x:c r="F253" s="5" t="str">
        <x:v>사용성 가이드라인</x:v>
      </x:c>
      <x:c r="G253" s="5" t="str">
        <x:v>03</x:v>
      </x:c>
      <x:c r="H253" s="5" t="n">
        <x:v>512</x:v>
      </x:c>
      <x:c r="I253" s="5" t="n">
        <x:v>512</x:v>
      </x:c>
      <x:c r="J253" s="5" t="str">
        <x:v>515</x:v>
      </x:c>
      <x:c r="K253" s="5" t="str">
        <x:v>한 화면에 최상위 수준의 강조 버튼은 한 번만 사용한다.</x:v>
      </x:c>
      <x:c r="L253" s="5" t="str">
        <x:v>원문 세부기준</x:v>
      </x:c>
      <x:c r="M253" s="5" t="str">
        <x:v>추출 후 기본 구조 검토; 원문 적용수준·전체 맥락 재확인 필요</x:v>
      </x:c>
      <x:c r="N253" s="5" t="str">
        <x:v>UI-041</x:v>
      </x:c>
      <x:c r="O253" s="5" t="str">
        <x:v>자동 추출 후보 / 공식 전수 체크리스트 아님</x:v>
      </x:c>
    </x:row>
    <x:row r="254" ht="15" hidden="0" customHeight="1">
      <x:c r="A254" s="5" t="str">
        <x:v>KRDS-SEC-042-U-04</x:v>
      </x:c>
      <x:c r="B254" s="5" t="str">
        <x:v>KRDS-SEC-042</x:v>
      </x:c>
      <x:c r="C254" s="5" t="str">
        <x:v>컴포넌트</x:v>
      </x:c>
      <x:c r="D254" s="5" t="str">
        <x:v>액션</x:v>
      </x:c>
      <x:c r="E254" s="5" t="str">
        <x:v>버튼</x:v>
      </x:c>
      <x:c r="F254" s="5" t="str">
        <x:v>사용성 가이드라인</x:v>
      </x:c>
      <x:c r="G254" s="5" t="str">
        <x:v>04</x:v>
      </x:c>
      <x:c r="H254" s="5" t="n">
        <x:v>512</x:v>
      </x:c>
      <x:c r="I254" s="5" t="n">
        <x:v>512</x:v>
      </x:c>
      <x:c r="J254" s="5" t="str">
        <x:v>516</x:v>
      </x:c>
      <x:c r="K254" s="5" t="str">
        <x:v>버튼 그룹을 수직으로 배열할 때 최상위 수준의 강조 버튼을 첫 번째로 배치한다.</x:v>
      </x:c>
      <x:c r="L254" s="5" t="str">
        <x:v>원문 세부기준</x:v>
      </x:c>
      <x:c r="M254" s="5" t="str">
        <x:v>추출 후 기본 구조 검토; 원문 적용수준·전체 맥락 재확인 필요</x:v>
      </x:c>
      <x:c r="N254" s="5" t="str">
        <x:v>UI-041</x:v>
      </x:c>
      <x:c r="O254" s="5" t="str">
        <x:v>자동 추출 후보 / 공식 전수 체크리스트 아님</x:v>
      </x:c>
    </x:row>
    <x:row r="255" ht="15" hidden="0" customHeight="1">
      <x:c r="A255" s="5" t="str">
        <x:v>KRDS-SEC-042-U-05</x:v>
      </x:c>
      <x:c r="B255" s="5" t="str">
        <x:v>KRDS-SEC-042</x:v>
      </x:c>
      <x:c r="C255" s="5" t="str">
        <x:v>컴포넌트</x:v>
      </x:c>
      <x:c r="D255" s="5" t="str">
        <x:v>액션</x:v>
      </x:c>
      <x:c r="E255" s="5" t="str">
        <x:v>버튼</x:v>
      </x:c>
      <x:c r="F255" s="5" t="str">
        <x:v>사용성 가이드라인</x:v>
      </x:c>
      <x:c r="G255" s="5" t="str">
        <x:v>05</x:v>
      </x:c>
      <x:c r="H255" s="5" t="n">
        <x:v>512</x:v>
      </x:c>
      <x:c r="I255" s="5" t="n">
        <x:v>512</x:v>
      </x:c>
      <x:c r="J255" s="5" t="str">
        <x:v>516</x:v>
      </x:c>
      <x:c r="K255" s="5" t="str">
        <x:v>버튼의 텍스트 레이블은 버튼을 통해 실행되는 기능을 예측할 수 있는 명확한 내용을 동사형으로 제공한다.</x:v>
      </x:c>
      <x:c r="L255" s="5" t="str">
        <x:v>원문 세부기준</x:v>
      </x:c>
      <x:c r="M255" s="5" t="str">
        <x:v>추출 후 기본 구조 검토; 원문 적용수준·전체 맥락 재확인 필요</x:v>
      </x:c>
      <x:c r="N255" s="5" t="str">
        <x:v>UI-041</x:v>
      </x:c>
      <x:c r="O255" s="5" t="str">
        <x:v>자동 추출 후보 / 공식 전수 체크리스트 아님</x:v>
      </x:c>
    </x:row>
    <x:row r="256" ht="15" hidden="0" customHeight="1">
      <x:c r="A256" s="5" t="str">
        <x:v>KRDS-SEC-042-U-06</x:v>
      </x:c>
      <x:c r="B256" s="5" t="str">
        <x:v>KRDS-SEC-042</x:v>
      </x:c>
      <x:c r="C256" s="5" t="str">
        <x:v>컴포넌트</x:v>
      </x:c>
      <x:c r="D256" s="5" t="str">
        <x:v>액션</x:v>
      </x:c>
      <x:c r="E256" s="5" t="str">
        <x:v>버튼</x:v>
      </x:c>
      <x:c r="F256" s="5" t="str">
        <x:v>사용성 가이드라인</x:v>
      </x:c>
      <x:c r="G256" s="5" t="str">
        <x:v>06</x:v>
      </x:c>
      <x:c r="H256" s="5" t="n">
        <x:v>512</x:v>
      </x:c>
      <x:c r="I256" s="5" t="n">
        <x:v>512</x:v>
      </x:c>
      <x:c r="J256" s="5" t="str">
        <x:v>517</x:v>
      </x:c>
      <x:c r="K256" s="5" t="str">
        <x:v>아이콘은 중요한 작업에 그리고 반드시 필요한 경우에 사용한다.</x:v>
      </x:c>
      <x:c r="L256" s="5" t="str">
        <x:v>원문 세부기준</x:v>
      </x:c>
      <x:c r="M256" s="5" t="str">
        <x:v>추출 후 기본 구조 검토; 원문 적용수준·전체 맥락 재확인 필요</x:v>
      </x:c>
      <x:c r="N256" s="5" t="str">
        <x:v>UI-041</x:v>
      </x:c>
      <x:c r="O256" s="5" t="str">
        <x:v>자동 추출 후보 / 공식 전수 체크리스트 아님</x:v>
      </x:c>
    </x:row>
    <x:row r="257" ht="15" hidden="0" customHeight="1">
      <x:c r="A257" s="5" t="str">
        <x:v>KRDS-SEC-042-U-07</x:v>
      </x:c>
      <x:c r="B257" s="5" t="str">
        <x:v>KRDS-SEC-042</x:v>
      </x:c>
      <x:c r="C257" s="5" t="str">
        <x:v>컴포넌트</x:v>
      </x:c>
      <x:c r="D257" s="5" t="str">
        <x:v>액션</x:v>
      </x:c>
      <x:c r="E257" s="5" t="str">
        <x:v>버튼</x:v>
      </x:c>
      <x:c r="F257" s="5" t="str">
        <x:v>사용성 가이드라인</x:v>
      </x:c>
      <x:c r="G257" s="5" t="str">
        <x:v>07</x:v>
      </x:c>
      <x:c r="H257" s="5" t="n">
        <x:v>512</x:v>
      </x:c>
      <x:c r="I257" s="5" t="n">
        <x:v>512</x:v>
      </x:c>
      <x:c r="J257" s="5" t="str">
        <x:v>517</x:v>
      </x:c>
      <x:c r="K257" s="5" t="str">
        <x:v>사용자가 실수로 버튼을 두 번 이상 누르는 상황을 고려한다.</x:v>
      </x:c>
      <x:c r="L257" s="5" t="str">
        <x:v>원문 세부기준</x:v>
      </x:c>
      <x:c r="M257" s="5" t="str">
        <x:v>추출 후 기본 구조 검토; 원문 적용수준·전체 맥락 재확인 필요</x:v>
      </x:c>
      <x:c r="N257" s="5" t="str">
        <x:v>UI-041</x:v>
      </x:c>
      <x:c r="O257" s="5" t="str">
        <x:v>자동 추출 후보 / 공식 전수 체크리스트 아님</x:v>
      </x:c>
    </x:row>
    <x:row r="258" ht="15" hidden="0" customHeight="1">
      <x:c r="A258" s="5" t="str">
        <x:v>KRDS-SEC-042-A-01</x:v>
      </x:c>
      <x:c r="B258" s="5" t="str">
        <x:v>KRDS-SEC-042</x:v>
      </x:c>
      <x:c r="C258" s="5" t="str">
        <x:v>컴포넌트</x:v>
      </x:c>
      <x:c r="D258" s="5" t="str">
        <x:v>액션</x:v>
      </x:c>
      <x:c r="E258" s="5" t="str">
        <x:v>버튼</x:v>
      </x:c>
      <x:c r="F258" s="5" t="str">
        <x:v>접근성 가이드라인</x:v>
      </x:c>
      <x:c r="G258" s="5" t="str">
        <x:v>01</x:v>
      </x:c>
      <x:c r="H258" s="5" t="n">
        <x:v>518</x:v>
      </x:c>
      <x:c r="I258" s="5" t="n">
        <x:v>518</x:v>
      </x:c>
      <x:c r="J258" s="5" t="str"/>
      <x:c r="K258" s="5" t="str">
        <x:v>모든 버튼에는 접근 가능한 이름을 제공한다.</x:v>
      </x:c>
      <x:c r="L258" s="5" t="str">
        <x:v>원문 세부기준</x:v>
      </x:c>
      <x:c r="M258" s="5" t="str">
        <x:v>추출 후 기본 구조 검토; 원문 적용수준·전체 맥락 재확인 필요</x:v>
      </x:c>
      <x:c r="N258" s="5" t="str">
        <x:v>UI-041</x:v>
      </x:c>
      <x:c r="O258" s="5" t="str">
        <x:v>자동 추출 후보 / 공식 전수 체크리스트 아님</x:v>
      </x:c>
    </x:row>
    <x:row r="259" ht="15" hidden="0" customHeight="1">
      <x:c r="A259" s="5" t="str">
        <x:v>KRDS-SEC-042-A-02</x:v>
      </x:c>
      <x:c r="B259" s="5" t="str">
        <x:v>KRDS-SEC-042</x:v>
      </x:c>
      <x:c r="C259" s="5" t="str">
        <x:v>컴포넌트</x:v>
      </x:c>
      <x:c r="D259" s="5" t="str">
        <x:v>액션</x:v>
      </x:c>
      <x:c r="E259" s="5" t="str">
        <x:v>버튼</x:v>
      </x:c>
      <x:c r="F259" s="5" t="str">
        <x:v>접근성 가이드라인</x:v>
      </x:c>
      <x:c r="G259" s="5" t="str">
        <x:v>02</x:v>
      </x:c>
      <x:c r="H259" s="5" t="n">
        <x:v>518</x:v>
      </x:c>
      <x:c r="I259" s="5" t="n">
        <x:v>518</x:v>
      </x:c>
      <x:c r="J259" s="5" t="str"/>
      <x:c r="K259" s="5" t="str">
        <x:v>버튼의 기능을 설명할 수 있는 텍스트 레이블이 있는 아이콘 버튼에 대체 텍스트를 제공하지 않는다.</x:v>
      </x:c>
      <x:c r="L259" s="5" t="str">
        <x:v>원문 세부기준</x:v>
      </x:c>
      <x:c r="M259" s="5" t="str">
        <x:v>추출 후 기본 구조 검토; 원문 적용수준·전체 맥락 재확인 필요</x:v>
      </x:c>
      <x:c r="N259" s="5" t="str">
        <x:v>UI-041</x:v>
      </x:c>
      <x:c r="O259" s="5" t="str">
        <x:v>자동 추출 후보 / 공식 전수 체크리스트 아님</x:v>
      </x:c>
    </x:row>
    <x:row r="260" ht="15" hidden="0" customHeight="1">
      <x:c r="A260" s="5" t="str">
        <x:v>KRDS-SEC-042-A-03</x:v>
      </x:c>
      <x:c r="B260" s="5" t="str">
        <x:v>KRDS-SEC-042</x:v>
      </x:c>
      <x:c r="C260" s="5" t="str">
        <x:v>컴포넌트</x:v>
      </x:c>
      <x:c r="D260" s="5" t="str">
        <x:v>액션</x:v>
      </x:c>
      <x:c r="E260" s="5" t="str">
        <x:v>버튼</x:v>
      </x:c>
      <x:c r="F260" s="5" t="str">
        <x:v>접근성 가이드라인</x:v>
      </x:c>
      <x:c r="G260" s="5" t="str">
        <x:v>03</x:v>
      </x:c>
      <x:c r="H260" s="5" t="n">
        <x:v>518</x:v>
      </x:c>
      <x:c r="I260" s="5" t="n">
        <x:v>518</x:v>
      </x:c>
      <x:c r="J260" s="5" t="str"/>
      <x:c r="K260" s="5" t="str">
        <x:v>버튼의 접근 가능한 이름은 버튼을 통해 실행되는 기능을 적절하게 설명할 수 있는 내용으로 제공한다.</x:v>
      </x:c>
      <x:c r="L260" s="5" t="str">
        <x:v>원문 세부기준</x:v>
      </x:c>
      <x:c r="M260" s="5" t="str">
        <x:v>추출 후 기본 구조 검토; 원문 적용수준·전체 맥락 재확인 필요</x:v>
      </x:c>
      <x:c r="N260" s="5" t="str">
        <x:v>UI-041</x:v>
      </x:c>
      <x:c r="O260" s="5" t="str">
        <x:v>자동 추출 후보 / 공식 전수 체크리스트 아님</x:v>
      </x:c>
    </x:row>
    <x:row r="261" ht="15" hidden="0" customHeight="1">
      <x:c r="A261" s="5" t="str">
        <x:v>KRDS-SEC-042-A-04</x:v>
      </x:c>
      <x:c r="B261" s="5" t="str">
        <x:v>KRDS-SEC-042</x:v>
      </x:c>
      <x:c r="C261" s="5" t="str">
        <x:v>컴포넌트</x:v>
      </x:c>
      <x:c r="D261" s="5" t="str">
        <x:v>액션</x:v>
      </x:c>
      <x:c r="E261" s="5" t="str">
        <x:v>버튼</x:v>
      </x:c>
      <x:c r="F261" s="5" t="str">
        <x:v>접근성 가이드라인</x:v>
      </x:c>
      <x:c r="G261" s="5" t="str">
        <x:v>04</x:v>
      </x:c>
      <x:c r="H261" s="5" t="n">
        <x:v>519</x:v>
      </x:c>
      <x:c r="I261" s="5" t="n">
        <x:v>519</x:v>
      </x:c>
      <x:c r="J261" s="5" t="str"/>
      <x:c r="K261" s="5" t="str">
        <x:v>모든 버튼은 키보드로 접근하고 조작할 수 있도록 한다.</x:v>
      </x:c>
      <x:c r="L261" s="5" t="str">
        <x:v>원문 세부기준</x:v>
      </x:c>
      <x:c r="M261" s="5" t="str">
        <x:v>추출 후 기본 구조 검토; 원문 적용수준·전체 맥락 재확인 필요</x:v>
      </x:c>
      <x:c r="N261" s="5" t="str">
        <x:v>UI-041</x:v>
      </x:c>
      <x:c r="O261" s="5" t="str">
        <x:v>자동 추출 후보 / 공식 전수 체크리스트 아님</x:v>
      </x:c>
    </x:row>
    <x:row r="262" ht="15" hidden="0" customHeight="1">
      <x:c r="A262" s="5" t="str">
        <x:v>KRDS-SEC-042-A-05</x:v>
      </x:c>
      <x:c r="B262" s="5" t="str">
        <x:v>KRDS-SEC-042</x:v>
      </x:c>
      <x:c r="C262" s="5" t="str">
        <x:v>컴포넌트</x:v>
      </x:c>
      <x:c r="D262" s="5" t="str">
        <x:v>액션</x:v>
      </x:c>
      <x:c r="E262" s="5" t="str">
        <x:v>버튼</x:v>
      </x:c>
      <x:c r="F262" s="5" t="str">
        <x:v>접근성 가이드라인</x:v>
      </x:c>
      <x:c r="G262" s="5" t="str">
        <x:v>05</x:v>
      </x:c>
      <x:c r="H262" s="5" t="n">
        <x:v>519</x:v>
      </x:c>
      <x:c r="I262" s="5" t="n">
        <x:v>519</x:v>
      </x:c>
      <x:c r="J262" s="5" t="str"/>
      <x:c r="K262" s="5" t="str">
        <x:v>버튼의 키보드 초점이 명확하게 표시되도록 한다.</x:v>
      </x:c>
      <x:c r="L262" s="5" t="str">
        <x:v>원문 세부기준</x:v>
      </x:c>
      <x:c r="M262" s="5" t="str">
        <x:v>추출 후 기본 구조 검토; 원문 적용수준·전체 맥락 재확인 필요</x:v>
      </x:c>
      <x:c r="N262" s="5" t="str">
        <x:v>UI-041</x:v>
      </x:c>
      <x:c r="O262" s="5" t="str">
        <x:v>자동 추출 후보 / 공식 전수 체크리스트 아님</x:v>
      </x:c>
    </x:row>
    <x:row r="263" ht="15" hidden="0" customHeight="1">
      <x:c r="A263" s="5" t="str">
        <x:v>KRDS-SEC-042-A-06</x:v>
      </x:c>
      <x:c r="B263" s="5" t="str">
        <x:v>KRDS-SEC-042</x:v>
      </x:c>
      <x:c r="C263" s="5" t="str">
        <x:v>컴포넌트</x:v>
      </x:c>
      <x:c r="D263" s="5" t="str">
        <x:v>액션</x:v>
      </x:c>
      <x:c r="E263" s="5" t="str">
        <x:v>버튼</x:v>
      </x:c>
      <x:c r="F263" s="5" t="str">
        <x:v>접근성 가이드라인</x:v>
      </x:c>
      <x:c r="G263" s="5" t="str">
        <x:v>06</x:v>
      </x:c>
      <x:c r="H263" s="5" t="n">
        <x:v>519</x:v>
      </x:c>
      <x:c r="I263" s="5" t="n">
        <x:v>519</x:v>
      </x:c>
      <x:c r="J263" s="5" t="str"/>
      <x:c r="K263" s="5" t="str">
        <x:v>버튼으로 작동하는 모든 요소는 스크린 리더에서 버튼으로 인지될 수 있도록 한다.</x:v>
      </x:c>
      <x:c r="L263" s="5" t="str">
        <x:v>원문 세부기준</x:v>
      </x:c>
      <x:c r="M263" s="5" t="str">
        <x:v>추출 후 기본 구조 검토; 원문 적용수준·전체 맥락 재확인 필요</x:v>
      </x:c>
      <x:c r="N263" s="5" t="str">
        <x:v>UI-041</x:v>
      </x:c>
      <x:c r="O263" s="5" t="str">
        <x:v>자동 추출 후보 / 공식 전수 체크리스트 아님</x:v>
      </x:c>
    </x:row>
    <x:row r="264" ht="15" hidden="0" customHeight="1">
      <x:c r="A264" s="5" t="str">
        <x:v>KRDS-SEC-042-A-07</x:v>
      </x:c>
      <x:c r="B264" s="5" t="str">
        <x:v>KRDS-SEC-042</x:v>
      </x:c>
      <x:c r="C264" s="5" t="str">
        <x:v>컴포넌트</x:v>
      </x:c>
      <x:c r="D264" s="5" t="str">
        <x:v>액션</x:v>
      </x:c>
      <x:c r="E264" s="5" t="str">
        <x:v>버튼</x:v>
      </x:c>
      <x:c r="F264" s="5" t="str">
        <x:v>접근성 가이드라인</x:v>
      </x:c>
      <x:c r="G264" s="5" t="str">
        <x:v>07</x:v>
      </x:c>
      <x:c r="H264" s="5" t="n">
        <x:v>520</x:v>
      </x:c>
      <x:c r="I264" s="5" t="n">
        <x:v>520</x:v>
      </x:c>
      <x:c r="J264" s="5" t="str"/>
      <x:c r="K264" s="5" t="str">
        <x:v>버튼을 적절한 크기로 제공한다.</x:v>
      </x:c>
      <x:c r="L264" s="5" t="str">
        <x:v>원문 세부기준</x:v>
      </x:c>
      <x:c r="M264" s="5" t="str">
        <x:v>추출 후 기본 구조 검토; 원문 적용수준·전체 맥락 재확인 필요</x:v>
      </x:c>
      <x:c r="N264" s="5" t="str">
        <x:v>UI-041</x:v>
      </x:c>
      <x:c r="O264" s="5" t="str">
        <x:v>자동 추출 후보 / 공식 전수 체크리스트 아님</x:v>
      </x:c>
    </x:row>
    <x:row r="265" ht="15" hidden="0" customHeight="1">
      <x:c r="A265" s="5" t="str">
        <x:v>KRDS-SEC-043-U-01</x:v>
      </x:c>
      <x:c r="B265" s="5" t="str">
        <x:v>KRDS-SEC-043</x:v>
      </x:c>
      <x:c r="C265" s="5" t="str">
        <x:v>컴포넌트</x:v>
      </x:c>
      <x:c r="D265" s="5" t="str">
        <x:v>선택</x:v>
      </x:c>
      <x:c r="E265" s="5" t="str">
        <x:v>라디오 버튼</x:v>
      </x:c>
      <x:c r="F265" s="5" t="str">
        <x:v>사용성 가이드라인</x:v>
      </x:c>
      <x:c r="G265" s="5" t="str">
        <x:v>01</x:v>
      </x:c>
      <x:c r="H265" s="5" t="n">
        <x:v>526</x:v>
      </x:c>
      <x:c r="I265" s="5" t="n">
        <x:v>526</x:v>
      </x:c>
      <x:c r="J265" s="5" t="str">
        <x:v>527</x:v>
      </x:c>
      <x:c r="K265" s="5" t="str">
        <x:v>기본적으로 라디오 버튼의 옵션은 가나다순으로 정렬한다.</x:v>
      </x:c>
      <x:c r="L265" s="5" t="str">
        <x:v>원문 세부기준</x:v>
      </x:c>
      <x:c r="M265" s="5" t="str">
        <x:v>추출 후 기본 구조 검토; 원문 적용수준·전체 맥락 재확인 필요</x:v>
      </x:c>
      <x:c r="N265" s="5" t="str">
        <x:v>UI-042</x:v>
      </x:c>
      <x:c r="O265" s="5" t="str">
        <x:v>자동 추출 후보 / 공식 전수 체크리스트 아님</x:v>
      </x:c>
    </x:row>
    <x:row r="266" ht="15" hidden="0" customHeight="1">
      <x:c r="A266" s="5" t="str">
        <x:v>KRDS-SEC-043-U-02</x:v>
      </x:c>
      <x:c r="B266" s="5" t="str">
        <x:v>KRDS-SEC-043</x:v>
      </x:c>
      <x:c r="C266" s="5" t="str">
        <x:v>컴포넌트</x:v>
      </x:c>
      <x:c r="D266" s="5" t="str">
        <x:v>선택</x:v>
      </x:c>
      <x:c r="E266" s="5" t="str">
        <x:v>라디오 버튼</x:v>
      </x:c>
      <x:c r="F266" s="5" t="str">
        <x:v>사용성 가이드라인</x:v>
      </x:c>
      <x:c r="G266" s="5" t="str">
        <x:v>02</x:v>
      </x:c>
      <x:c r="H266" s="5" t="n">
        <x:v>526</x:v>
      </x:c>
      <x:c r="I266" s="5" t="n">
        <x:v>526</x:v>
      </x:c>
      <x:c r="J266" s="5" t="str">
        <x:v>528</x:v>
      </x:c>
      <x:c r="K266" s="5" t="str">
        <x:v>라디오 버튼은 수직으로, 라디오 버튼의 레이블은 양식의 오른쪽에 배치한다.</x:v>
      </x:c>
      <x:c r="L266" s="5" t="str">
        <x:v>원문 세부기준</x:v>
      </x:c>
      <x:c r="M266" s="5" t="str">
        <x:v>추출 후 기본 구조 검토; 원문 적용수준·전체 맥락 재확인 필요</x:v>
      </x:c>
      <x:c r="N266" s="5" t="str">
        <x:v>UI-042</x:v>
      </x:c>
      <x:c r="O266" s="5" t="str">
        <x:v>자동 추출 후보 / 공식 전수 체크리스트 아님</x:v>
      </x:c>
    </x:row>
    <x:row r="267" ht="15" hidden="0" customHeight="1">
      <x:c r="A267" s="5" t="str">
        <x:v>KRDS-SEC-043-U-03</x:v>
      </x:c>
      <x:c r="B267" s="5" t="str">
        <x:v>KRDS-SEC-043</x:v>
      </x:c>
      <x:c r="C267" s="5" t="str">
        <x:v>컴포넌트</x:v>
      </x:c>
      <x:c r="D267" s="5" t="str">
        <x:v>선택</x:v>
      </x:c>
      <x:c r="E267" s="5" t="str">
        <x:v>라디오 버튼</x:v>
      </x:c>
      <x:c r="F267" s="5" t="str">
        <x:v>사용성 가이드라인</x:v>
      </x:c>
      <x:c r="G267" s="5" t="str">
        <x:v>03</x:v>
      </x:c>
      <x:c r="H267" s="5" t="n">
        <x:v>526</x:v>
      </x:c>
      <x:c r="I267" s="5" t="n">
        <x:v>526</x:v>
      </x:c>
      <x:c r="J267" s="5" t="str">
        <x:v>529</x:v>
      </x:c>
      <x:c r="K267" s="5" t="str">
        <x:v>라디오 버튼을 수평으로 배치하는 경우 버튼 간 간격을 충분히 제공한다.</x:v>
      </x:c>
      <x:c r="L267" s="5" t="str">
        <x:v>원문 세부기준</x:v>
      </x:c>
      <x:c r="M267" s="5" t="str">
        <x:v>추출 후 기본 구조 검토; 원문 적용수준·전체 맥락 재확인 필요</x:v>
      </x:c>
      <x:c r="N267" s="5" t="str">
        <x:v>UI-042</x:v>
      </x:c>
      <x:c r="O267" s="5" t="str">
        <x:v>자동 추출 후보 / 공식 전수 체크리스트 아님</x:v>
      </x:c>
    </x:row>
    <x:row r="268" ht="15" hidden="0" customHeight="1">
      <x:c r="A268" s="5" t="str">
        <x:v>KRDS-SEC-043-U-04</x:v>
      </x:c>
      <x:c r="B268" s="5" t="str">
        <x:v>KRDS-SEC-043</x:v>
      </x:c>
      <x:c r="C268" s="5" t="str">
        <x:v>컴포넌트</x:v>
      </x:c>
      <x:c r="D268" s="5" t="str">
        <x:v>선택</x:v>
      </x:c>
      <x:c r="E268" s="5" t="str">
        <x:v>라디오 버튼</x:v>
      </x:c>
      <x:c r="F268" s="5" t="str">
        <x:v>사용성 가이드라인</x:v>
      </x:c>
      <x:c r="G268" s="5" t="str">
        <x:v>04</x:v>
      </x:c>
      <x:c r="H268" s="5" t="n">
        <x:v>526</x:v>
      </x:c>
      <x:c r="I268" s="5" t="n">
        <x:v>526</x:v>
      </x:c>
      <x:c r="J268" s="5" t="str">
        <x:v>530</x:v>
      </x:c>
      <x:c r="K268" s="5" t="str">
        <x:v>라디오 버튼의 레이블은 분명하고 정확하게 제공한다.</x:v>
      </x:c>
      <x:c r="L268" s="5" t="str">
        <x:v>원문 세부기준</x:v>
      </x:c>
      <x:c r="M268" s="5" t="str">
        <x:v>추출 후 기본 구조 검토; 원문 적용수준·전체 맥락 재확인 필요</x:v>
      </x:c>
      <x:c r="N268" s="5" t="str">
        <x:v>UI-042</x:v>
      </x:c>
      <x:c r="O268" s="5" t="str">
        <x:v>자동 추출 후보 / 공식 전수 체크리스트 아님</x:v>
      </x:c>
    </x:row>
    <x:row r="269" ht="15" hidden="0" customHeight="1">
      <x:c r="A269" s="5" t="str">
        <x:v>KRDS-SEC-043-U-05</x:v>
      </x:c>
      <x:c r="B269" s="5" t="str">
        <x:v>KRDS-SEC-043</x:v>
      </x:c>
      <x:c r="C269" s="5" t="str">
        <x:v>컴포넌트</x:v>
      </x:c>
      <x:c r="D269" s="5" t="str">
        <x:v>선택</x:v>
      </x:c>
      <x:c r="E269" s="5" t="str">
        <x:v>라디오 버튼</x:v>
      </x:c>
      <x:c r="F269" s="5" t="str">
        <x:v>사용성 가이드라인</x:v>
      </x:c>
      <x:c r="G269" s="5" t="str">
        <x:v>05</x:v>
      </x:c>
      <x:c r="H269" s="5" t="n">
        <x:v>526</x:v>
      </x:c>
      <x:c r="I269" s="5" t="n">
        <x:v>526</x:v>
      </x:c>
      <x:c r="J269" s="5" t="str">
        <x:v>531</x:v>
      </x:c>
      <x:c r="K269" s="5" t="str">
        <x:v>사용자가 정확한 값을 입력하는 것이 중요한 경우 라디오 버튼의 특정 옵션을 기본 선택값으로 제공하지 않아야 한다.</x:v>
      </x:c>
      <x:c r="L269" s="5" t="str">
        <x:v>원문 세부기준</x:v>
      </x:c>
      <x:c r="M269" s="5" t="str">
        <x:v>추출 후 기본 구조 검토; 원문 적용수준·전체 맥락 재확인 필요</x:v>
      </x:c>
      <x:c r="N269" s="5" t="str">
        <x:v>UI-042</x:v>
      </x:c>
      <x:c r="O269" s="5" t="str">
        <x:v>자동 추출 후보 / 공식 전수 체크리스트 아님</x:v>
      </x:c>
    </x:row>
    <x:row r="270" ht="15" hidden="0" customHeight="1">
      <x:c r="A270" s="5" t="str">
        <x:v>KRDS-SEC-043-U-06</x:v>
      </x:c>
      <x:c r="B270" s="5" t="str">
        <x:v>KRDS-SEC-043</x:v>
      </x:c>
      <x:c r="C270" s="5" t="str">
        <x:v>컴포넌트</x:v>
      </x:c>
      <x:c r="D270" s="5" t="str">
        <x:v>선택</x:v>
      </x:c>
      <x:c r="E270" s="5" t="str">
        <x:v>라디오 버튼</x:v>
      </x:c>
      <x:c r="F270" s="5" t="str">
        <x:v>사용성 가이드라인</x:v>
      </x:c>
      <x:c r="G270" s="5" t="str">
        <x:v>06</x:v>
      </x:c>
      <x:c r="H270" s="5" t="n">
        <x:v>526</x:v>
      </x:c>
      <x:c r="I270" s="5" t="n">
        <x:v>526</x:v>
      </x:c>
      <x:c r="J270" s="5" t="str">
        <x:v>532</x:v>
      </x:c>
      <x:c r="K270" s="5" t="str">
        <x:v>'해당 없음', '잘 모름' 옵션 제공을 고려한다.</x:v>
      </x:c>
      <x:c r="L270" s="5" t="str">
        <x:v>원문 세부기준</x:v>
      </x:c>
      <x:c r="M270" s="5" t="str">
        <x:v>추출 후 기본 구조 검토; 원문 적용수준·전체 맥락 재확인 필요</x:v>
      </x:c>
      <x:c r="N270" s="5" t="str">
        <x:v>UI-042</x:v>
      </x:c>
      <x:c r="O270" s="5" t="str">
        <x:v>자동 추출 후보 / 공식 전수 체크리스트 아님</x:v>
      </x:c>
    </x:row>
    <x:row r="271" ht="15" hidden="0" customHeight="1">
      <x:c r="A271" s="5" t="str">
        <x:v>KRDS-SEC-043-A-01</x:v>
      </x:c>
      <x:c r="B271" s="5" t="str">
        <x:v>KRDS-SEC-043</x:v>
      </x:c>
      <x:c r="C271" s="5" t="str">
        <x:v>컴포넌트</x:v>
      </x:c>
      <x:c r="D271" s="5" t="str">
        <x:v>선택</x:v>
      </x:c>
      <x:c r="E271" s="5" t="str">
        <x:v>라디오 버튼</x:v>
      </x:c>
      <x:c r="F271" s="5" t="str">
        <x:v>접근성 가이드라인</x:v>
      </x:c>
      <x:c r="G271" s="5" t="str">
        <x:v>01</x:v>
      </x:c>
      <x:c r="H271" s="5" t="n">
        <x:v>533</x:v>
      </x:c>
      <x:c r="I271" s="5" t="n">
        <x:v>533</x:v>
      </x:c>
      <x:c r="J271" s="5" t="str"/>
      <x:c r="K271" s="5" t="str">
        <x:v>버튼 양식과 인접 배경 간 명도 대비를 3:1 이상으로 표현한다.</x:v>
      </x:c>
      <x:c r="L271" s="5" t="str">
        <x:v>원문 세부기준</x:v>
      </x:c>
      <x:c r="M271" s="5" t="str">
        <x:v>추출 후 기본 구조 검토; 원문 적용수준·전체 맥락 재확인 필요</x:v>
      </x:c>
      <x:c r="N271" s="5" t="str">
        <x:v>UI-042</x:v>
      </x:c>
      <x:c r="O271" s="5" t="str">
        <x:v>자동 추출 후보 / 공식 전수 체크리스트 아님</x:v>
      </x:c>
    </x:row>
    <x:row r="272" ht="15" hidden="0" customHeight="1">
      <x:c r="A272" s="5" t="str">
        <x:v>KRDS-SEC-043-A-02</x:v>
      </x:c>
      <x:c r="B272" s="5" t="str">
        <x:v>KRDS-SEC-043</x:v>
      </x:c>
      <x:c r="C272" s="5" t="str">
        <x:v>컴포넌트</x:v>
      </x:c>
      <x:c r="D272" s="5" t="str">
        <x:v>선택</x:v>
      </x:c>
      <x:c r="E272" s="5" t="str">
        <x:v>라디오 버튼</x:v>
      </x:c>
      <x:c r="F272" s="5" t="str">
        <x:v>접근성 가이드라인</x:v>
      </x:c>
      <x:c r="G272" s="5" t="str">
        <x:v>02</x:v>
      </x:c>
      <x:c r="H272" s="5" t="n">
        <x:v>534</x:v>
      </x:c>
      <x:c r="I272" s="5" t="n">
        <x:v>534</x:v>
      </x:c>
      <x:c r="J272" s="5" t="str"/>
      <x:c r="K272" s="5" t="str">
        <x:v>버튼 양식의 선택 상태를 색상으로만 구분하지 않는다.</x:v>
      </x:c>
      <x:c r="L272" s="5" t="str">
        <x:v>원문 세부기준</x:v>
      </x:c>
      <x:c r="M272" s="5" t="str">
        <x:v>추출 후 기본 구조 검토; 원문 적용수준·전체 맥락 재확인 필요</x:v>
      </x:c>
      <x:c r="N272" s="5" t="str">
        <x:v>UI-042</x:v>
      </x:c>
      <x:c r="O272" s="5" t="str">
        <x:v>자동 추출 후보 / 공식 전수 체크리스트 아님</x:v>
      </x:c>
    </x:row>
    <x:row r="273" ht="15" hidden="0" customHeight="1">
      <x:c r="A273" s="5" t="str">
        <x:v>KRDS-SEC-043-A-03</x:v>
      </x:c>
      <x:c r="B273" s="5" t="str">
        <x:v>KRDS-SEC-043</x:v>
      </x:c>
      <x:c r="C273" s="5" t="str">
        <x:v>컴포넌트</x:v>
      </x:c>
      <x:c r="D273" s="5" t="str">
        <x:v>선택</x:v>
      </x:c>
      <x:c r="E273" s="5" t="str">
        <x:v>라디오 버튼</x:v>
      </x:c>
      <x:c r="F273" s="5" t="str">
        <x:v>접근성 가이드라인</x:v>
      </x:c>
      <x:c r="G273" s="5" t="str">
        <x:v>03</x:v>
      </x:c>
      <x:c r="H273" s="5" t="n">
        <x:v>535</x:v>
      </x:c>
      <x:c r="I273" s="5" t="n">
        <x:v>535</x:v>
      </x:c>
      <x:c r="J273" s="5" t="str"/>
      <x:c r="K273" s="5" t="str">
        <x:v>라디오 버튼을 키보드로 탐색하고 실행할 수 있도록 한다.</x:v>
      </x:c>
      <x:c r="L273" s="5" t="str">
        <x:v>원문 세부기준</x:v>
      </x:c>
      <x:c r="M273" s="5" t="str">
        <x:v>추출 후 기본 구조 검토; 원문 적용수준·전체 맥락 재확인 필요</x:v>
      </x:c>
      <x:c r="N273" s="5" t="str">
        <x:v>UI-042</x:v>
      </x:c>
      <x:c r="O273" s="5" t="str">
        <x:v>자동 추출 후보 / 공식 전수 체크리스트 아님</x:v>
      </x:c>
    </x:row>
    <x:row r="274" ht="15" hidden="0" customHeight="1">
      <x:c r="A274" s="5" t="str">
        <x:v>KRDS-SEC-043-A-04</x:v>
      </x:c>
      <x:c r="B274" s="5" t="str">
        <x:v>KRDS-SEC-043</x:v>
      </x:c>
      <x:c r="C274" s="5" t="str">
        <x:v>컴포넌트</x:v>
      </x:c>
      <x:c r="D274" s="5" t="str">
        <x:v>선택</x:v>
      </x:c>
      <x:c r="E274" s="5" t="str">
        <x:v>라디오 버튼</x:v>
      </x:c>
      <x:c r="F274" s="5" t="str">
        <x:v>접근성 가이드라인</x:v>
      </x:c>
      <x:c r="G274" s="5" t="str">
        <x:v>04</x:v>
      </x:c>
      <x:c r="H274" s="5" t="n">
        <x:v>535</x:v>
      </x:c>
      <x:c r="I274" s="5" t="n">
        <x:v>535</x:v>
      </x:c>
      <x:c r="J274" s="5" t="str"/>
      <x:c r="K274" s="5" t="str">
        <x:v>라디오 버튼에 키보드 초점이 명확하게 표시되도록 한다.</x:v>
      </x:c>
      <x:c r="L274" s="5" t="str">
        <x:v>원문 세부기준</x:v>
      </x:c>
      <x:c r="M274" s="5" t="str">
        <x:v>추출 후 기본 구조 검토; 원문 적용수준·전체 맥락 재확인 필요</x:v>
      </x:c>
      <x:c r="N274" s="5" t="str">
        <x:v>UI-042</x:v>
      </x:c>
      <x:c r="O274" s="5" t="str">
        <x:v>자동 추출 후보 / 공식 전수 체크리스트 아님</x:v>
      </x:c>
    </x:row>
    <x:row r="275" ht="15" hidden="0" customHeight="1">
      <x:c r="A275" s="5" t="str">
        <x:v>KRDS-SEC-043-A-05</x:v>
      </x:c>
      <x:c r="B275" s="5" t="str">
        <x:v>KRDS-SEC-043</x:v>
      </x:c>
      <x:c r="C275" s="5" t="str">
        <x:v>컴포넌트</x:v>
      </x:c>
      <x:c r="D275" s="5" t="str">
        <x:v>선택</x:v>
      </x:c>
      <x:c r="E275" s="5" t="str">
        <x:v>라디오 버튼</x:v>
      </x:c>
      <x:c r="F275" s="5" t="str">
        <x:v>접근성 가이드라인</x:v>
      </x:c>
      <x:c r="G275" s="5" t="str">
        <x:v>05</x:v>
      </x:c>
      <x:c r="H275" s="5" t="n">
        <x:v>536</x:v>
      </x:c>
      <x:c r="I275" s="5" t="n">
        <x:v>536</x:v>
      </x:c>
      <x:c r="J275" s="5" t="str"/>
      <x:c r="K275" s="5" t="str">
        <x:v>라디오 버튼에 접근 가능한 이름을 제공한다.</x:v>
      </x:c>
      <x:c r="L275" s="5" t="str">
        <x:v>원문 세부기준</x:v>
      </x:c>
      <x:c r="M275" s="5" t="str">
        <x:v>추출 후 기본 구조 검토; 원문 적용수준·전체 맥락 재확인 필요</x:v>
      </x:c>
      <x:c r="N275" s="5" t="str">
        <x:v>UI-042</x:v>
      </x:c>
      <x:c r="O275" s="5" t="str">
        <x:v>자동 추출 후보 / 공식 전수 체크리스트 아님</x:v>
      </x:c>
    </x:row>
    <x:row r="276" ht="15" hidden="0" customHeight="1">
      <x:c r="A276" s="5" t="str">
        <x:v>KRDS-SEC-043-A-06</x:v>
      </x:c>
      <x:c r="B276" s="5" t="str">
        <x:v>KRDS-SEC-043</x:v>
      </x:c>
      <x:c r="C276" s="5" t="str">
        <x:v>컴포넌트</x:v>
      </x:c>
      <x:c r="D276" s="5" t="str">
        <x:v>선택</x:v>
      </x:c>
      <x:c r="E276" s="5" t="str">
        <x:v>라디오 버튼</x:v>
      </x:c>
      <x:c r="F276" s="5" t="str">
        <x:v>접근성 가이드라인</x:v>
      </x:c>
      <x:c r="G276" s="5" t="str">
        <x:v>06</x:v>
      </x:c>
      <x:c r="H276" s="5" t="n">
        <x:v>536</x:v>
      </x:c>
      <x:c r="I276" s="5" t="n">
        <x:v>536</x:v>
      </x:c>
      <x:c r="J276" s="5" t="str"/>
      <x:c r="K276" s="5" t="str">
        <x:v>스크린 리더에서 그룹 레이블과 라디오 버튼 그룹의 관계를 확인할 수 있도록 한다.</x:v>
      </x:c>
      <x:c r="L276" s="5" t="str">
        <x:v>원문 세부기준</x:v>
      </x:c>
      <x:c r="M276" s="5" t="str">
        <x:v>추출 후 기본 구조 검토; 원문 적용수준·전체 맥락 재확인 필요</x:v>
      </x:c>
      <x:c r="N276" s="5" t="str">
        <x:v>UI-042</x:v>
      </x:c>
      <x:c r="O276" s="5" t="str">
        <x:v>자동 추출 후보 / 공식 전수 체크리스트 아님</x:v>
      </x:c>
    </x:row>
    <x:row r="277" ht="26.399999618530273" hidden="0" customHeight="1">
      <x:c r="A277" s="5" t="str">
        <x:v>KRDS-SEC-044-U-01</x:v>
      </x:c>
      <x:c r="B277" s="5" t="str">
        <x:v>KRDS-SEC-044</x:v>
      </x:c>
      <x:c r="C277" s="5" t="str">
        <x:v>컴포넌트</x:v>
      </x:c>
      <x:c r="D277" s="5" t="str">
        <x:v>선택</x:v>
      </x:c>
      <x:c r="E277" s="5" t="str">
        <x:v>체크박스</x:v>
      </x:c>
      <x:c r="F277" s="5" t="str">
        <x:v>사용성 가이드라인</x:v>
      </x:c>
      <x:c r="G277" s="5" t="str">
        <x:v>01</x:v>
      </x:c>
      <x:c r="H277" s="5" t="n">
        <x:v>541</x:v>
      </x:c>
      <x:c r="I277" s="5" t="n">
        <x:v>541</x:v>
      </x:c>
      <x:c r="J277" s="5" t="str">
        <x:v>542</x:v>
      </x:c>
      <x:c r="K277" s="5" t="str">
        <x:v>기본적으로 체크박스의 옵션은 가나다순으로 정렬한다.</x:v>
      </x:c>
      <x:c r="L277" s="5" t="str">
        <x:v>원문 세부기준</x:v>
      </x:c>
      <x:c r="M277" s="5" t="str">
        <x:v>추출 후 기본 구조 검토; 원문 적용수준·전체 맥락 재확인 필요</x:v>
      </x:c>
      <x:c r="N277" s="5" t="str">
        <x:v>UI-043
UI-107</x:v>
      </x:c>
      <x:c r="O277" s="5" t="str">
        <x:v>자동 추출 후보 / 공식 전수 체크리스트 아님</x:v>
      </x:c>
    </x:row>
    <x:row r="278" ht="26.399999618530273" hidden="0" customHeight="1">
      <x:c r="A278" s="5" t="str">
        <x:v>KRDS-SEC-044-U-02</x:v>
      </x:c>
      <x:c r="B278" s="5" t="str">
        <x:v>KRDS-SEC-044</x:v>
      </x:c>
      <x:c r="C278" s="5" t="str">
        <x:v>컴포넌트</x:v>
      </x:c>
      <x:c r="D278" s="5" t="str">
        <x:v>선택</x:v>
      </x:c>
      <x:c r="E278" s="5" t="str">
        <x:v>체크박스</x:v>
      </x:c>
      <x:c r="F278" s="5" t="str">
        <x:v>사용성 가이드라인</x:v>
      </x:c>
      <x:c r="G278" s="5" t="str">
        <x:v>02</x:v>
      </x:c>
      <x:c r="H278" s="5" t="n">
        <x:v>541</x:v>
      </x:c>
      <x:c r="I278" s="5" t="n">
        <x:v>541</x:v>
      </x:c>
      <x:c r="J278" s="5" t="str">
        <x:v>543</x:v>
      </x:c>
      <x:c r="K278" s="5" t="str">
        <x:v>체크박스는 수직으로, 체크박스 레이블은 양식의 오른쪽에 배치한다.</x:v>
      </x:c>
      <x:c r="L278" s="5" t="str">
        <x:v>원문 세부기준</x:v>
      </x:c>
      <x:c r="M278" s="5" t="str">
        <x:v>추출 후 기본 구조 검토; 원문 적용수준·전체 맥락 재확인 필요</x:v>
      </x:c>
      <x:c r="N278" s="5" t="str">
        <x:v>UI-043
UI-107</x:v>
      </x:c>
      <x:c r="O278" s="5" t="str">
        <x:v>자동 추출 후보 / 공식 전수 체크리스트 아님</x:v>
      </x:c>
    </x:row>
    <x:row r="279" ht="26.399999618530273" hidden="0" customHeight="1">
      <x:c r="A279" s="5" t="str">
        <x:v>KRDS-SEC-044-U-03</x:v>
      </x:c>
      <x:c r="B279" s="5" t="str">
        <x:v>KRDS-SEC-044</x:v>
      </x:c>
      <x:c r="C279" s="5" t="str">
        <x:v>컴포넌트</x:v>
      </x:c>
      <x:c r="D279" s="5" t="str">
        <x:v>선택</x:v>
      </x:c>
      <x:c r="E279" s="5" t="str">
        <x:v>체크박스</x:v>
      </x:c>
      <x:c r="F279" s="5" t="str">
        <x:v>사용성 가이드라인</x:v>
      </x:c>
      <x:c r="G279" s="5" t="str">
        <x:v>03</x:v>
      </x:c>
      <x:c r="H279" s="5" t="n">
        <x:v>541</x:v>
      </x:c>
      <x:c r="I279" s="5" t="n">
        <x:v>541</x:v>
      </x:c>
      <x:c r="J279" s="5" t="str">
        <x:v>544</x:v>
      </x:c>
      <x:c r="K279" s="5" t="str">
        <x:v>체크박스의 레이블은 분명하고 정확하게 제공한다.</x:v>
      </x:c>
      <x:c r="L279" s="5" t="str">
        <x:v>원문 세부기준</x:v>
      </x:c>
      <x:c r="M279" s="5" t="str">
        <x:v>추출 후 기본 구조 검토; 원문 적용수준·전체 맥락 재확인 필요</x:v>
      </x:c>
      <x:c r="N279" s="5" t="str">
        <x:v>UI-043
UI-107</x:v>
      </x:c>
      <x:c r="O279" s="5" t="str">
        <x:v>자동 추출 후보 / 공식 전수 체크리스트 아님</x:v>
      </x:c>
    </x:row>
    <x:row r="280" ht="26.399999618530273" hidden="0" customHeight="1">
      <x:c r="A280" s="5" t="str">
        <x:v>KRDS-SEC-044-U-04</x:v>
      </x:c>
      <x:c r="B280" s="5" t="str">
        <x:v>KRDS-SEC-044</x:v>
      </x:c>
      <x:c r="C280" s="5" t="str">
        <x:v>컴포넌트</x:v>
      </x:c>
      <x:c r="D280" s="5" t="str">
        <x:v>선택</x:v>
      </x:c>
      <x:c r="E280" s="5" t="str">
        <x:v>체크박스</x:v>
      </x:c>
      <x:c r="F280" s="5" t="str">
        <x:v>사용성 가이드라인</x:v>
      </x:c>
      <x:c r="G280" s="5" t="str">
        <x:v>04</x:v>
      </x:c>
      <x:c r="H280" s="5" t="n">
        <x:v>541</x:v>
      </x:c>
      <x:c r="I280" s="5" t="n">
        <x:v>541</x:v>
      </x:c>
      <x:c r="J280" s="5" t="str">
        <x:v>545</x:v>
      </x:c>
      <x:c r="K280" s="5" t="str">
        <x:v>전체 선택 옵션이 제공되는 경우 중간 상태를 명확하게 표현한다.</x:v>
      </x:c>
      <x:c r="L280" s="5" t="str">
        <x:v>원문 세부기준</x:v>
      </x:c>
      <x:c r="M280" s="5" t="str">
        <x:v>추출 후 기본 구조 검토; 원문 적용수준·전체 맥락 재확인 필요</x:v>
      </x:c>
      <x:c r="N280" s="5" t="str">
        <x:v>UI-043
UI-107</x:v>
      </x:c>
      <x:c r="O280" s="5" t="str">
        <x:v>자동 추출 후보 / 공식 전수 체크리스트 아님</x:v>
      </x:c>
    </x:row>
    <x:row r="281" ht="26.399999618530273" hidden="0" customHeight="1">
      <x:c r="A281" s="5" t="str">
        <x:v>KRDS-SEC-044-A-01</x:v>
      </x:c>
      <x:c r="B281" s="5" t="str">
        <x:v>KRDS-SEC-044</x:v>
      </x:c>
      <x:c r="C281" s="5" t="str">
        <x:v>컴포넌트</x:v>
      </x:c>
      <x:c r="D281" s="5" t="str">
        <x:v>선택</x:v>
      </x:c>
      <x:c r="E281" s="5" t="str">
        <x:v>체크박스</x:v>
      </x:c>
      <x:c r="F281" s="5" t="str">
        <x:v>접근성 가이드라인</x:v>
      </x:c>
      <x:c r="G281" s="5" t="str">
        <x:v>01</x:v>
      </x:c>
      <x:c r="H281" s="5" t="n">
        <x:v>546</x:v>
      </x:c>
      <x:c r="I281" s="5" t="n">
        <x:v>546</x:v>
      </x:c>
      <x:c r="J281" s="5" t="str"/>
      <x:c r="K281" s="5" t="str">
        <x:v>체크박스, 아이콘과 인접 배경 간 명도 대비를 3:1 이상으로 표현한다.</x:v>
      </x:c>
      <x:c r="L281" s="5" t="str">
        <x:v>원문 세부기준</x:v>
      </x:c>
      <x:c r="M281" s="5" t="str">
        <x:v>추출 후 기본 구조 검토; 원문 적용수준·전체 맥락 재확인 필요</x:v>
      </x:c>
      <x:c r="N281" s="5" t="str">
        <x:v>UI-043
UI-107</x:v>
      </x:c>
      <x:c r="O281" s="5" t="str">
        <x:v>자동 추출 후보 / 공식 전수 체크리스트 아님</x:v>
      </x:c>
    </x:row>
    <x:row r="282" ht="26.399999618530273" hidden="0" customHeight="1">
      <x:c r="A282" s="5" t="str">
        <x:v>KRDS-SEC-044-A-02</x:v>
      </x:c>
      <x:c r="B282" s="5" t="str">
        <x:v>KRDS-SEC-044</x:v>
      </x:c>
      <x:c r="C282" s="5" t="str">
        <x:v>컴포넌트</x:v>
      </x:c>
      <x:c r="D282" s="5" t="str">
        <x:v>선택</x:v>
      </x:c>
      <x:c r="E282" s="5" t="str">
        <x:v>체크박스</x:v>
      </x:c>
      <x:c r="F282" s="5" t="str">
        <x:v>접근성 가이드라인</x:v>
      </x:c>
      <x:c r="G282" s="5" t="str">
        <x:v>02</x:v>
      </x:c>
      <x:c r="H282" s="5" t="n">
        <x:v>547</x:v>
      </x:c>
      <x:c r="I282" s="5" t="n">
        <x:v>547</x:v>
      </x:c>
      <x:c r="J282" s="5" t="str"/>
      <x:c r="K282" s="5" t="str">
        <x:v>체크박스의 선택 상태를 색상으로만 구분하지 않는다.</x:v>
      </x:c>
      <x:c r="L282" s="5" t="str">
        <x:v>원문 세부기준</x:v>
      </x:c>
      <x:c r="M282" s="5" t="str">
        <x:v>추출 후 기본 구조 검토; 원문 적용수준·전체 맥락 재확인 필요</x:v>
      </x:c>
      <x:c r="N282" s="5" t="str">
        <x:v>UI-043
UI-107</x:v>
      </x:c>
      <x:c r="O282" s="5" t="str">
        <x:v>자동 추출 후보 / 공식 전수 체크리스트 아님</x:v>
      </x:c>
    </x:row>
    <x:row r="283" ht="26.399999618530273" hidden="0" customHeight="1">
      <x:c r="A283" s="5" t="str">
        <x:v>KRDS-SEC-044-A-03</x:v>
      </x:c>
      <x:c r="B283" s="5" t="str">
        <x:v>KRDS-SEC-044</x:v>
      </x:c>
      <x:c r="C283" s="5" t="str">
        <x:v>컴포넌트</x:v>
      </x:c>
      <x:c r="D283" s="5" t="str">
        <x:v>선택</x:v>
      </x:c>
      <x:c r="E283" s="5" t="str">
        <x:v>체크박스</x:v>
      </x:c>
      <x:c r="F283" s="5" t="str">
        <x:v>접근성 가이드라인</x:v>
      </x:c>
      <x:c r="G283" s="5" t="str">
        <x:v>03</x:v>
      </x:c>
      <x:c r="H283" s="5" t="n">
        <x:v>548</x:v>
      </x:c>
      <x:c r="I283" s="5" t="n">
        <x:v>548</x:v>
      </x:c>
      <x:c r="J283" s="5" t="str"/>
      <x:c r="K283" s="5" t="str">
        <x:v>체크박스를 키보드로 탐색하고 실행할 수 있도록 한다.</x:v>
      </x:c>
      <x:c r="L283" s="5" t="str">
        <x:v>원문 세부기준</x:v>
      </x:c>
      <x:c r="M283" s="5" t="str">
        <x:v>추출 후 기본 구조 검토; 원문 적용수준·전체 맥락 재확인 필요</x:v>
      </x:c>
      <x:c r="N283" s="5" t="str">
        <x:v>UI-043
UI-107</x:v>
      </x:c>
      <x:c r="O283" s="5" t="str">
        <x:v>자동 추출 후보 / 공식 전수 체크리스트 아님</x:v>
      </x:c>
    </x:row>
    <x:row r="284" ht="26.399999618530273" hidden="0" customHeight="1">
      <x:c r="A284" s="5" t="str">
        <x:v>KRDS-SEC-044-A-04</x:v>
      </x:c>
      <x:c r="B284" s="5" t="str">
        <x:v>KRDS-SEC-044</x:v>
      </x:c>
      <x:c r="C284" s="5" t="str">
        <x:v>컴포넌트</x:v>
      </x:c>
      <x:c r="D284" s="5" t="str">
        <x:v>선택</x:v>
      </x:c>
      <x:c r="E284" s="5" t="str">
        <x:v>체크박스</x:v>
      </x:c>
      <x:c r="F284" s="5" t="str">
        <x:v>접근성 가이드라인</x:v>
      </x:c>
      <x:c r="G284" s="5" t="str">
        <x:v>04</x:v>
      </x:c>
      <x:c r="H284" s="5" t="n">
        <x:v>548</x:v>
      </x:c>
      <x:c r="I284" s="5" t="n">
        <x:v>548</x:v>
      </x:c>
      <x:c r="J284" s="5" t="str"/>
      <x:c r="K284" s="5" t="str">
        <x:v>체크박스에 키보드 초점이 명확하게 표시되도록 한다.</x:v>
      </x:c>
      <x:c r="L284" s="5" t="str">
        <x:v>원문 세부기준</x:v>
      </x:c>
      <x:c r="M284" s="5" t="str">
        <x:v>추출 후 기본 구조 검토; 원문 적용수준·전체 맥락 재확인 필요</x:v>
      </x:c>
      <x:c r="N284" s="5" t="str">
        <x:v>UI-043
UI-107</x:v>
      </x:c>
      <x:c r="O284" s="5" t="str">
        <x:v>자동 추출 후보 / 공식 전수 체크리스트 아님</x:v>
      </x:c>
    </x:row>
    <x:row r="285" ht="26.399999618530273" hidden="0" customHeight="1">
      <x:c r="A285" s="5" t="str">
        <x:v>KRDS-SEC-044-U-05</x:v>
      </x:c>
      <x:c r="B285" s="5" t="str">
        <x:v>KRDS-SEC-044</x:v>
      </x:c>
      <x:c r="C285" s="5" t="str">
        <x:v>컴포넌트</x:v>
      </x:c>
      <x:c r="D285" s="5" t="str">
        <x:v>선택</x:v>
      </x:c>
      <x:c r="E285" s="5" t="str">
        <x:v>체크박스</x:v>
      </x:c>
      <x:c r="F285" s="5" t="str">
        <x:v>사용성 가이드라인</x:v>
      </x:c>
      <x:c r="G285" s="5" t="str">
        <x:v>05</x:v>
      </x:c>
      <x:c r="H285" s="5" t="n">
        <x:v>549</x:v>
      </x:c>
      <x:c r="I285" s="5" t="n">
        <x:v>549</x:v>
      </x:c>
      <x:c r="J285" s="5" t="str"/>
      <x:c r="K285" s="5" t="str">
        <x:v>체크박스에 접근 가능한 이름을 제공한다.</x:v>
      </x:c>
      <x:c r="L285" s="5" t="str">
        <x:v>원문 세부기준</x:v>
      </x:c>
      <x:c r="M285" s="5" t="str">
        <x:v>추출 후 기본 구조 검토; 원문 적용수준·전체 맥락 재확인 필요</x:v>
      </x:c>
      <x:c r="N285" s="5" t="str">
        <x:v>UI-043
UI-107</x:v>
      </x:c>
      <x:c r="O285" s="5" t="str">
        <x:v>자동 추출 후보 / 공식 전수 체크리스트 아님</x:v>
      </x:c>
    </x:row>
    <x:row r="286" ht="26.399999618530273" hidden="0" customHeight="1">
      <x:c r="A286" s="5" t="str">
        <x:v>KRDS-SEC-044-U-06</x:v>
      </x:c>
      <x:c r="B286" s="5" t="str">
        <x:v>KRDS-SEC-044</x:v>
      </x:c>
      <x:c r="C286" s="5" t="str">
        <x:v>컴포넌트</x:v>
      </x:c>
      <x:c r="D286" s="5" t="str">
        <x:v>선택</x:v>
      </x:c>
      <x:c r="E286" s="5" t="str">
        <x:v>체크박스</x:v>
      </x:c>
      <x:c r="F286" s="5" t="str">
        <x:v>사용성 가이드라인</x:v>
      </x:c>
      <x:c r="G286" s="5" t="str">
        <x:v>06</x:v>
      </x:c>
      <x:c r="H286" s="5" t="n">
        <x:v>549</x:v>
      </x:c>
      <x:c r="I286" s="5" t="n">
        <x:v>549</x:v>
      </x:c>
      <x:c r="J286" s="5" t="str"/>
      <x:c r="K286" s="5" t="str">
        <x:v>스크린 리더에서 그룹 레이블과 체크박스 그룹의 관계를 확인할 수 있도록 한다.</x:v>
      </x:c>
      <x:c r="L286" s="5" t="str">
        <x:v>원문 세부기준</x:v>
      </x:c>
      <x:c r="M286" s="5" t="str">
        <x:v>추출 후 기본 구조 검토; 원문 적용수준·전체 맥락 재확인 필요</x:v>
      </x:c>
      <x:c r="N286" s="5" t="str">
        <x:v>UI-043
UI-107</x:v>
      </x:c>
      <x:c r="O286" s="5" t="str">
        <x:v>자동 추출 후보 / 공식 전수 체크리스트 아님</x:v>
      </x:c>
    </x:row>
    <x:row r="287" ht="26.399999618530273" hidden="0" customHeight="1">
      <x:c r="A287" s="5" t="str">
        <x:v>KRDS-SEC-045-U-01</x:v>
      </x:c>
      <x:c r="B287" s="5" t="str">
        <x:v>KRDS-SEC-045</x:v>
      </x:c>
      <x:c r="C287" s="5" t="str">
        <x:v>컴포넌트</x:v>
      </x:c>
      <x:c r="D287" s="5" t="str">
        <x:v>선택</x:v>
      </x:c>
      <x:c r="E287" s="5" t="str">
        <x:v>셀렉트</x:v>
      </x:c>
      <x:c r="F287" s="5" t="str">
        <x:v>사용성 가이드라인</x:v>
      </x:c>
      <x:c r="G287" s="5" t="str">
        <x:v>01</x:v>
      </x:c>
      <x:c r="H287" s="5" t="n">
        <x:v>554</x:v>
      </x:c>
      <x:c r="I287" s="5" t="n">
        <x:v>554</x:v>
      </x:c>
      <x:c r="J287" s="5" t="str">
        <x:v>555</x:v>
      </x:c>
      <x:c r="K287" s="5" t="str">
        <x:v>옵션 텍스트를 간결하게 제공한다.</x:v>
      </x:c>
      <x:c r="L287" s="5" t="str">
        <x:v>원문 세부기준</x:v>
      </x:c>
      <x:c r="M287" s="5" t="str">
        <x:v>추출 후 기본 구조 검토; 원문 적용수준·전체 맥락 재확인 필요</x:v>
      </x:c>
      <x:c r="N287" s="5" t="str">
        <x:v>UI-044
UI-108</x:v>
      </x:c>
      <x:c r="O287" s="5" t="str">
        <x:v>자동 추출 후보 / 공식 전수 체크리스트 아님</x:v>
      </x:c>
    </x:row>
    <x:row r="288" ht="26.399999618530273" hidden="0" customHeight="1">
      <x:c r="A288" s="5" t="str">
        <x:v>KRDS-SEC-045-U-02</x:v>
      </x:c>
      <x:c r="B288" s="5" t="str">
        <x:v>KRDS-SEC-045</x:v>
      </x:c>
      <x:c r="C288" s="5" t="str">
        <x:v>컴포넌트</x:v>
      </x:c>
      <x:c r="D288" s="5" t="str">
        <x:v>선택</x:v>
      </x:c>
      <x:c r="E288" s="5" t="str">
        <x:v>셀렉트</x:v>
      </x:c>
      <x:c r="F288" s="5" t="str">
        <x:v>사용성 가이드라인</x:v>
      </x:c>
      <x:c r="G288" s="5" t="str">
        <x:v>02</x:v>
      </x:c>
      <x:c r="H288" s="5" t="n">
        <x:v>554</x:v>
      </x:c>
      <x:c r="I288" s="5" t="n">
        <x:v>554</x:v>
      </x:c>
      <x:c r="J288" s="5" t="str">
        <x:v>555</x:v>
      </x:c>
      <x:c r="K288" s="5" t="str">
        <x:v>모든 셀렉트에는 레이블을 제공한다.</x:v>
      </x:c>
      <x:c r="L288" s="5" t="str">
        <x:v>원문 세부기준</x:v>
      </x:c>
      <x:c r="M288" s="5" t="str">
        <x:v>추출 후 기본 구조 검토; 원문 적용수준·전체 맥락 재확인 필요</x:v>
      </x:c>
      <x:c r="N288" s="5" t="str">
        <x:v>UI-044
UI-108</x:v>
      </x:c>
      <x:c r="O288" s="5" t="str">
        <x:v>자동 추출 후보 / 공식 전수 체크리스트 아님</x:v>
      </x:c>
    </x:row>
    <x:row r="289" ht="26.399999618530273" hidden="0" customHeight="1">
      <x:c r="A289" s="5" t="str">
        <x:v>KRDS-SEC-045-U-03</x:v>
      </x:c>
      <x:c r="B289" s="5" t="str">
        <x:v>KRDS-SEC-045</x:v>
      </x:c>
      <x:c r="C289" s="5" t="str">
        <x:v>컴포넌트</x:v>
      </x:c>
      <x:c r="D289" s="5" t="str">
        <x:v>선택</x:v>
      </x:c>
      <x:c r="E289" s="5" t="str">
        <x:v>셀렉트</x:v>
      </x:c>
      <x:c r="F289" s="5" t="str">
        <x:v>사용성 가이드라인</x:v>
      </x:c>
      <x:c r="G289" s="5" t="str">
        <x:v>03</x:v>
      </x:c>
      <x:c r="H289" s="5" t="n">
        <x:v>554</x:v>
      </x:c>
      <x:c r="I289" s="5" t="n">
        <x:v>554</x:v>
      </x:c>
      <x:c r="J289" s="5" t="str">
        <x:v>555</x:v>
      </x:c>
      <x:c r="K289" s="5" t="str">
        <x:v>셀렉트의 값을 변경하였을 때 폼이 제출되어서는 안 된다.</x:v>
      </x:c>
      <x:c r="L289" s="5" t="str">
        <x:v>원문 세부기준</x:v>
      </x:c>
      <x:c r="M289" s="5" t="str">
        <x:v>추출 후 기본 구조 검토; 원문 적용수준·전체 맥락 재확인 필요</x:v>
      </x:c>
      <x:c r="N289" s="5" t="str">
        <x:v>UI-044
UI-108</x:v>
      </x:c>
      <x:c r="O289" s="5" t="str">
        <x:v>자동 추출 후보 / 공식 전수 체크리스트 아님</x:v>
      </x:c>
    </x:row>
    <x:row r="290" ht="26.399999618530273" hidden="0" customHeight="1">
      <x:c r="A290" s="5" t="str">
        <x:v>KRDS-SEC-045-A-01</x:v>
      </x:c>
      <x:c r="B290" s="5" t="str">
        <x:v>KRDS-SEC-045</x:v>
      </x:c>
      <x:c r="C290" s="5" t="str">
        <x:v>컴포넌트</x:v>
      </x:c>
      <x:c r="D290" s="5" t="str">
        <x:v>선택</x:v>
      </x:c>
      <x:c r="E290" s="5" t="str">
        <x:v>셀렉트</x:v>
      </x:c>
      <x:c r="F290" s="5" t="str">
        <x:v>접근성 가이드라인</x:v>
      </x:c>
      <x:c r="G290" s="5" t="str">
        <x:v>01</x:v>
      </x:c>
      <x:c r="H290" s="5" t="n">
        <x:v>556</x:v>
      </x:c>
      <x:c r="I290" s="5" t="n">
        <x:v>556</x:v>
      </x:c>
      <x:c r="J290" s="5" t="str"/>
      <x:c r="K290" s="5" t="str">
        <x:v>셀렉트에 접근 가능한 이름을 제공한다.</x:v>
      </x:c>
      <x:c r="L290" s="5" t="str">
        <x:v>원문 세부기준</x:v>
      </x:c>
      <x:c r="M290" s="5" t="str">
        <x:v>추출 후 기본 구조 검토; 원문 적용수준·전체 맥락 재확인 필요</x:v>
      </x:c>
      <x:c r="N290" s="5" t="str">
        <x:v>UI-044
UI-108</x:v>
      </x:c>
      <x:c r="O290" s="5" t="str">
        <x:v>자동 추출 후보 / 공식 전수 체크리스트 아님</x:v>
      </x:c>
    </x:row>
    <x:row r="291" ht="26.399999618530273" hidden="0" customHeight="1">
      <x:c r="A291" s="5" t="str">
        <x:v>KRDS-SEC-045-A-02</x:v>
      </x:c>
      <x:c r="B291" s="5" t="str">
        <x:v>KRDS-SEC-045</x:v>
      </x:c>
      <x:c r="C291" s="5" t="str">
        <x:v>컴포넌트</x:v>
      </x:c>
      <x:c r="D291" s="5" t="str">
        <x:v>선택</x:v>
      </x:c>
      <x:c r="E291" s="5" t="str">
        <x:v>셀렉트</x:v>
      </x:c>
      <x:c r="F291" s="5" t="str">
        <x:v>접근성 가이드라인</x:v>
      </x:c>
      <x:c r="G291" s="5" t="str">
        <x:v>02</x:v>
      </x:c>
      <x:c r="H291" s="5" t="n">
        <x:v>556</x:v>
      </x:c>
      <x:c r="I291" s="5" t="n">
        <x:v>556</x:v>
      </x:c>
      <x:c r="J291" s="5" t="str"/>
      <x:c r="K291" s="5" t="str">
        <x:v>셀렉트 아이콘과 인접 배경 간 명도 대비를 3:1 이상으로 표현한다.</x:v>
      </x:c>
      <x:c r="L291" s="5" t="str">
        <x:v>원문 세부기준</x:v>
      </x:c>
      <x:c r="M291" s="5" t="str">
        <x:v>추출 후 기본 구조 검토; 원문 적용수준·전체 맥락 재확인 필요</x:v>
      </x:c>
      <x:c r="N291" s="5" t="str">
        <x:v>UI-044
UI-108</x:v>
      </x:c>
      <x:c r="O291" s="5" t="str">
        <x:v>자동 추출 후보 / 공식 전수 체크리스트 아님</x:v>
      </x:c>
    </x:row>
    <x:row r="292" ht="15" hidden="0" customHeight="1">
      <x:c r="A292" s="5" t="str">
        <x:v>KRDS-SEC-046-U-01</x:v>
      </x:c>
      <x:c r="B292" s="5" t="str">
        <x:v>KRDS-SEC-046</x:v>
      </x:c>
      <x:c r="C292" s="5" t="str">
        <x:v>컴포넌트</x:v>
      </x:c>
      <x:c r="D292" s="5" t="str">
        <x:v>선택</x:v>
      </x:c>
      <x:c r="E292" s="5" t="str">
        <x:v>태그</x:v>
      </x:c>
      <x:c r="F292" s="5" t="str">
        <x:v>사용성 가이드라인</x:v>
      </x:c>
      <x:c r="G292" s="5" t="str">
        <x:v>01</x:v>
      </x:c>
      <x:c r="H292" s="5" t="n">
        <x:v>562</x:v>
      </x:c>
      <x:c r="I292" s="5" t="n">
        <x:v>562</x:v>
      </x:c>
      <x:c r="J292" s="5" t="str">
        <x:v>563</x:v>
      </x:c>
      <x:c r="K292" s="5" t="str">
        <x:v>레이블은 정확한 내용으로 간결하게 제공한다.</x:v>
      </x:c>
      <x:c r="L292" s="5" t="str">
        <x:v>원문 세부기준</x:v>
      </x:c>
      <x:c r="M292" s="5" t="str">
        <x:v>추출 후 기본 구조 검토; 원문 적용수준·전체 맥락 재확인 필요</x:v>
      </x:c>
      <x:c r="N292" s="5" t="str">
        <x:v>UI-045</x:v>
      </x:c>
      <x:c r="O292" s="5" t="str">
        <x:v>자동 추출 후보 / 공식 전수 체크리스트 아님</x:v>
      </x:c>
    </x:row>
    <x:row r="293" ht="15" hidden="0" customHeight="1">
      <x:c r="A293" s="5" t="str">
        <x:v>KRDS-SEC-046-U-02</x:v>
      </x:c>
      <x:c r="B293" s="5" t="str">
        <x:v>KRDS-SEC-046</x:v>
      </x:c>
      <x:c r="C293" s="5" t="str">
        <x:v>컴포넌트</x:v>
      </x:c>
      <x:c r="D293" s="5" t="str">
        <x:v>선택</x:v>
      </x:c>
      <x:c r="E293" s="5" t="str">
        <x:v>태그</x:v>
      </x:c>
      <x:c r="F293" s="5" t="str">
        <x:v>사용성 가이드라인</x:v>
      </x:c>
      <x:c r="G293" s="5" t="str">
        <x:v>02</x:v>
      </x:c>
      <x:c r="H293" s="5" t="n">
        <x:v>562</x:v>
      </x:c>
      <x:c r="I293" s="5" t="n">
        <x:v>562</x:v>
      </x:c>
      <x:c r="J293" s="5" t="str">
        <x:v>563</x:v>
      </x:c>
      <x:c r="K293" s="5" t="str">
        <x:v>태그는 관련 요소 주변에 배치한다.</x:v>
      </x:c>
      <x:c r="L293" s="5" t="str">
        <x:v>원문 세부기준</x:v>
      </x:c>
      <x:c r="M293" s="5" t="str">
        <x:v>추출 후 기본 구조 검토; 원문 적용수준·전체 맥락 재확인 필요</x:v>
      </x:c>
      <x:c r="N293" s="5" t="str">
        <x:v>UI-045</x:v>
      </x:c>
      <x:c r="O293" s="5" t="str">
        <x:v>자동 추출 후보 / 공식 전수 체크리스트 아님</x:v>
      </x:c>
    </x:row>
    <x:row r="294" ht="15" hidden="0" customHeight="1">
      <x:c r="A294" s="5" t="str">
        <x:v>KRDS-SEC-046-U-03</x:v>
      </x:c>
      <x:c r="B294" s="5" t="str">
        <x:v>KRDS-SEC-046</x:v>
      </x:c>
      <x:c r="C294" s="5" t="str">
        <x:v>컴포넌트</x:v>
      </x:c>
      <x:c r="D294" s="5" t="str">
        <x:v>선택</x:v>
      </x:c>
      <x:c r="E294" s="5" t="str">
        <x:v>태그</x:v>
      </x:c>
      <x:c r="F294" s="5" t="str">
        <x:v>사용성 가이드라인</x:v>
      </x:c>
      <x:c r="G294" s="5" t="str">
        <x:v>03</x:v>
      </x:c>
      <x:c r="H294" s="5" t="n">
        <x:v>562</x:v>
      </x:c>
      <x:c r="I294" s="5" t="n">
        <x:v>562</x:v>
      </x:c>
      <x:c r="J294" s="5" t="str">
        <x:v>563</x:v>
      </x:c>
      <x:c r="K294" s="5" t="str">
        <x:v>대화형 태그와 비대화형 태그를 같은 그룹에 포함하지 않는다.</x:v>
      </x:c>
      <x:c r="L294" s="5" t="str">
        <x:v>원문 세부기준</x:v>
      </x:c>
      <x:c r="M294" s="5" t="str">
        <x:v>추출 후 기본 구조 검토; 원문 적용수준·전체 맥락 재확인 필요</x:v>
      </x:c>
      <x:c r="N294" s="5" t="str">
        <x:v>UI-045</x:v>
      </x:c>
      <x:c r="O294" s="5" t="str">
        <x:v>자동 추출 후보 / 공식 전수 체크리스트 아님</x:v>
      </x:c>
    </x:row>
    <x:row r="295" ht="15" hidden="0" customHeight="1">
      <x:c r="A295" s="5" t="str">
        <x:v>KRDS-SEC-046-U-04</x:v>
      </x:c>
      <x:c r="B295" s="5" t="str">
        <x:v>KRDS-SEC-046</x:v>
      </x:c>
      <x:c r="C295" s="5" t="str">
        <x:v>컴포넌트</x:v>
      </x:c>
      <x:c r="D295" s="5" t="str">
        <x:v>선택</x:v>
      </x:c>
      <x:c r="E295" s="5" t="str">
        <x:v>태그</x:v>
      </x:c>
      <x:c r="F295" s="5" t="str">
        <x:v>사용성 가이드라인</x:v>
      </x:c>
      <x:c r="G295" s="5" t="str">
        <x:v>04</x:v>
      </x:c>
      <x:c r="H295" s="5" t="n">
        <x:v>562</x:v>
      </x:c>
      <x:c r="I295" s="5" t="n">
        <x:v>562</x:v>
      </x:c>
      <x:c r="J295" s="5" t="str">
        <x:v>563</x:v>
      </x:c>
      <x:c r="K295" s="5" t="str">
        <x:v>지나치게 많은 태그를 사용하지 않는다.</x:v>
      </x:c>
      <x:c r="L295" s="5" t="str">
        <x:v>원문 세부기준</x:v>
      </x:c>
      <x:c r="M295" s="5" t="str">
        <x:v>추출 후 기본 구조 검토; 원문 적용수준·전체 맥락 재확인 필요</x:v>
      </x:c>
      <x:c r="N295" s="5" t="str">
        <x:v>UI-045</x:v>
      </x:c>
      <x:c r="O295" s="5" t="str">
        <x:v>자동 추출 후보 / 공식 전수 체크리스트 아님</x:v>
      </x:c>
    </x:row>
    <x:row r="296" ht="15" hidden="0" customHeight="1">
      <x:c r="A296" s="5" t="str">
        <x:v>KRDS-SEC-046-U-05</x:v>
      </x:c>
      <x:c r="B296" s="5" t="str">
        <x:v>KRDS-SEC-046</x:v>
      </x:c>
      <x:c r="C296" s="5" t="str">
        <x:v>컴포넌트</x:v>
      </x:c>
      <x:c r="D296" s="5" t="str">
        <x:v>선택</x:v>
      </x:c>
      <x:c r="E296" s="5" t="str">
        <x:v>태그</x:v>
      </x:c>
      <x:c r="F296" s="5" t="str">
        <x:v>사용성 가이드라인</x:v>
      </x:c>
      <x:c r="G296" s="5" t="str">
        <x:v>05</x:v>
      </x:c>
      <x:c r="H296" s="5" t="n">
        <x:v>562</x:v>
      </x:c>
      <x:c r="I296" s="5" t="n">
        <x:v>562</x:v>
      </x:c>
      <x:c r="J296" s="5" t="str">
        <x:v>564</x:v>
      </x:c>
      <x:c r="K296" s="5" t="str">
        <x:v>태그의 표현에 지나치게 많은 색상을 사용하지 않는다.</x:v>
      </x:c>
      <x:c r="L296" s="5" t="str">
        <x:v>원문 세부기준</x:v>
      </x:c>
      <x:c r="M296" s="5" t="str">
        <x:v>추출 후 기본 구조 검토; 원문 적용수준·전체 맥락 재확인 필요</x:v>
      </x:c>
      <x:c r="N296" s="5" t="str">
        <x:v>UI-045</x:v>
      </x:c>
      <x:c r="O296" s="5" t="str">
        <x:v>자동 추출 후보 / 공식 전수 체크리스트 아님</x:v>
      </x:c>
    </x:row>
    <x:row r="297" ht="15" hidden="0" customHeight="1">
      <x:c r="A297" s="5" t="str">
        <x:v>KRDS-SEC-046-U-06</x:v>
      </x:c>
      <x:c r="B297" s="5" t="str">
        <x:v>KRDS-SEC-046</x:v>
      </x:c>
      <x:c r="C297" s="5" t="str">
        <x:v>컴포넌트</x:v>
      </x:c>
      <x:c r="D297" s="5" t="str">
        <x:v>선택</x:v>
      </x:c>
      <x:c r="E297" s="5" t="str">
        <x:v>태그</x:v>
      </x:c>
      <x:c r="F297" s="5" t="str">
        <x:v>사용성 가이드라인</x:v>
      </x:c>
      <x:c r="G297" s="5" t="str">
        <x:v>06</x:v>
      </x:c>
      <x:c r="H297" s="5" t="n">
        <x:v>565</x:v>
      </x:c>
      <x:c r="I297" s="5" t="n">
        <x:v>565</x:v>
      </x:c>
      <x:c r="J297" s="5" t="str"/>
      <x:c r="K297" s="5" t="str">
        <x:v>태그의 표현에 지나치게 많은 색상을 사용하지 않는다.</x:v>
      </x:c>
      <x:c r="L297" s="5" t="str">
        <x:v>원문 세부기준</x:v>
      </x:c>
      <x:c r="M297" s="5" t="str">
        <x:v>추출 후 기본 구조 검토; 원문 적용수준·전체 맥락 재확인 필요</x:v>
      </x:c>
      <x:c r="N297" s="5" t="str">
        <x:v>UI-045</x:v>
      </x:c>
      <x:c r="O297" s="5" t="str">
        <x:v>자동 추출 후보 / 공식 전수 체크리스트 아님</x:v>
      </x:c>
    </x:row>
    <x:row r="298" ht="15" hidden="0" customHeight="1">
      <x:c r="A298" s="5" t="str">
        <x:v>KRDS-SEC-046-A-01</x:v>
      </x:c>
      <x:c r="B298" s="5" t="str">
        <x:v>KRDS-SEC-046</x:v>
      </x:c>
      <x:c r="C298" s="5" t="str">
        <x:v>컴포넌트</x:v>
      </x:c>
      <x:c r="D298" s="5" t="str">
        <x:v>선택</x:v>
      </x:c>
      <x:c r="E298" s="5" t="str">
        <x:v>태그</x:v>
      </x:c>
      <x:c r="F298" s="5" t="str">
        <x:v>접근성 가이드라인</x:v>
      </x:c>
      <x:c r="G298" s="5" t="str">
        <x:v>01</x:v>
      </x:c>
      <x:c r="H298" s="5" t="n">
        <x:v>566</x:v>
      </x:c>
      <x:c r="I298" s="5" t="n">
        <x:v>566</x:v>
      </x:c>
      <x:c r="J298" s="5" t="str"/>
      <x:c r="K298" s="5" t="str">
        <x:v>대화형 태그의 초점을 명확하게 표시한다.</x:v>
      </x:c>
      <x:c r="L298" s="5" t="str">
        <x:v>원문 세부기준</x:v>
      </x:c>
      <x:c r="M298" s="5" t="str">
        <x:v>추출 후 기본 구조 검토; 원문 적용수준·전체 맥락 재확인 필요</x:v>
      </x:c>
      <x:c r="N298" s="5" t="str">
        <x:v>UI-045</x:v>
      </x:c>
      <x:c r="O298" s="5" t="str">
        <x:v>자동 추출 후보 / 공식 전수 체크리스트 아님</x:v>
      </x:c>
    </x:row>
    <x:row r="299" ht="15" hidden="0" customHeight="1">
      <x:c r="A299" s="5" t="str">
        <x:v>KRDS-SEC-046-A-02</x:v>
      </x:c>
      <x:c r="B299" s="5" t="str">
        <x:v>KRDS-SEC-046</x:v>
      </x:c>
      <x:c r="C299" s="5" t="str">
        <x:v>컴포넌트</x:v>
      </x:c>
      <x:c r="D299" s="5" t="str">
        <x:v>선택</x:v>
      </x:c>
      <x:c r="E299" s="5" t="str">
        <x:v>태그</x:v>
      </x:c>
      <x:c r="F299" s="5" t="str">
        <x:v>접근성 가이드라인</x:v>
      </x:c>
      <x:c r="G299" s="5" t="str">
        <x:v>02</x:v>
      </x:c>
      <x:c r="H299" s="5" t="n">
        <x:v>566</x:v>
      </x:c>
      <x:c r="I299" s="5" t="n">
        <x:v>566</x:v>
      </x:c>
      <x:c r="J299" s="5" t="str"/>
      <x:c r="K299" s="5" t="str">
        <x:v>대화형 태그에 기능 또는 상태 정보를 명확하게 제공한다.</x:v>
      </x:c>
      <x:c r="L299" s="5" t="str">
        <x:v>원문 세부기준</x:v>
      </x:c>
      <x:c r="M299" s="5" t="str">
        <x:v>추출 후 기본 구조 검토; 원문 적용수준·전체 맥락 재확인 필요</x:v>
      </x:c>
      <x:c r="N299" s="5" t="str">
        <x:v>UI-045</x:v>
      </x:c>
      <x:c r="O299" s="5" t="str">
        <x:v>자동 추출 후보 / 공식 전수 체크리스트 아님</x:v>
      </x:c>
    </x:row>
    <x:row r="300" ht="15" hidden="0" customHeight="1">
      <x:c r="A300" s="5" t="str">
        <x:v>KRDS-SEC-046-A-03</x:v>
      </x:c>
      <x:c r="B300" s="5" t="str">
        <x:v>KRDS-SEC-046</x:v>
      </x:c>
      <x:c r="C300" s="5" t="str">
        <x:v>컴포넌트</x:v>
      </x:c>
      <x:c r="D300" s="5" t="str">
        <x:v>선택</x:v>
      </x:c>
      <x:c r="E300" s="5" t="str">
        <x:v>태그</x:v>
      </x:c>
      <x:c r="F300" s="5" t="str">
        <x:v>접근성 가이드라인</x:v>
      </x:c>
      <x:c r="G300" s="5" t="str">
        <x:v>03</x:v>
      </x:c>
      <x:c r="H300" s="5" t="n">
        <x:v>567</x:v>
      </x:c>
      <x:c r="I300" s="5" t="n">
        <x:v>567</x:v>
      </x:c>
      <x:c r="J300" s="5" t="str"/>
      <x:c r="K300" s="5" t="str">
        <x:v>태그의 색상으로 의미를 전달하지 않아야 한다.</x:v>
      </x:c>
      <x:c r="L300" s="5" t="str">
        <x:v>원문 세부기준</x:v>
      </x:c>
      <x:c r="M300" s="5" t="str">
        <x:v>추출 후 기본 구조 검토; 원문 적용수준·전체 맥락 재확인 필요</x:v>
      </x:c>
      <x:c r="N300" s="5" t="str">
        <x:v>UI-045</x:v>
      </x:c>
      <x:c r="O300" s="5" t="str">
        <x:v>자동 추출 후보 / 공식 전수 체크리스트 아님</x:v>
      </x:c>
    </x:row>
    <x:row r="301" ht="15" hidden="0" customHeight="1">
      <x:c r="A301" s="5" t="str">
        <x:v>KRDS-SEC-046-A-04</x:v>
      </x:c>
      <x:c r="B301" s="5" t="str">
        <x:v>KRDS-SEC-046</x:v>
      </x:c>
      <x:c r="C301" s="5" t="str">
        <x:v>컴포넌트</x:v>
      </x:c>
      <x:c r="D301" s="5" t="str">
        <x:v>선택</x:v>
      </x:c>
      <x:c r="E301" s="5" t="str">
        <x:v>태그</x:v>
      </x:c>
      <x:c r="F301" s="5" t="str">
        <x:v>접근성 가이드라인</x:v>
      </x:c>
      <x:c r="G301" s="5" t="str">
        <x:v>04</x:v>
      </x:c>
      <x:c r="H301" s="5" t="n">
        <x:v>567</x:v>
      </x:c>
      <x:c r="I301" s="5" t="n">
        <x:v>567</x:v>
      </x:c>
      <x:c r="J301" s="5" t="str"/>
      <x:c r="K301" s="5" t="str">
        <x:v>태그 레이블, 아이콘이 인접 배경과 3:1 이상의 명도 대비를 갖도록 표현한다.</x:v>
      </x:c>
      <x:c r="L301" s="5" t="str">
        <x:v>원문 세부기준</x:v>
      </x:c>
      <x:c r="M301" s="5" t="str">
        <x:v>추출 후 기본 구조 검토; 원문 적용수준·전체 맥락 재확인 필요</x:v>
      </x:c>
      <x:c r="N301" s="5" t="str">
        <x:v>UI-045</x:v>
      </x:c>
      <x:c r="O301" s="5" t="str">
        <x:v>자동 추출 후보 / 공식 전수 체크리스트 아님</x:v>
      </x:c>
    </x:row>
    <x:row r="302" ht="26.399999618530273" hidden="0" customHeight="1">
      <x:c r="A302" s="5" t="str">
        <x:v>KRDS-SEC-047-U-01</x:v>
      </x:c>
      <x:c r="B302" s="5" t="str">
        <x:v>KRDS-SEC-047</x:v>
      </x:c>
      <x:c r="C302" s="5" t="str">
        <x:v>컴포넌트</x:v>
      </x:c>
      <x:c r="D302" s="5" t="str">
        <x:v>선택</x:v>
      </x:c>
      <x:c r="E302" s="5" t="str">
        <x:v>토글 스위치</x:v>
      </x:c>
      <x:c r="F302" s="5" t="str">
        <x:v>사용성 가이드라인</x:v>
      </x:c>
      <x:c r="G302" s="5" t="str">
        <x:v>01</x:v>
      </x:c>
      <x:c r="H302" s="5" t="n">
        <x:v>573</x:v>
      </x:c>
      <x:c r="I302" s="5" t="n">
        <x:v>573</x:v>
      </x:c>
      <x:c r="J302" s="5" t="str">
        <x:v>574</x:v>
      </x:c>
      <x:c r="K302" s="5" t="str">
        <x:v>레이블은 가능한 명사형으로 작성한다.</x:v>
      </x:c>
      <x:c r="L302" s="5" t="str">
        <x:v>원문 세부기준</x:v>
      </x:c>
      <x:c r="M302" s="5" t="str">
        <x:v>추출 후 기본 구조 검토; 원문 적용수준·전체 맥락 재확인 필요</x:v>
      </x:c>
      <x:c r="N302" s="5" t="str">
        <x:v>UI-046
UI-109</x:v>
      </x:c>
      <x:c r="O302" s="5" t="str">
        <x:v>자동 추출 후보 / 공식 전수 체크리스트 아님</x:v>
      </x:c>
    </x:row>
    <x:row r="303" ht="26.399999618530273" hidden="0" customHeight="1">
      <x:c r="A303" s="5" t="str">
        <x:v>KRDS-SEC-047-U-02</x:v>
      </x:c>
      <x:c r="B303" s="5" t="str">
        <x:v>KRDS-SEC-047</x:v>
      </x:c>
      <x:c r="C303" s="5" t="str">
        <x:v>컴포넌트</x:v>
      </x:c>
      <x:c r="D303" s="5" t="str">
        <x:v>선택</x:v>
      </x:c>
      <x:c r="E303" s="5" t="str">
        <x:v>토글 스위치</x:v>
      </x:c>
      <x:c r="F303" s="5" t="str">
        <x:v>사용성 가이드라인</x:v>
      </x:c>
      <x:c r="G303" s="5" t="str">
        <x:v>02</x:v>
      </x:c>
      <x:c r="H303" s="5" t="n">
        <x:v>573</x:v>
      </x:c>
      <x:c r="I303" s="5" t="n">
        <x:v>573</x:v>
      </x:c>
      <x:c r="J303" s="5" t="str">
        <x:v>575</x:v>
      </x:c>
      <x:c r="K303" s="5" t="str">
        <x:v>스위치 상태에 상관없이 레이블을 일관되게 유지한다.</x:v>
      </x:c>
      <x:c r="L303" s="5" t="str">
        <x:v>원문 세부기준</x:v>
      </x:c>
      <x:c r="M303" s="5" t="str">
        <x:v>추출 후 기본 구조 검토; 원문 적용수준·전체 맥락 재확인 필요</x:v>
      </x:c>
      <x:c r="N303" s="5" t="str">
        <x:v>UI-046
UI-109</x:v>
      </x:c>
      <x:c r="O303" s="5" t="str">
        <x:v>자동 추출 후보 / 공식 전수 체크리스트 아님</x:v>
      </x:c>
    </x:row>
    <x:row r="304" ht="26.399999618530273" hidden="0" customHeight="1">
      <x:c r="A304" s="5" t="str">
        <x:v>KRDS-SEC-047-U-03</x:v>
      </x:c>
      <x:c r="B304" s="5" t="str">
        <x:v>KRDS-SEC-047</x:v>
      </x:c>
      <x:c r="C304" s="5" t="str">
        <x:v>컴포넌트</x:v>
      </x:c>
      <x:c r="D304" s="5" t="str">
        <x:v>선택</x:v>
      </x:c>
      <x:c r="E304" s="5" t="str">
        <x:v>토글 스위치</x:v>
      </x:c>
      <x:c r="F304" s="5" t="str">
        <x:v>사용성 가이드라인</x:v>
      </x:c>
      <x:c r="G304" s="5" t="str">
        <x:v>03</x:v>
      </x:c>
      <x:c r="H304" s="5" t="n">
        <x:v>573</x:v>
      </x:c>
      <x:c r="I304" s="5" t="n">
        <x:v>573</x:v>
      </x:c>
      <x:c r="J304" s="5" t="str">
        <x:v>576</x:v>
      </x:c>
      <x:c r="K304" s="5" t="str">
        <x:v>레이블과 스위치 사이의 거리에 유의한다.</x:v>
      </x:c>
      <x:c r="L304" s="5" t="str">
        <x:v>원문 세부기준</x:v>
      </x:c>
      <x:c r="M304" s="5" t="str">
        <x:v>추출 후 기본 구조 검토; 원문 적용수준·전체 맥락 재확인 필요</x:v>
      </x:c>
      <x:c r="N304" s="5" t="str">
        <x:v>UI-046
UI-109</x:v>
      </x:c>
      <x:c r="O304" s="5" t="str">
        <x:v>자동 추출 후보 / 공식 전수 체크리스트 아님</x:v>
      </x:c>
    </x:row>
    <x:row r="305" ht="26.399999618530273" hidden="0" customHeight="1">
      <x:c r="A305" s="5" t="str">
        <x:v>KRDS-SEC-047-U-04</x:v>
      </x:c>
      <x:c r="B305" s="5" t="str">
        <x:v>KRDS-SEC-047</x:v>
      </x:c>
      <x:c r="C305" s="5" t="str">
        <x:v>컴포넌트</x:v>
      </x:c>
      <x:c r="D305" s="5" t="str">
        <x:v>선택</x:v>
      </x:c>
      <x:c r="E305" s="5" t="str">
        <x:v>토글 스위치</x:v>
      </x:c>
      <x:c r="F305" s="5" t="str">
        <x:v>사용성 가이드라인</x:v>
      </x:c>
      <x:c r="G305" s="5" t="str">
        <x:v>04</x:v>
      </x:c>
      <x:c r="H305" s="5" t="n">
        <x:v>573</x:v>
      </x:c>
      <x:c r="I305" s="5" t="n">
        <x:v>573</x:v>
      </x:c>
      <x:c r="J305" s="5" t="str">
        <x:v>577</x:v>
      </x:c>
      <x:c r="K305" s="5" t="str">
        <x:v>한 화면 내에서의 토글 스위치 표현에 동일한 레이아웃을 사용한다.</x:v>
      </x:c>
      <x:c r="L305" s="5" t="str">
        <x:v>원문 세부기준</x:v>
      </x:c>
      <x:c r="M305" s="5" t="str">
        <x:v>추출 후 기본 구조 검토; 원문 적용수준·전체 맥락 재확인 필요</x:v>
      </x:c>
      <x:c r="N305" s="5" t="str">
        <x:v>UI-046
UI-109</x:v>
      </x:c>
      <x:c r="O305" s="5" t="str">
        <x:v>자동 추출 후보 / 공식 전수 체크리스트 아님</x:v>
      </x:c>
    </x:row>
    <x:row r="306" ht="26.399999618530273" hidden="0" customHeight="1">
      <x:c r="A306" s="5" t="str">
        <x:v>KRDS-SEC-047-A-01</x:v>
      </x:c>
      <x:c r="B306" s="5" t="str">
        <x:v>KRDS-SEC-047</x:v>
      </x:c>
      <x:c r="C306" s="5" t="str">
        <x:v>컴포넌트</x:v>
      </x:c>
      <x:c r="D306" s="5" t="str">
        <x:v>선택</x:v>
      </x:c>
      <x:c r="E306" s="5" t="str">
        <x:v>토글 스위치</x:v>
      </x:c>
      <x:c r="F306" s="5" t="str">
        <x:v>접근성 가이드라인</x:v>
      </x:c>
      <x:c r="G306" s="5" t="str">
        <x:v>01</x:v>
      </x:c>
      <x:c r="H306" s="5" t="n">
        <x:v>578</x:v>
      </x:c>
      <x:c r="I306" s="5" t="n">
        <x:v>578</x:v>
      </x:c>
      <x:c r="J306" s="5" t="str"/>
      <x:c r="K306" s="5" t="str">
        <x:v>경로, 핸들, 상태 아이콘과 인접 배경 간 명도 대비를 3:1 이상으로 표현한다.</x:v>
      </x:c>
      <x:c r="L306" s="5" t="str">
        <x:v>원문 세부기준</x:v>
      </x:c>
      <x:c r="M306" s="5" t="str">
        <x:v>추출 후 기본 구조 검토; 원문 적용수준·전체 맥락 재확인 필요</x:v>
      </x:c>
      <x:c r="N306" s="5" t="str">
        <x:v>UI-046
UI-109</x:v>
      </x:c>
      <x:c r="O306" s="5" t="str">
        <x:v>자동 추출 후보 / 공식 전수 체크리스트 아님</x:v>
      </x:c>
    </x:row>
    <x:row r="307" ht="26.399999618530273" hidden="0" customHeight="1">
      <x:c r="A307" s="5" t="str">
        <x:v>KRDS-SEC-047-A-02</x:v>
      </x:c>
      <x:c r="B307" s="5" t="str">
        <x:v>KRDS-SEC-047</x:v>
      </x:c>
      <x:c r="C307" s="5" t="str">
        <x:v>컴포넌트</x:v>
      </x:c>
      <x:c r="D307" s="5" t="str">
        <x:v>선택</x:v>
      </x:c>
      <x:c r="E307" s="5" t="str">
        <x:v>토글 스위치</x:v>
      </x:c>
      <x:c r="F307" s="5" t="str">
        <x:v>접근성 가이드라인</x:v>
      </x:c>
      <x:c r="G307" s="5" t="str">
        <x:v>02</x:v>
      </x:c>
      <x:c r="H307" s="5" t="n">
        <x:v>578</x:v>
      </x:c>
      <x:c r="I307" s="5" t="n">
        <x:v>578</x:v>
      </x:c>
      <x:c r="J307" s="5" t="str"/>
      <x:c r="K307" s="5" t="str">
        <x:v>토글 스위치를 키보드로 탐색하고 실행할 수 있도록 한다.</x:v>
      </x:c>
      <x:c r="L307" s="5" t="str">
        <x:v>원문 세부기준</x:v>
      </x:c>
      <x:c r="M307" s="5" t="str">
        <x:v>추출 후 기본 구조 검토; 원문 적용수준·전체 맥락 재확인 필요</x:v>
      </x:c>
      <x:c r="N307" s="5" t="str">
        <x:v>UI-046
UI-109</x:v>
      </x:c>
      <x:c r="O307" s="5" t="str">
        <x:v>자동 추출 후보 / 공식 전수 체크리스트 아님</x:v>
      </x:c>
    </x:row>
    <x:row r="308" ht="26.399999618530273" hidden="0" customHeight="1">
      <x:c r="A308" s="5" t="str">
        <x:v>KRDS-SEC-047-A-03</x:v>
      </x:c>
      <x:c r="B308" s="5" t="str">
        <x:v>KRDS-SEC-047</x:v>
      </x:c>
      <x:c r="C308" s="5" t="str">
        <x:v>컴포넌트</x:v>
      </x:c>
      <x:c r="D308" s="5" t="str">
        <x:v>선택</x:v>
      </x:c>
      <x:c r="E308" s="5" t="str">
        <x:v>토글 스위치</x:v>
      </x:c>
      <x:c r="F308" s="5" t="str">
        <x:v>접근성 가이드라인</x:v>
      </x:c>
      <x:c r="G308" s="5" t="str">
        <x:v>03</x:v>
      </x:c>
      <x:c r="H308" s="5" t="n">
        <x:v>578</x:v>
      </x:c>
      <x:c r="I308" s="5" t="n">
        <x:v>578</x:v>
      </x:c>
      <x:c r="J308" s="5" t="str"/>
      <x:c r="K308" s="5" t="str">
        <x:v>토글 스위치에 키보드 초점이 명확하게 표시되도록 한다.</x:v>
      </x:c>
      <x:c r="L308" s="5" t="str">
        <x:v>원문 세부기준</x:v>
      </x:c>
      <x:c r="M308" s="5" t="str">
        <x:v>추출 후 기본 구조 검토; 원문 적용수준·전체 맥락 재확인 필요</x:v>
      </x:c>
      <x:c r="N308" s="5" t="str">
        <x:v>UI-046
UI-109</x:v>
      </x:c>
      <x:c r="O308" s="5" t="str">
        <x:v>자동 추출 후보 / 공식 전수 체크리스트 아님</x:v>
      </x:c>
    </x:row>
    <x:row r="309" ht="26.399999618530273" hidden="0" customHeight="1">
      <x:c r="A309" s="5" t="str">
        <x:v>KRDS-SEC-047-A-04</x:v>
      </x:c>
      <x:c r="B309" s="5" t="str">
        <x:v>KRDS-SEC-047</x:v>
      </x:c>
      <x:c r="C309" s="5" t="str">
        <x:v>컴포넌트</x:v>
      </x:c>
      <x:c r="D309" s="5" t="str">
        <x:v>선택</x:v>
      </x:c>
      <x:c r="E309" s="5" t="str">
        <x:v>토글 스위치</x:v>
      </x:c>
      <x:c r="F309" s="5" t="str">
        <x:v>접근성 가이드라인</x:v>
      </x:c>
      <x:c r="G309" s="5" t="str">
        <x:v>04</x:v>
      </x:c>
      <x:c r="H309" s="5" t="n">
        <x:v>579</x:v>
      </x:c>
      <x:c r="I309" s="5" t="n">
        <x:v>579</x:v>
      </x:c>
      <x:c r="J309" s="5" t="str"/>
      <x:c r="K309" s="5" t="str">
        <x:v>토글 스위치에 접근 가능한 이름을 제공한다.</x:v>
      </x:c>
      <x:c r="L309" s="5" t="str">
        <x:v>원문 세부기준</x:v>
      </x:c>
      <x:c r="M309" s="5" t="str">
        <x:v>추출 후 기본 구조 검토; 원문 적용수준·전체 맥락 재확인 필요</x:v>
      </x:c>
      <x:c r="N309" s="5" t="str">
        <x:v>UI-046
UI-109</x:v>
      </x:c>
      <x:c r="O309" s="5" t="str">
        <x:v>자동 추출 후보 / 공식 전수 체크리스트 아님</x:v>
      </x:c>
    </x:row>
    <x:row r="310" ht="26.399999618530273" hidden="0" customHeight="1">
      <x:c r="A310" s="5" t="str">
        <x:v>KRDS-SEC-047-A-05</x:v>
      </x:c>
      <x:c r="B310" s="5" t="str">
        <x:v>KRDS-SEC-047</x:v>
      </x:c>
      <x:c r="C310" s="5" t="str">
        <x:v>컴포넌트</x:v>
      </x:c>
      <x:c r="D310" s="5" t="str">
        <x:v>선택</x:v>
      </x:c>
      <x:c r="E310" s="5" t="str">
        <x:v>토글 스위치</x:v>
      </x:c>
      <x:c r="F310" s="5" t="str">
        <x:v>접근성 가이드라인</x:v>
      </x:c>
      <x:c r="G310" s="5" t="str">
        <x:v>05</x:v>
      </x:c>
      <x:c r="H310" s="5" t="n">
        <x:v>579</x:v>
      </x:c>
      <x:c r="I310" s="5" t="n">
        <x:v>579</x:v>
      </x:c>
      <x:c r="J310" s="5" t="str"/>
      <x:c r="K310" s="5" t="str">
        <x:v>스크린 리더에서 도움말을 인지할 수 있도록 한다.</x:v>
      </x:c>
      <x:c r="L310" s="5" t="str">
        <x:v>원문 세부기준</x:v>
      </x:c>
      <x:c r="M310" s="5" t="str">
        <x:v>추출 후 기본 구조 검토; 원문 적용수준·전체 맥락 재확인 필요</x:v>
      </x:c>
      <x:c r="N310" s="5" t="str">
        <x:v>UI-046
UI-109</x:v>
      </x:c>
      <x:c r="O310" s="5" t="str">
        <x:v>자동 추출 후보 / 공식 전수 체크리스트 아님</x:v>
      </x:c>
    </x:row>
    <x:row r="311" ht="15" hidden="0" customHeight="1">
      <x:c r="A311" s="5" t="str">
        <x:v>KRDS-SEC-048-U-01</x:v>
      </x:c>
      <x:c r="B311" s="5" t="str">
        <x:v>KRDS-SEC-048</x:v>
      </x:c>
      <x:c r="C311" s="5" t="str">
        <x:v>컴포넌트</x:v>
      </x:c>
      <x:c r="D311" s="5" t="str">
        <x:v>피드백</x:v>
      </x:c>
      <x:c r="E311" s="5" t="str">
        <x:v>단계 표시기</x:v>
      </x:c>
      <x:c r="F311" s="5" t="str">
        <x:v>사용성 가이드라인</x:v>
      </x:c>
      <x:c r="G311" s="5" t="str">
        <x:v>01</x:v>
      </x:c>
      <x:c r="H311" s="5" t="n">
        <x:v>583</x:v>
      </x:c>
      <x:c r="I311" s="5" t="n">
        <x:v>583</x:v>
      </x:c>
      <x:c r="J311" s="5" t="str">
        <x:v>584</x:v>
      </x:c>
      <x:c r="K311" s="5" t="str">
        <x:v>단계 레이블은 해당 프로세스에 대한 간결하고 명확한 내용으로 제공한다.</x:v>
      </x:c>
      <x:c r="L311" s="5" t="str">
        <x:v>원문 세부기준</x:v>
      </x:c>
      <x:c r="M311" s="5" t="str">
        <x:v>추출 후 기본 구조 검토; 원문 적용수준·전체 맥락 재확인 필요</x:v>
      </x:c>
      <x:c r="N311" s="5" t="str">
        <x:v>UI-047</x:v>
      </x:c>
      <x:c r="O311" s="5" t="str">
        <x:v>자동 추출 후보 / 공식 전수 체크리스트 아님</x:v>
      </x:c>
    </x:row>
    <x:row r="312" ht="15" hidden="0" customHeight="1">
      <x:c r="A312" s="5" t="str">
        <x:v>KRDS-SEC-048-U-02</x:v>
      </x:c>
      <x:c r="B312" s="5" t="str">
        <x:v>KRDS-SEC-048</x:v>
      </x:c>
      <x:c r="C312" s="5" t="str">
        <x:v>컴포넌트</x:v>
      </x:c>
      <x:c r="D312" s="5" t="str">
        <x:v>피드백</x:v>
      </x:c>
      <x:c r="E312" s="5" t="str">
        <x:v>단계 표시기</x:v>
      </x:c>
      <x:c r="F312" s="5" t="str">
        <x:v>사용성 가이드라인</x:v>
      </x:c>
      <x:c r="G312" s="5" t="str">
        <x:v>02</x:v>
      </x:c>
      <x:c r="H312" s="5" t="n">
        <x:v>583</x:v>
      </x:c>
      <x:c r="I312" s="5" t="n">
        <x:v>583</x:v>
      </x:c>
      <x:c r="J312" s="5" t="str">
        <x:v>585</x:v>
      </x:c>
      <x:c r="K312" s="5" t="str">
        <x:v>단계는 좌에서 우 또는 상에서 하의 순서로 논리적으로 전개될 수 있도록 구성한다.</x:v>
      </x:c>
      <x:c r="L312" s="5" t="str">
        <x:v>원문 세부기준</x:v>
      </x:c>
      <x:c r="M312" s="5" t="str">
        <x:v>추출 후 기본 구조 검토; 원문 적용수준·전체 맥락 재확인 필요</x:v>
      </x:c>
      <x:c r="N312" s="5" t="str">
        <x:v>UI-047</x:v>
      </x:c>
      <x:c r="O312" s="5" t="str">
        <x:v>자동 추출 후보 / 공식 전수 체크리스트 아님</x:v>
      </x:c>
    </x:row>
    <x:row r="313" ht="15" hidden="0" customHeight="1">
      <x:c r="A313" s="5" t="str">
        <x:v>KRDS-SEC-048-U-03</x:v>
      </x:c>
      <x:c r="B313" s="5" t="str">
        <x:v>KRDS-SEC-048</x:v>
      </x:c>
      <x:c r="C313" s="5" t="str">
        <x:v>컴포넌트</x:v>
      </x:c>
      <x:c r="D313" s="5" t="str">
        <x:v>피드백</x:v>
      </x:c>
      <x:c r="E313" s="5" t="str">
        <x:v>단계 표시기</x:v>
      </x:c>
      <x:c r="F313" s="5" t="str">
        <x:v>사용성 가이드라인</x:v>
      </x:c>
      <x:c r="G313" s="5" t="str">
        <x:v>03</x:v>
      </x:c>
      <x:c r="H313" s="5" t="n">
        <x:v>583</x:v>
      </x:c>
      <x:c r="I313" s="5" t="n">
        <x:v>583</x:v>
      </x:c>
      <x:c r="J313" s="5" t="str">
        <x:v>585</x:v>
      </x:c>
      <x:c r="K313" s="5" t="str">
        <x:v>단계의 수는 최소 3개에서 최대 7개로 제공한다.</x:v>
      </x:c>
      <x:c r="L313" s="5" t="str">
        <x:v>원문 세부기준</x:v>
      </x:c>
      <x:c r="M313" s="5" t="str">
        <x:v>추출 후 기본 구조 검토; 원문 적용수준·전체 맥락 재확인 필요</x:v>
      </x:c>
      <x:c r="N313" s="5" t="str">
        <x:v>UI-047</x:v>
      </x:c>
      <x:c r="O313" s="5" t="str">
        <x:v>자동 추출 후보 / 공식 전수 체크리스트 아님</x:v>
      </x:c>
    </x:row>
    <x:row r="314" ht="15" hidden="0" customHeight="1">
      <x:c r="A314" s="5" t="str">
        <x:v>KRDS-SEC-048-U-04</x:v>
      </x:c>
      <x:c r="B314" s="5" t="str">
        <x:v>KRDS-SEC-048</x:v>
      </x:c>
      <x:c r="C314" s="5" t="str">
        <x:v>컴포넌트</x:v>
      </x:c>
      <x:c r="D314" s="5" t="str">
        <x:v>피드백</x:v>
      </x:c>
      <x:c r="E314" s="5" t="str">
        <x:v>단계 표시기</x:v>
      </x:c>
      <x:c r="F314" s="5" t="str">
        <x:v>사용성 가이드라인</x:v>
      </x:c>
      <x:c r="G314" s="5" t="str">
        <x:v>04</x:v>
      </x:c>
      <x:c r="H314" s="5" t="n">
        <x:v>583</x:v>
      </x:c>
      <x:c r="I314" s="5" t="n">
        <x:v>583</x:v>
      </x:c>
      <x:c r="J314" s="5" t="str">
        <x:v>586</x:v>
      </x:c>
      <x:c r="K314" s="5" t="str">
        <x:v>현재 단계를 명확하게 인지할 수 있도록 표현한다.</x:v>
      </x:c>
      <x:c r="L314" s="5" t="str">
        <x:v>원문 세부기준</x:v>
      </x:c>
      <x:c r="M314" s="5" t="str">
        <x:v>추출 후 기본 구조 검토; 원문 적용수준·전체 맥락 재확인 필요</x:v>
      </x:c>
      <x:c r="N314" s="5" t="str">
        <x:v>UI-047</x:v>
      </x:c>
      <x:c r="O314" s="5" t="str">
        <x:v>자동 추출 후보 / 공식 전수 체크리스트 아님</x:v>
      </x:c>
    </x:row>
    <x:row r="315" ht="15" hidden="0" customHeight="1">
      <x:c r="A315" s="5" t="str">
        <x:v>KRDS-SEC-048-U-05</x:v>
      </x:c>
      <x:c r="B315" s="5" t="str">
        <x:v>KRDS-SEC-048</x:v>
      </x:c>
      <x:c r="C315" s="5" t="str">
        <x:v>컴포넌트</x:v>
      </x:c>
      <x:c r="D315" s="5" t="str">
        <x:v>피드백</x:v>
      </x:c>
      <x:c r="E315" s="5" t="str">
        <x:v>단계 표시기</x:v>
      </x:c>
      <x:c r="F315" s="5" t="str">
        <x:v>사용성 가이드라인</x:v>
      </x:c>
      <x:c r="G315" s="5" t="str">
        <x:v>05</x:v>
      </x:c>
      <x:c r="H315" s="5" t="n">
        <x:v>583</x:v>
      </x:c>
      <x:c r="I315" s="5" t="n">
        <x:v>583</x:v>
      </x:c>
      <x:c r="J315" s="5" t="str">
        <x:v>587</x:v>
      </x:c>
      <x:c r="K315" s="5" t="str">
        <x:v>과업의 성격에 적합한 탐색 모델을 제공한다.</x:v>
      </x:c>
      <x:c r="L315" s="5" t="str">
        <x:v>원문 세부기준</x:v>
      </x:c>
      <x:c r="M315" s="5" t="str">
        <x:v>추출 후 기본 구조 검토; 원문 적용수준·전체 맥락 재확인 필요</x:v>
      </x:c>
      <x:c r="N315" s="5" t="str">
        <x:v>UI-047</x:v>
      </x:c>
      <x:c r="O315" s="5" t="str">
        <x:v>자동 추출 후보 / 공식 전수 체크리스트 아님</x:v>
      </x:c>
    </x:row>
    <x:row r="316" ht="15" hidden="0" customHeight="1">
      <x:c r="A316" s="5" t="str">
        <x:v>KRDS-SEC-048-U-06</x:v>
      </x:c>
      <x:c r="B316" s="5" t="str">
        <x:v>KRDS-SEC-048</x:v>
      </x:c>
      <x:c r="C316" s="5" t="str">
        <x:v>컴포넌트</x:v>
      </x:c>
      <x:c r="D316" s="5" t="str">
        <x:v>피드백</x:v>
      </x:c>
      <x:c r="E316" s="5" t="str">
        <x:v>단계 표시기</x:v>
      </x:c>
      <x:c r="F316" s="5" t="str">
        <x:v>사용성 가이드라인</x:v>
      </x:c>
      <x:c r="G316" s="5" t="str">
        <x:v>06</x:v>
      </x:c>
      <x:c r="H316" s="5" t="n">
        <x:v>583</x:v>
      </x:c>
      <x:c r="I316" s="5" t="n">
        <x:v>583</x:v>
      </x:c>
      <x:c r="J316" s="5" t="str">
        <x:v>587</x:v>
      </x:c>
      <x:c r="K316" s="5" t="str">
        <x:v>선택적인 단계를 건너뛸 수 있는 수단을 제공한다.</x:v>
      </x:c>
      <x:c r="L316" s="5" t="str">
        <x:v>원문 세부기준</x:v>
      </x:c>
      <x:c r="M316" s="5" t="str">
        <x:v>추출 후 기본 구조 검토; 원문 적용수준·전체 맥락 재확인 필요</x:v>
      </x:c>
      <x:c r="N316" s="5" t="str">
        <x:v>UI-047</x:v>
      </x:c>
      <x:c r="O316" s="5" t="str">
        <x:v>자동 추출 후보 / 공식 전수 체크리스트 아님</x:v>
      </x:c>
    </x:row>
    <x:row r="317" ht="15" hidden="0" customHeight="1">
      <x:c r="A317" s="5" t="str">
        <x:v>KRDS-SEC-048-A-01</x:v>
      </x:c>
      <x:c r="B317" s="5" t="str">
        <x:v>KRDS-SEC-048</x:v>
      </x:c>
      <x:c r="C317" s="5" t="str">
        <x:v>컴포넌트</x:v>
      </x:c>
      <x:c r="D317" s="5" t="str">
        <x:v>피드백</x:v>
      </x:c>
      <x:c r="E317" s="5" t="str">
        <x:v>단계 표시기</x:v>
      </x:c>
      <x:c r="F317" s="5" t="str">
        <x:v>접근성 가이드라인</x:v>
      </x:c>
      <x:c r="G317" s="5" t="str">
        <x:v>01</x:v>
      </x:c>
      <x:c r="H317" s="5" t="n">
        <x:v>588</x:v>
      </x:c>
      <x:c r="I317" s="5" t="n">
        <x:v>588</x:v>
      </x:c>
      <x:c r="J317" s="5" t="str"/>
      <x:c r="K317" s="5" t="str">
        <x:v>순서 있는 목록을 사용한다.</x:v>
      </x:c>
      <x:c r="L317" s="5" t="str">
        <x:v>원문 세부기준</x:v>
      </x:c>
      <x:c r="M317" s="5" t="str">
        <x:v>추출 후 기본 구조 검토; 원문 적용수준·전체 맥락 재확인 필요</x:v>
      </x:c>
      <x:c r="N317" s="5" t="str">
        <x:v>UI-047</x:v>
      </x:c>
      <x:c r="O317" s="5" t="str">
        <x:v>자동 추출 후보 / 공식 전수 체크리스트 아님</x:v>
      </x:c>
    </x:row>
    <x:row r="318" ht="15" hidden="0" customHeight="1">
      <x:c r="A318" s="5" t="str">
        <x:v>KRDS-SEC-048-A-02</x:v>
      </x:c>
      <x:c r="B318" s="5" t="str">
        <x:v>KRDS-SEC-048</x:v>
      </x:c>
      <x:c r="C318" s="5" t="str">
        <x:v>컴포넌트</x:v>
      </x:c>
      <x:c r="D318" s="5" t="str">
        <x:v>피드백</x:v>
      </x:c>
      <x:c r="E318" s="5" t="str">
        <x:v>단계 표시기</x:v>
      </x:c>
      <x:c r="F318" s="5" t="str">
        <x:v>접근성 가이드라인</x:v>
      </x:c>
      <x:c r="G318" s="5" t="str">
        <x:v>02</x:v>
      </x:c>
      <x:c r="H318" s="5" t="n">
        <x:v>588</x:v>
      </x:c>
      <x:c r="I318" s="5" t="n">
        <x:v>588</x:v>
      </x:c>
      <x:c r="J318" s="5" t="str"/>
      <x:c r="K318" s="5" t="str">
        <x:v>단계 식별자를 색상으로만 구분하여 표현하지 않는다.</x:v>
      </x:c>
      <x:c r="L318" s="5" t="str">
        <x:v>원문 세부기준</x:v>
      </x:c>
      <x:c r="M318" s="5" t="str">
        <x:v>추출 후 기본 구조 검토; 원문 적용수준·전체 맥락 재확인 필요</x:v>
      </x:c>
      <x:c r="N318" s="5" t="str">
        <x:v>UI-047</x:v>
      </x:c>
      <x:c r="O318" s="5" t="str">
        <x:v>자동 추출 후보 / 공식 전수 체크리스트 아님</x:v>
      </x:c>
    </x:row>
    <x:row r="319" ht="15" hidden="0" customHeight="1">
      <x:c r="A319" s="5" t="str">
        <x:v>KRDS-SEC-048-A-03</x:v>
      </x:c>
      <x:c r="B319" s="5" t="str">
        <x:v>KRDS-SEC-048</x:v>
      </x:c>
      <x:c r="C319" s="5" t="str">
        <x:v>컴포넌트</x:v>
      </x:c>
      <x:c r="D319" s="5" t="str">
        <x:v>피드백</x:v>
      </x:c>
      <x:c r="E319" s="5" t="str">
        <x:v>단계 표시기</x:v>
      </x:c>
      <x:c r="F319" s="5" t="str">
        <x:v>접근성 가이드라인</x:v>
      </x:c>
      <x:c r="G319" s="5" t="str">
        <x:v>03</x:v>
      </x:c>
      <x:c r="H319" s="5" t="n">
        <x:v>588</x:v>
      </x:c>
      <x:c r="I319" s="5" t="n">
        <x:v>588</x:v>
      </x:c>
      <x:c r="J319" s="5" t="str"/>
      <x:c r="K319" s="5" t="str">
        <x:v>현재 단계를 스크린 리더로 확인할 수 있도록 한다.</x:v>
      </x:c>
      <x:c r="L319" s="5" t="str">
        <x:v>원문 세부기준</x:v>
      </x:c>
      <x:c r="M319" s="5" t="str">
        <x:v>추출 후 기본 구조 검토; 원문 적용수준·전체 맥락 재확인 필요</x:v>
      </x:c>
      <x:c r="N319" s="5" t="str">
        <x:v>UI-047</x:v>
      </x:c>
      <x:c r="O319" s="5" t="str">
        <x:v>자동 추출 후보 / 공식 전수 체크리스트 아님</x:v>
      </x:c>
    </x:row>
    <x:row r="320" ht="15" hidden="0" customHeight="1">
      <x:c r="A320" s="5" t="str">
        <x:v>KRDS-SEC-049-U-01</x:v>
      </x:c>
      <x:c r="B320" s="5" t="str">
        <x:v>KRDS-SEC-049</x:v>
      </x:c>
      <x:c r="C320" s="5" t="str">
        <x:v>컴포넌트</x:v>
      </x:c>
      <x:c r="D320" s="5" t="str">
        <x:v>피드백</x:v>
      </x:c>
      <x:c r="E320" s="5" t="str">
        <x:v>스피너</x:v>
      </x:c>
      <x:c r="F320" s="5" t="str">
        <x:v>사용성 가이드라인</x:v>
      </x:c>
      <x:c r="G320" s="5" t="str">
        <x:v>01</x:v>
      </x:c>
      <x:c r="H320" s="5" t="n">
        <x:v>592</x:v>
      </x:c>
      <x:c r="I320" s="5" t="n">
        <x:v>592</x:v>
      </x:c>
      <x:c r="J320" s="5" t="str">
        <x:v>593</x:v>
      </x:c>
      <x:c r="K320" s="5" t="str">
        <x:v>스피너를 장식용으로 사용하지 않는다.</x:v>
      </x:c>
      <x:c r="L320" s="5" t="str">
        <x:v>원문 세부기준</x:v>
      </x:c>
      <x:c r="M320" s="5" t="str">
        <x:v>추출 후 기본 구조 검토; 원문 적용수준·전체 맥락 재확인 필요</x:v>
      </x:c>
      <x:c r="N320" s="5" t="str">
        <x:v>UI-048</x:v>
      </x:c>
      <x:c r="O320" s="5" t="str">
        <x:v>자동 추출 후보 / 공식 전수 체크리스트 아님</x:v>
      </x:c>
    </x:row>
    <x:row r="321" ht="15" hidden="0" customHeight="1">
      <x:c r="A321" s="5" t="str">
        <x:v>KRDS-SEC-049-U-02</x:v>
      </x:c>
      <x:c r="B321" s="5" t="str">
        <x:v>KRDS-SEC-049</x:v>
      </x:c>
      <x:c r="C321" s="5" t="str">
        <x:v>컴포넌트</x:v>
      </x:c>
      <x:c r="D321" s="5" t="str">
        <x:v>피드백</x:v>
      </x:c>
      <x:c r="E321" s="5" t="str">
        <x:v>스피너</x:v>
      </x:c>
      <x:c r="F321" s="5" t="str">
        <x:v>사용성 가이드라인</x:v>
      </x:c>
      <x:c r="G321" s="5" t="str">
        <x:v>02</x:v>
      </x:c>
      <x:c r="H321" s="5" t="n">
        <x:v>592</x:v>
      </x:c>
      <x:c r="I321" s="5" t="n">
        <x:v>592</x:v>
      </x:c>
      <x:c r="J321" s="5" t="str">
        <x:v>593</x:v>
      </x:c>
      <x:c r="K321" s="5" t="str">
        <x:v>상황에 맞는 적절한 크기의 스피너를 사용한다.</x:v>
      </x:c>
      <x:c r="L321" s="5" t="str">
        <x:v>원문 세부기준</x:v>
      </x:c>
      <x:c r="M321" s="5" t="str">
        <x:v>추출 후 기본 구조 검토; 원문 적용수준·전체 맥락 재확인 필요</x:v>
      </x:c>
      <x:c r="N321" s="5" t="str">
        <x:v>UI-048</x:v>
      </x:c>
      <x:c r="O321" s="5" t="str">
        <x:v>자동 추출 후보 / 공식 전수 체크리스트 아님</x:v>
      </x:c>
    </x:row>
    <x:row r="322" ht="15" hidden="0" customHeight="1">
      <x:c r="A322" s="5" t="str">
        <x:v>KRDS-SEC-049-U-03</x:v>
      </x:c>
      <x:c r="B322" s="5" t="str">
        <x:v>KRDS-SEC-049</x:v>
      </x:c>
      <x:c r="C322" s="5" t="str">
        <x:v>컴포넌트</x:v>
      </x:c>
      <x:c r="D322" s="5" t="str">
        <x:v>피드백</x:v>
      </x:c>
      <x:c r="E322" s="5" t="str">
        <x:v>스피너</x:v>
      </x:c>
      <x:c r="F322" s="5" t="str">
        <x:v>사용성 가이드라인</x:v>
      </x:c>
      <x:c r="G322" s="5" t="str">
        <x:v>03</x:v>
      </x:c>
      <x:c r="H322" s="5" t="n">
        <x:v>592</x:v>
      </x:c>
      <x:c r="I322" s="5" t="n">
        <x:v>592</x:v>
      </x:c>
      <x:c r="J322" s="5" t="str">
        <x:v>593</x:v>
      </x:c>
      <x:c r="K322" s="5" t="str">
        <x:v>스피너는 처리가 진행 중인 영역 근처에 배치한다.</x:v>
      </x:c>
      <x:c r="L322" s="5" t="str">
        <x:v>원문 세부기준</x:v>
      </x:c>
      <x:c r="M322" s="5" t="str">
        <x:v>추출 후 기본 구조 검토; 원문 적용수준·전체 맥락 재확인 필요</x:v>
      </x:c>
      <x:c r="N322" s="5" t="str">
        <x:v>UI-048</x:v>
      </x:c>
      <x:c r="O322" s="5" t="str">
        <x:v>자동 추출 후보 / 공식 전수 체크리스트 아님</x:v>
      </x:c>
    </x:row>
    <x:row r="323" ht="15" hidden="0" customHeight="1">
      <x:c r="A323" s="5" t="str">
        <x:v>KRDS-SEC-049-U-04</x:v>
      </x:c>
      <x:c r="B323" s="5" t="str">
        <x:v>KRDS-SEC-049</x:v>
      </x:c>
      <x:c r="C323" s="5" t="str">
        <x:v>컴포넌트</x:v>
      </x:c>
      <x:c r="D323" s="5" t="str">
        <x:v>피드백</x:v>
      </x:c>
      <x:c r="E323" s="5" t="str">
        <x:v>스피너</x:v>
      </x:c>
      <x:c r="F323" s="5" t="str">
        <x:v>사용성 가이드라인</x:v>
      </x:c>
      <x:c r="G323" s="5" t="str">
        <x:v>04</x:v>
      </x:c>
      <x:c r="H323" s="5" t="n">
        <x:v>592</x:v>
      </x:c>
      <x:c r="I323" s="5" t="n">
        <x:v>592</x:v>
      </x:c>
      <x:c r="J323" s="5" t="str">
        <x:v>594</x:v>
      </x:c>
      <x:c r="K323" s="5" t="str">
        <x:v>불확정 스피너의 애니메이션의 루프를 중지하지 않는다.</x:v>
      </x:c>
      <x:c r="L323" s="5" t="str">
        <x:v>원문 세부기준</x:v>
      </x:c>
      <x:c r="M323" s="5" t="str">
        <x:v>추출 후 기본 구조 검토; 원문 적용수준·전체 맥락 재확인 필요</x:v>
      </x:c>
      <x:c r="N323" s="5" t="str">
        <x:v>UI-048</x:v>
      </x:c>
      <x:c r="O323" s="5" t="str">
        <x:v>자동 추출 후보 / 공식 전수 체크리스트 아님</x:v>
      </x:c>
    </x:row>
    <x:row r="324" ht="15" hidden="0" customHeight="1">
      <x:c r="A324" s="5" t="str">
        <x:v>KRDS-SEC-049-U-05</x:v>
      </x:c>
      <x:c r="B324" s="5" t="str">
        <x:v>KRDS-SEC-049</x:v>
      </x:c>
      <x:c r="C324" s="5" t="str">
        <x:v>컴포넌트</x:v>
      </x:c>
      <x:c r="D324" s="5" t="str">
        <x:v>피드백</x:v>
      </x:c>
      <x:c r="E324" s="5" t="str">
        <x:v>스피너</x:v>
      </x:c>
      <x:c r="F324" s="5" t="str">
        <x:v>사용성 가이드라인</x:v>
      </x:c>
      <x:c r="G324" s="5" t="str">
        <x:v>05</x:v>
      </x:c>
      <x:c r="H324" s="5" t="n">
        <x:v>592</x:v>
      </x:c>
      <x:c r="I324" s="5" t="n">
        <x:v>592</x:v>
      </x:c>
      <x:c r="J324" s="5" t="str">
        <x:v>594</x:v>
      </x:c>
      <x:c r="K324" s="5" t="str">
        <x:v>컴포넌트의 일부로 작게 표시되지 않는 한, 두 개 이상의 스피너를 동시에 표시하지 않는다.</x:v>
      </x:c>
      <x:c r="L324" s="5" t="str">
        <x:v>원문 세부기준</x:v>
      </x:c>
      <x:c r="M324" s="5" t="str">
        <x:v>추출 후 기본 구조 검토; 원문 적용수준·전체 맥락 재확인 필요</x:v>
      </x:c>
      <x:c r="N324" s="5" t="str">
        <x:v>UI-048</x:v>
      </x:c>
      <x:c r="O324" s="5" t="str">
        <x:v>자동 추출 후보 / 공식 전수 체크리스트 아님</x:v>
      </x:c>
    </x:row>
    <x:row r="325" ht="15" hidden="0" customHeight="1">
      <x:c r="A325" s="5" t="str">
        <x:v>KRDS-SEC-049-A-01</x:v>
      </x:c>
      <x:c r="B325" s="5" t="str">
        <x:v>KRDS-SEC-049</x:v>
      </x:c>
      <x:c r="C325" s="5" t="str">
        <x:v>컴포넌트</x:v>
      </x:c>
      <x:c r="D325" s="5" t="str">
        <x:v>피드백</x:v>
      </x:c>
      <x:c r="E325" s="5" t="str">
        <x:v>스피너</x:v>
      </x:c>
      <x:c r="F325" s="5" t="str">
        <x:v>접근성 가이드라인</x:v>
      </x:c>
      <x:c r="G325" s="5" t="str">
        <x:v>01</x:v>
      </x:c>
      <x:c r="H325" s="5" t="n">
        <x:v>595</x:v>
      </x:c>
      <x:c r="I325" s="5" t="n">
        <x:v>595</x:v>
      </x:c>
      <x:c r="J325" s="5" t="str"/>
      <x:c r="K325" s="5" t="str">
        <x:v>인접 배경과 경로 간 명도 대비, 경로와 식별자 간 명도 대비를 3:1 이상으로 표현한다.</x:v>
      </x:c>
      <x:c r="L325" s="5" t="str">
        <x:v>원문 세부기준</x:v>
      </x:c>
      <x:c r="M325" s="5" t="str">
        <x:v>추출 후 기본 구조 검토; 원문 적용수준·전체 맥락 재확인 필요</x:v>
      </x:c>
      <x:c r="N325" s="5" t="str">
        <x:v>UI-048</x:v>
      </x:c>
      <x:c r="O325" s="5" t="str">
        <x:v>자동 추출 후보 / 공식 전수 체크리스트 아님</x:v>
      </x:c>
    </x:row>
    <x:row r="326" ht="15" hidden="0" customHeight="1">
      <x:c r="A326" s="5" t="str">
        <x:v>KRDS-SEC-049-A-02</x:v>
      </x:c>
      <x:c r="B326" s="5" t="str">
        <x:v>KRDS-SEC-049</x:v>
      </x:c>
      <x:c r="C326" s="5" t="str">
        <x:v>컴포넌트</x:v>
      </x:c>
      <x:c r="D326" s="5" t="str">
        <x:v>피드백</x:v>
      </x:c>
      <x:c r="E326" s="5" t="str">
        <x:v>스피너</x:v>
      </x:c>
      <x:c r="F326" s="5" t="str">
        <x:v>접근성 가이드라인</x:v>
      </x:c>
      <x:c r="G326" s="5" t="str">
        <x:v>02</x:v>
      </x:c>
      <x:c r="H326" s="5" t="n">
        <x:v>595</x:v>
      </x:c>
      <x:c r="I326" s="5" t="n">
        <x:v>595</x:v>
      </x:c>
      <x:c r="J326" s="5" t="str"/>
      <x:c r="K326" s="5" t="str">
        <x:v>스피너 상태에 대한 설명을 스크린 리더에서 확인할 수 있도록 한다.</x:v>
      </x:c>
      <x:c r="L326" s="5" t="str">
        <x:v>원문 세부기준</x:v>
      </x:c>
      <x:c r="M326" s="5" t="str">
        <x:v>추출 후 기본 구조 검토; 원문 적용수준·전체 맥락 재확인 필요</x:v>
      </x:c>
      <x:c r="N326" s="5" t="str">
        <x:v>UI-048</x:v>
      </x:c>
      <x:c r="O326" s="5" t="str">
        <x:v>자동 추출 후보 / 공식 전수 체크리스트 아님</x:v>
      </x:c>
    </x:row>
    <x:row r="327" ht="15" hidden="0" customHeight="1">
      <x:c r="A327" s="5" t="str">
        <x:v>KRDS-SEC-050-U-01</x:v>
      </x:c>
      <x:c r="B327" s="5" t="str">
        <x:v>KRDS-SEC-050</x:v>
      </x:c>
      <x:c r="C327" s="5" t="str">
        <x:v>컴포넌트</x:v>
      </x:c>
      <x:c r="D327" s="5" t="str">
        <x:v>도움</x:v>
      </x:c>
      <x:c r="E327" s="5" t="str">
        <x:v>도움 패널</x:v>
      </x:c>
      <x:c r="F327" s="5" t="str">
        <x:v>사용성 가이드라인</x:v>
      </x:c>
      <x:c r="G327" s="5" t="str">
        <x:v>01</x:v>
      </x:c>
      <x:c r="H327" s="5" t="n">
        <x:v>601</x:v>
      </x:c>
      <x:c r="I327" s="5" t="n">
        <x:v>601</x:v>
      </x:c>
      <x:c r="J327" s="5" t="str">
        <x:v>602</x:v>
      </x:c>
      <x:c r="K327" s="5" t="str">
        <x:v>화면이 로딩되었을 때 도움 패널은 열린 상태로 제공한다.</x:v>
      </x:c>
      <x:c r="L327" s="5" t="str">
        <x:v>원문 세부기준</x:v>
      </x:c>
      <x:c r="M327" s="5" t="str">
        <x:v>추출 후 기본 구조 검토; 원문 적용수준·전체 맥락 재확인 필요</x:v>
      </x:c>
      <x:c r="N327" s="5" t="str">
        <x:v>UI-049</x:v>
      </x:c>
      <x:c r="O327" s="5" t="str">
        <x:v>자동 추출 후보 / 공식 전수 체크리스트 아님</x:v>
      </x:c>
    </x:row>
    <x:row r="328" ht="15" hidden="0" customHeight="1">
      <x:c r="A328" s="5" t="str">
        <x:v>KRDS-SEC-050-U-02</x:v>
      </x:c>
      <x:c r="B328" s="5" t="str">
        <x:v>KRDS-SEC-050</x:v>
      </x:c>
      <x:c r="C328" s="5" t="str">
        <x:v>컴포넌트</x:v>
      </x:c>
      <x:c r="D328" s="5" t="str">
        <x:v>도움</x:v>
      </x:c>
      <x:c r="E328" s="5" t="str">
        <x:v>도움 패널</x:v>
      </x:c>
      <x:c r="F328" s="5" t="str">
        <x:v>사용성 가이드라인</x:v>
      </x:c>
      <x:c r="G328" s="5" t="str">
        <x:v>02</x:v>
      </x:c>
      <x:c r="H328" s="5" t="n">
        <x:v>601</x:v>
      </x:c>
      <x:c r="I328" s="5" t="n">
        <x:v>601</x:v>
      </x:c>
      <x:c r="J328" s="5" t="str">
        <x:v>603</x:v>
      </x:c>
      <x:c r="K328" s="5" t="str">
        <x:v>도움 패널의 첫 화면은 기본 상태로 제공한다.</x:v>
      </x:c>
      <x:c r="L328" s="5" t="str">
        <x:v>원문 세부기준</x:v>
      </x:c>
      <x:c r="M328" s="5" t="str">
        <x:v>추출 후 기본 구조 검토; 원문 적용수준·전체 맥락 재확인 필요</x:v>
      </x:c>
      <x:c r="N328" s="5" t="str">
        <x:v>UI-049</x:v>
      </x:c>
      <x:c r="O328" s="5" t="str">
        <x:v>자동 추출 후보 / 공식 전수 체크리스트 아님</x:v>
      </x:c>
    </x:row>
    <x:row r="329" ht="15" hidden="0" customHeight="1">
      <x:c r="A329" s="5" t="str">
        <x:v>KRDS-SEC-050-U-03</x:v>
      </x:c>
      <x:c r="B329" s="5" t="str">
        <x:v>KRDS-SEC-050</x:v>
      </x:c>
      <x:c r="C329" s="5" t="str">
        <x:v>컴포넌트</x:v>
      </x:c>
      <x:c r="D329" s="5" t="str">
        <x:v>도움</x:v>
      </x:c>
      <x:c r="E329" s="5" t="str">
        <x:v>도움 패널</x:v>
      </x:c>
      <x:c r="F329" s="5" t="str">
        <x:v>사용성 가이드라인</x:v>
      </x:c>
      <x:c r="G329" s="5" t="str">
        <x:v>03</x:v>
      </x:c>
      <x:c r="H329" s="5" t="n">
        <x:v>601</x:v>
      </x:c>
      <x:c r="I329" s="5" t="n">
        <x:v>601</x:v>
      </x:c>
      <x:c r="J329" s="5" t="str">
        <x:v>604</x:v>
      </x:c>
      <x:c r="K329" s="5" t="str">
        <x:v>아이콘 버튼은 도움 정보를 제공하고자 하는 요소 주변에 배치한다.</x:v>
      </x:c>
      <x:c r="L329" s="5" t="str">
        <x:v>원문 세부기준</x:v>
      </x:c>
      <x:c r="M329" s="5" t="str">
        <x:v>추출 후 기본 구조 검토; 원문 적용수준·전체 맥락 재확인 필요</x:v>
      </x:c>
      <x:c r="N329" s="5" t="str">
        <x:v>UI-049</x:v>
      </x:c>
      <x:c r="O329" s="5" t="str">
        <x:v>자동 추출 후보 / 공식 전수 체크리스트 아님</x:v>
      </x:c>
    </x:row>
    <x:row r="330" ht="15" hidden="0" customHeight="1">
      <x:c r="A330" s="5" t="str">
        <x:v>KRDS-SEC-050-U-04</x:v>
      </x:c>
      <x:c r="B330" s="5" t="str">
        <x:v>KRDS-SEC-050</x:v>
      </x:c>
      <x:c r="C330" s="5" t="str">
        <x:v>컴포넌트</x:v>
      </x:c>
      <x:c r="D330" s="5" t="str">
        <x:v>도움</x:v>
      </x:c>
      <x:c r="E330" s="5" t="str">
        <x:v>도움 패널</x:v>
      </x:c>
      <x:c r="F330" s="5" t="str">
        <x:v>사용성 가이드라인</x:v>
      </x:c>
      <x:c r="G330" s="5" t="str">
        <x:v>04</x:v>
      </x:c>
      <x:c r="H330" s="5" t="n">
        <x:v>601</x:v>
      </x:c>
      <x:c r="I330" s="5" t="n">
        <x:v>601</x:v>
      </x:c>
      <x:c r="J330" s="5" t="str">
        <x:v>604</x:v>
      </x:c>
      <x:c r="K330" s="5" t="str">
        <x:v>도움 패널의 섹션 제목은 아이콘 버튼과 관련된 본문 섹션 제목/레이블 텍스트와 일치해야 한다.</x:v>
      </x:c>
      <x:c r="L330" s="5" t="str">
        <x:v>원문 세부기준</x:v>
      </x:c>
      <x:c r="M330" s="5" t="str">
        <x:v>추출 후 기본 구조 검토; 원문 적용수준·전체 맥락 재확인 필요</x:v>
      </x:c>
      <x:c r="N330" s="5" t="str">
        <x:v>UI-049</x:v>
      </x:c>
      <x:c r="O330" s="5" t="str">
        <x:v>자동 추출 후보 / 공식 전수 체크리스트 아님</x:v>
      </x:c>
    </x:row>
    <x:row r="331" ht="15" hidden="0" customHeight="1">
      <x:c r="A331" s="5" t="str">
        <x:v>KRDS-SEC-050-U-05</x:v>
      </x:c>
      <x:c r="B331" s="5" t="str">
        <x:v>KRDS-SEC-050</x:v>
      </x:c>
      <x:c r="C331" s="5" t="str">
        <x:v>컴포넌트</x:v>
      </x:c>
      <x:c r="D331" s="5" t="str">
        <x:v>도움</x:v>
      </x:c>
      <x:c r="E331" s="5" t="str">
        <x:v>도움 패널</x:v>
      </x:c>
      <x:c r="F331" s="5" t="str">
        <x:v>사용성 가이드라인</x:v>
      </x:c>
      <x:c r="G331" s="5" t="str">
        <x:v>05</x:v>
      </x:c>
      <x:c r="H331" s="5" t="n">
        <x:v>601</x:v>
      </x:c>
      <x:c r="I331" s="5" t="n">
        <x:v>601</x:v>
      </x:c>
      <x:c r="J331" s="5" t="str">
        <x:v>604</x:v>
      </x:c>
      <x:c r="K331" s="5" t="str">
        <x:v>콘텐츠를 간결하게 유지한다.</x:v>
      </x:c>
      <x:c r="L331" s="5" t="str">
        <x:v>원문 세부기준</x:v>
      </x:c>
      <x:c r="M331" s="5" t="str">
        <x:v>추출 후 기본 구조 검토; 원문 적용수준·전체 맥락 재확인 필요</x:v>
      </x:c>
      <x:c r="N331" s="5" t="str">
        <x:v>UI-049</x:v>
      </x:c>
      <x:c r="O331" s="5" t="str">
        <x:v>자동 추출 후보 / 공식 전수 체크리스트 아님</x:v>
      </x:c>
    </x:row>
    <x:row r="332" ht="15" hidden="0" customHeight="1">
      <x:c r="A332" s="5" t="str">
        <x:v>KRDS-SEC-050-U-06</x:v>
      </x:c>
      <x:c r="B332" s="5" t="str">
        <x:v>KRDS-SEC-050</x:v>
      </x:c>
      <x:c r="C332" s="5" t="str">
        <x:v>컴포넌트</x:v>
      </x:c>
      <x:c r="D332" s="5" t="str">
        <x:v>도움</x:v>
      </x:c>
      <x:c r="E332" s="5" t="str">
        <x:v>도움 패널</x:v>
      </x:c>
      <x:c r="F332" s="5" t="str">
        <x:v>사용성 가이드라인</x:v>
      </x:c>
      <x:c r="G332" s="5" t="str">
        <x:v>06</x:v>
      </x:c>
      <x:c r="H332" s="5" t="n">
        <x:v>601</x:v>
      </x:c>
      <x:c r="I332" s="5" t="n">
        <x:v>601</x:v>
      </x:c>
      <x:c r="J332" s="5" t="str">
        <x:v>605</x:v>
      </x:c>
      <x:c r="K332" s="5" t="str">
        <x:v>사용자가 작업을 수행하기 위해 반드시 알아야 하는 필수 정보가 패널에서만 제공되지 않도록 한다.</x:v>
      </x:c>
      <x:c r="L332" s="5" t="str">
        <x:v>원문 세부기준</x:v>
      </x:c>
      <x:c r="M332" s="5" t="str">
        <x:v>추출 후 기본 구조 검토; 원문 적용수준·전체 맥락 재확인 필요</x:v>
      </x:c>
      <x:c r="N332" s="5" t="str">
        <x:v>UI-049</x:v>
      </x:c>
      <x:c r="O332" s="5" t="str">
        <x:v>자동 추출 후보 / 공식 전수 체크리스트 아님</x:v>
      </x:c>
    </x:row>
    <x:row r="333" ht="15" hidden="0" customHeight="1">
      <x:c r="A333" s="5" t="str">
        <x:v>KRDS-SEC-050-U-07</x:v>
      </x:c>
      <x:c r="B333" s="5" t="str">
        <x:v>KRDS-SEC-050</x:v>
      </x:c>
      <x:c r="C333" s="5" t="str">
        <x:v>컴포넌트</x:v>
      </x:c>
      <x:c r="D333" s="5" t="str">
        <x:v>도움</x:v>
      </x:c>
      <x:c r="E333" s="5" t="str">
        <x:v>도움 패널</x:v>
      </x:c>
      <x:c r="F333" s="5" t="str">
        <x:v>사용성 가이드라인</x:v>
      </x:c>
      <x:c r="G333" s="5" t="str">
        <x:v>07</x:v>
      </x:c>
      <x:c r="H333" s="5" t="n">
        <x:v>601</x:v>
      </x:c>
      <x:c r="I333" s="5" t="n">
        <x:v>601</x:v>
      </x:c>
      <x:c r="J333" s="5" t="str">
        <x:v>605</x:v>
      </x:c>
      <x:c r="K333" s="5" t="str">
        <x:v>패널에서 제공하는 웹 페이지 링크는 새 창으로 실행한다.</x:v>
      </x:c>
      <x:c r="L333" s="5" t="str">
        <x:v>원문 세부기준</x:v>
      </x:c>
      <x:c r="M333" s="5" t="str">
        <x:v>추출 후 기본 구조 검토; 원문 적용수준·전체 맥락 재확인 필요</x:v>
      </x:c>
      <x:c r="N333" s="5" t="str">
        <x:v>UI-049</x:v>
      </x:c>
      <x:c r="O333" s="5" t="str">
        <x:v>자동 추출 후보 / 공식 전수 체크리스트 아님</x:v>
      </x:c>
    </x:row>
    <x:row r="334" ht="15" hidden="0" customHeight="1">
      <x:c r="A334" s="5" t="str">
        <x:v>KRDS-SEC-050-U-08</x:v>
      </x:c>
      <x:c r="B334" s="5" t="str">
        <x:v>KRDS-SEC-050</x:v>
      </x:c>
      <x:c r="C334" s="5" t="str">
        <x:v>컴포넌트</x:v>
      </x:c>
      <x:c r="D334" s="5" t="str">
        <x:v>도움</x:v>
      </x:c>
      <x:c r="E334" s="5" t="str">
        <x:v>도움 패널</x:v>
      </x:c>
      <x:c r="F334" s="5" t="str">
        <x:v>사용성 가이드라인</x:v>
      </x:c>
      <x:c r="G334" s="5" t="str">
        <x:v>08</x:v>
      </x:c>
      <x:c r="H334" s="5" t="n">
        <x:v>601</x:v>
      </x:c>
      <x:c r="I334" s="5" t="n">
        <x:v>601</x:v>
      </x:c>
      <x:c r="J334" s="5" t="str">
        <x:v>605</x:v>
      </x:c>
      <x:c r="K334" s="5" t="str">
        <x:v>본문은 사용자가 특정 아이콘 버튼을 실행하는 경우에만 변경되도록 한다.</x:v>
      </x:c>
      <x:c r="L334" s="5" t="str">
        <x:v>원문 세부기준</x:v>
      </x:c>
      <x:c r="M334" s="5" t="str">
        <x:v>추출 후 기본 구조 검토; 원문 적용수준·전체 맥락 재확인 필요</x:v>
      </x:c>
      <x:c r="N334" s="5" t="str">
        <x:v>UI-049</x:v>
      </x:c>
      <x:c r="O334" s="5" t="str">
        <x:v>자동 추출 후보 / 공식 전수 체크리스트 아님</x:v>
      </x:c>
    </x:row>
    <x:row r="335" ht="15" hidden="0" customHeight="1">
      <x:c r="A335" s="5" t="str">
        <x:v>KRDS-SEC-050-P-01</x:v>
      </x:c>
      <x:c r="B335" s="5" t="str">
        <x:v>KRDS-SEC-050</x:v>
      </x:c>
      <x:c r="C335" s="5" t="str">
        <x:v>컴포넌트</x:v>
      </x:c>
      <x:c r="D335" s="5" t="str">
        <x:v>도움</x:v>
      </x:c>
      <x:c r="E335" s="5" t="str">
        <x:v>도움 패널</x:v>
      </x:c>
      <x:c r="F335" s="5" t="str">
        <x:v>플랫폼에 대한 고려 사항</x:v>
      </x:c>
      <x:c r="G335" s="5" t="str">
        <x:v>01</x:v>
      </x:c>
      <x:c r="H335" s="5" t="n">
        <x:v>606</x:v>
      </x:c>
      <x:c r="I335" s="5" t="n">
        <x:v>606</x:v>
      </x:c>
      <x:c r="J335" s="5" t="str"/>
      <x:c r="K335" s="5" t="str">
        <x:v>화면 너비가 충분하지 않을 때 도움 패널은 패널 열기 버튼으로 축약하여 제공한다.</x:v>
      </x:c>
      <x:c r="L335" s="5" t="str">
        <x:v>원문 세부기준</x:v>
      </x:c>
      <x:c r="M335" s="5" t="str">
        <x:v>추출 후 기본 구조 검토; 원문 적용수준·전체 맥락 재확인 필요</x:v>
      </x:c>
      <x:c r="N335" s="5" t="str">
        <x:v>UI-049</x:v>
      </x:c>
      <x:c r="O335" s="5" t="str">
        <x:v>자동 추출 후보 / 공식 전수 체크리스트 아님</x:v>
      </x:c>
    </x:row>
    <x:row r="336" ht="15" hidden="0" customHeight="1">
      <x:c r="A336" s="5" t="str">
        <x:v>KRDS-SEC-050-A-01</x:v>
      </x:c>
      <x:c r="B336" s="5" t="str">
        <x:v>KRDS-SEC-050</x:v>
      </x:c>
      <x:c r="C336" s="5" t="str">
        <x:v>컴포넌트</x:v>
      </x:c>
      <x:c r="D336" s="5" t="str">
        <x:v>도움</x:v>
      </x:c>
      <x:c r="E336" s="5" t="str">
        <x:v>도움 패널</x:v>
      </x:c>
      <x:c r="F336" s="5" t="str">
        <x:v>접근성 가이드라인</x:v>
      </x:c>
      <x:c r="G336" s="5" t="str">
        <x:v>01</x:v>
      </x:c>
      <x:c r="H336" s="5" t="n">
        <x:v>607</x:v>
      </x:c>
      <x:c r="I336" s="5" t="n">
        <x:v>607</x:v>
      </x:c>
      <x:c r="J336" s="5" t="str"/>
      <x:c r="K336" s="5" t="str">
        <x:v>아이콘과 인접 배경 간 명도 대비를 3:1 이상으로 제공한다.</x:v>
      </x:c>
      <x:c r="L336" s="5" t="str">
        <x:v>원문 세부기준</x:v>
      </x:c>
      <x:c r="M336" s="5" t="str">
        <x:v>추출 후 기본 구조 검토; 원문 적용수준·전체 맥락 재확인 필요</x:v>
      </x:c>
      <x:c r="N336" s="5" t="str">
        <x:v>UI-049</x:v>
      </x:c>
      <x:c r="O336" s="5" t="str">
        <x:v>자동 추출 후보 / 공식 전수 체크리스트 아님</x:v>
      </x:c>
    </x:row>
    <x:row r="337" ht="15" hidden="0" customHeight="1">
      <x:c r="A337" s="5" t="str">
        <x:v>KRDS-SEC-050-A-02</x:v>
      </x:c>
      <x:c r="B337" s="5" t="str">
        <x:v>KRDS-SEC-050</x:v>
      </x:c>
      <x:c r="C337" s="5" t="str">
        <x:v>컴포넌트</x:v>
      </x:c>
      <x:c r="D337" s="5" t="str">
        <x:v>도움</x:v>
      </x:c>
      <x:c r="E337" s="5" t="str">
        <x:v>도움 패널</x:v>
      </x:c>
      <x:c r="F337" s="5" t="str">
        <x:v>접근성 가이드라인</x:v>
      </x:c>
      <x:c r="G337" s="5" t="str">
        <x:v>02</x:v>
      </x:c>
      <x:c r="H337" s="5" t="n">
        <x:v>607</x:v>
      </x:c>
      <x:c r="I337" s="5" t="n">
        <x:v>607</x:v>
      </x:c>
      <x:c r="J337" s="5" t="str"/>
      <x:c r="K337" s="5" t="str">
        <x:v>아이콘 버튼에 이름을 제공한다.</x:v>
      </x:c>
      <x:c r="L337" s="5" t="str">
        <x:v>원문 세부기준</x:v>
      </x:c>
      <x:c r="M337" s="5" t="str">
        <x:v>추출 후 기본 구조 검토; 원문 적용수준·전체 맥락 재확인 필요</x:v>
      </x:c>
      <x:c r="N337" s="5" t="str">
        <x:v>UI-049</x:v>
      </x:c>
      <x:c r="O337" s="5" t="str">
        <x:v>자동 추출 후보 / 공식 전수 체크리스트 아님</x:v>
      </x:c>
    </x:row>
    <x:row r="338" ht="15" hidden="0" customHeight="1">
      <x:c r="A338" s="5" t="str">
        <x:v>KRDS-SEC-050-A-03</x:v>
      </x:c>
      <x:c r="B338" s="5" t="str">
        <x:v>KRDS-SEC-050</x:v>
      </x:c>
      <x:c r="C338" s="5" t="str">
        <x:v>컴포넌트</x:v>
      </x:c>
      <x:c r="D338" s="5" t="str">
        <x:v>도움</x:v>
      </x:c>
      <x:c r="E338" s="5" t="str">
        <x:v>도움 패널</x:v>
      </x:c>
      <x:c r="F338" s="5" t="str">
        <x:v>접근성 가이드라인</x:v>
      </x:c>
      <x:c r="G338" s="5" t="str">
        <x:v>03</x:v>
      </x:c>
      <x:c r="H338" s="5" t="n">
        <x:v>607</x:v>
      </x:c>
      <x:c r="I338" s="5" t="n">
        <x:v>607</x:v>
      </x:c>
      <x:c r="J338" s="5" t="str"/>
      <x:c r="K338" s="5" t="str">
        <x:v>아이콘 버튼에 고유하고 적절한 이름을 제공한다.</x:v>
      </x:c>
      <x:c r="L338" s="5" t="str">
        <x:v>원문 세부기준</x:v>
      </x:c>
      <x:c r="M338" s="5" t="str">
        <x:v>추출 후 기본 구조 검토; 원문 적용수준·전체 맥락 재확인 필요</x:v>
      </x:c>
      <x:c r="N338" s="5" t="str">
        <x:v>UI-049</x:v>
      </x:c>
      <x:c r="O338" s="5" t="str">
        <x:v>자동 추출 후보 / 공식 전수 체크리스트 아님</x:v>
      </x:c>
    </x:row>
    <x:row r="339" ht="15" hidden="0" customHeight="1">
      <x:c r="A339" s="5" t="str">
        <x:v>KRDS-SEC-050-A-04</x:v>
      </x:c>
      <x:c r="B339" s="5" t="str">
        <x:v>KRDS-SEC-050</x:v>
      </x:c>
      <x:c r="C339" s="5" t="str">
        <x:v>컴포넌트</x:v>
      </x:c>
      <x:c r="D339" s="5" t="str">
        <x:v>도움</x:v>
      </x:c>
      <x:c r="E339" s="5" t="str">
        <x:v>도움 패널</x:v>
      </x:c>
      <x:c r="F339" s="5" t="str">
        <x:v>접근성 가이드라인</x:v>
      </x:c>
      <x:c r="G339" s="5" t="str">
        <x:v>04</x:v>
      </x:c>
      <x:c r="H339" s="5" t="n">
        <x:v>608</x:v>
      </x:c>
      <x:c r="I339" s="5" t="n">
        <x:v>608</x:v>
      </x:c>
      <x:c r="J339" s="5" t="str"/>
      <x:c r="K339" s="5" t="str">
        <x:v>키보드 초점은 논리적인 순서로 이동해야 한다.</x:v>
      </x:c>
      <x:c r="L339" s="5" t="str">
        <x:v>원문 세부기준</x:v>
      </x:c>
      <x:c r="M339" s="5" t="str">
        <x:v>추출 후 기본 구조 검토; 원문 적용수준·전체 맥락 재확인 필요</x:v>
      </x:c>
      <x:c r="N339" s="5" t="str">
        <x:v>UI-049</x:v>
      </x:c>
      <x:c r="O339" s="5" t="str">
        <x:v>자동 추출 후보 / 공식 전수 체크리스트 아님</x:v>
      </x:c>
    </x:row>
    <x:row r="340" ht="15" hidden="0" customHeight="1">
      <x:c r="A340" s="5" t="str">
        <x:v>KRDS-SEC-050-A-05</x:v>
      </x:c>
      <x:c r="B340" s="5" t="str">
        <x:v>KRDS-SEC-050</x:v>
      </x:c>
      <x:c r="C340" s="5" t="str">
        <x:v>컴포넌트</x:v>
      </x:c>
      <x:c r="D340" s="5" t="str">
        <x:v>도움</x:v>
      </x:c>
      <x:c r="E340" s="5" t="str">
        <x:v>도움 패널</x:v>
      </x:c>
      <x:c r="F340" s="5" t="str">
        <x:v>접근성 가이드라인</x:v>
      </x:c>
      <x:c r="G340" s="5" t="str">
        <x:v>05</x:v>
      </x:c>
      <x:c r="H340" s="5" t="n">
        <x:v>608</x:v>
      </x:c>
      <x:c r="I340" s="5" t="n">
        <x:v>608</x:v>
      </x:c>
      <x:c r="J340" s="5" t="str"/>
      <x:c r="K340" s="5" t="str">
        <x:v>아이콘 버튼의 크기를 44px × 44px 이상으로 제공하는 방안을 고려한다.</x:v>
      </x:c>
      <x:c r="L340" s="5" t="str">
        <x:v>원문 세부기준</x:v>
      </x:c>
      <x:c r="M340" s="5" t="str">
        <x:v>추출 후 기본 구조 검토; 원문 적용수준·전체 맥락 재확인 필요</x:v>
      </x:c>
      <x:c r="N340" s="5" t="str">
        <x:v>UI-049</x:v>
      </x:c>
      <x:c r="O340" s="5" t="str">
        <x:v>자동 추출 후보 / 공식 전수 체크리스트 아님</x:v>
      </x:c>
    </x:row>
    <x:row r="341" ht="15" hidden="0" customHeight="1">
      <x:c r="A341" s="5" t="str">
        <x:v>KRDS-SEC-050-A-06</x:v>
      </x:c>
      <x:c r="B341" s="5" t="str">
        <x:v>KRDS-SEC-050</x:v>
      </x:c>
      <x:c r="C341" s="5" t="str">
        <x:v>컴포넌트</x:v>
      </x:c>
      <x:c r="D341" s="5" t="str">
        <x:v>도움</x:v>
      </x:c>
      <x:c r="E341" s="5" t="str">
        <x:v>도움 패널</x:v>
      </x:c>
      <x:c r="F341" s="5" t="str">
        <x:v>접근성 가이드라인</x:v>
      </x:c>
      <x:c r="G341" s="5" t="str">
        <x:v>06</x:v>
      </x:c>
      <x:c r="H341" s="5" t="n">
        <x:v>608</x:v>
      </x:c>
      <x:c r="I341" s="5" t="n">
        <x:v>608</x:v>
      </x:c>
      <x:c r="J341" s="5" t="str"/>
      <x:c r="K341" s="5" t="str">
        <x:v>패널 열기 버튼과 패널은 본문 바로 다음 요소로 제공한다.</x:v>
      </x:c>
      <x:c r="L341" s="5" t="str">
        <x:v>원문 세부기준</x:v>
      </x:c>
      <x:c r="M341" s="5" t="str">
        <x:v>추출 후 기본 구조 검토; 원문 적용수준·전체 맥락 재확인 필요</x:v>
      </x:c>
      <x:c r="N341" s="5" t="str">
        <x:v>UI-049</x:v>
      </x:c>
      <x:c r="O341" s="5" t="str">
        <x:v>자동 추출 후보 / 공식 전수 체크리스트 아님</x:v>
      </x:c>
    </x:row>
    <x:row r="342" ht="15" hidden="0" customHeight="1">
      <x:c r="A342" s="5" t="str">
        <x:v>KRDS-SEC-051-U-01</x:v>
      </x:c>
      <x:c r="B342" s="5" t="str">
        <x:v>KRDS-SEC-051</x:v>
      </x:c>
      <x:c r="C342" s="5" t="str">
        <x:v>컴포넌트</x:v>
      </x:c>
      <x:c r="D342" s="5" t="str">
        <x:v>도움</x:v>
      </x:c>
      <x:c r="E342" s="5" t="str">
        <x:v>따라하기 패널</x:v>
      </x:c>
      <x:c r="F342" s="5" t="str">
        <x:v>사용성 가이드라인</x:v>
      </x:c>
      <x:c r="G342" s="5" t="str">
        <x:v>01</x:v>
      </x:c>
      <x:c r="H342" s="5" t="n">
        <x:v>614</x:v>
      </x:c>
      <x:c r="I342" s="5" t="n">
        <x:v>614</x:v>
      </x:c>
      <x:c r="J342" s="5" t="str">
        <x:v>615</x:v>
      </x:c>
      <x:c r="K342" s="5" t="str">
        <x:v>사용자가 중단하기 버튼을 누르기 전까지 콘텐츠가 변경되지 않아야 한다.</x:v>
      </x:c>
      <x:c r="L342" s="5" t="str">
        <x:v>원문 세부기준</x:v>
      </x:c>
      <x:c r="M342" s="5" t="str">
        <x:v>추출 후 기본 구조 검토; 원문 적용수준·전체 맥락 재확인 필요</x:v>
      </x:c>
      <x:c r="N342" s="5" t="str">
        <x:v>UI-050</x:v>
      </x:c>
      <x:c r="O342" s="5" t="str">
        <x:v>자동 추출 후보 / 공식 전수 체크리스트 아님</x:v>
      </x:c>
    </x:row>
    <x:row r="343" ht="15" hidden="0" customHeight="1">
      <x:c r="A343" s="5" t="str">
        <x:v>KRDS-SEC-051-U-02</x:v>
      </x:c>
      <x:c r="B343" s="5" t="str">
        <x:v>KRDS-SEC-051</x:v>
      </x:c>
      <x:c r="C343" s="5" t="str">
        <x:v>컴포넌트</x:v>
      </x:c>
      <x:c r="D343" s="5" t="str">
        <x:v>도움</x:v>
      </x:c>
      <x:c r="E343" s="5" t="str">
        <x:v>따라하기 패널</x:v>
      </x:c>
      <x:c r="F343" s="5" t="str">
        <x:v>사용성 가이드라인</x:v>
      </x:c>
      <x:c r="G343" s="5" t="str">
        <x:v>02</x:v>
      </x:c>
      <x:c r="H343" s="5" t="n">
        <x:v>614</x:v>
      </x:c>
      <x:c r="I343" s="5" t="n">
        <x:v>614</x:v>
      </x:c>
      <x:c r="J343" s="5" t="str">
        <x:v>615</x:v>
      </x:c>
      <x:c r="K343" s="5" t="str">
        <x:v>사용자가 중단하기 버튼을 누르기 전까지 따라하기 프로세스가 중단되지 않아야 한다.</x:v>
      </x:c>
      <x:c r="L343" s="5" t="str">
        <x:v>원문 세부기준</x:v>
      </x:c>
      <x:c r="M343" s="5" t="str">
        <x:v>추출 후 기본 구조 검토; 원문 적용수준·전체 맥락 재확인 필요</x:v>
      </x:c>
      <x:c r="N343" s="5" t="str">
        <x:v>UI-050</x:v>
      </x:c>
      <x:c r="O343" s="5" t="str">
        <x:v>자동 추출 후보 / 공식 전수 체크리스트 아님</x:v>
      </x:c>
    </x:row>
    <x:row r="344" ht="15" hidden="0" customHeight="1">
      <x:c r="A344" s="5" t="str">
        <x:v>KRDS-SEC-051-U-03</x:v>
      </x:c>
      <x:c r="B344" s="5" t="str">
        <x:v>KRDS-SEC-051</x:v>
      </x:c>
      <x:c r="C344" s="5" t="str">
        <x:v>컴포넌트</x:v>
      </x:c>
      <x:c r="D344" s="5" t="str">
        <x:v>도움</x:v>
      </x:c>
      <x:c r="E344" s="5" t="str">
        <x:v>따라하기 패널</x:v>
      </x:c>
      <x:c r="F344" s="5" t="str">
        <x:v>사용성 가이드라인</x:v>
      </x:c>
      <x:c r="G344" s="5" t="str">
        <x:v>03</x:v>
      </x:c>
      <x:c r="H344" s="5" t="n">
        <x:v>614</x:v>
      </x:c>
      <x:c r="I344" s="5" t="n">
        <x:v>614</x:v>
      </x:c>
      <x:c r="J344" s="5" t="str">
        <x:v>615</x:v>
      </x:c>
      <x:c r="K344" s="5" t="str">
        <x:v>콘텐츠를 간결하게 유지한다.</x:v>
      </x:c>
      <x:c r="L344" s="5" t="str">
        <x:v>원문 세부기준</x:v>
      </x:c>
      <x:c r="M344" s="5" t="str">
        <x:v>추출 후 기본 구조 검토; 원문 적용수준·전체 맥락 재확인 필요</x:v>
      </x:c>
      <x:c r="N344" s="5" t="str">
        <x:v>UI-050</x:v>
      </x:c>
      <x:c r="O344" s="5" t="str">
        <x:v>자동 추출 후보 / 공식 전수 체크리스트 아님</x:v>
      </x:c>
    </x:row>
    <x:row r="345" ht="15" hidden="0" customHeight="1">
      <x:c r="A345" s="5" t="str">
        <x:v>KRDS-SEC-051-U-04</x:v>
      </x:c>
      <x:c r="B345" s="5" t="str">
        <x:v>KRDS-SEC-051</x:v>
      </x:c>
      <x:c r="C345" s="5" t="str">
        <x:v>컴포넌트</x:v>
      </x:c>
      <x:c r="D345" s="5" t="str">
        <x:v>도움</x:v>
      </x:c>
      <x:c r="E345" s="5" t="str">
        <x:v>따라하기 패널</x:v>
      </x:c>
      <x:c r="F345" s="5" t="str">
        <x:v>사용성 가이드라인</x:v>
      </x:c>
      <x:c r="G345" s="5" t="str">
        <x:v>04</x:v>
      </x:c>
      <x:c r="H345" s="5" t="n">
        <x:v>614</x:v>
      </x:c>
      <x:c r="I345" s="5" t="n">
        <x:v>614</x:v>
      </x:c>
      <x:c r="J345" s="5" t="str">
        <x:v>615</x:v>
      </x:c>
      <x:c r="K345" s="5" t="str">
        <x:v>패널에서 제공하는 웹 페이지 링크는 새 창으로 실행한다.</x:v>
      </x:c>
      <x:c r="L345" s="5" t="str">
        <x:v>원문 세부기준</x:v>
      </x:c>
      <x:c r="M345" s="5" t="str">
        <x:v>추출 후 기본 구조 검토; 원문 적용수준·전체 맥락 재확인 필요</x:v>
      </x:c>
      <x:c r="N345" s="5" t="str">
        <x:v>UI-050</x:v>
      </x:c>
      <x:c r="O345" s="5" t="str">
        <x:v>자동 추출 후보 / 공식 전수 체크리스트 아님</x:v>
      </x:c>
    </x:row>
    <x:row r="346" ht="15" hidden="0" customHeight="1">
      <x:c r="A346" s="5" t="str">
        <x:v>KRDS-SEC-051-P-01</x:v>
      </x:c>
      <x:c r="B346" s="5" t="str">
        <x:v>KRDS-SEC-051</x:v>
      </x:c>
      <x:c r="C346" s="5" t="str">
        <x:v>컴포넌트</x:v>
      </x:c>
      <x:c r="D346" s="5" t="str">
        <x:v>도움</x:v>
      </x:c>
      <x:c r="E346" s="5" t="str">
        <x:v>따라하기 패널</x:v>
      </x:c>
      <x:c r="F346" s="5" t="str">
        <x:v>플랫폼에 대한 고려 사항</x:v>
      </x:c>
      <x:c r="G346" s="5" t="str">
        <x:v>01</x:v>
      </x:c>
      <x:c r="H346" s="5" t="n">
        <x:v>616</x:v>
      </x:c>
      <x:c r="I346" s="5" t="n">
        <x:v>616</x:v>
      </x:c>
      <x:c r="J346" s="5" t="str"/>
      <x:c r="K346" s="5" t="str">
        <x:v>화면 너비가 충분하지 않을 때 따라하기 패널은 패널 열기 버튼으로 축약하여 제공한다.</x:v>
      </x:c>
      <x:c r="L346" s="5" t="str">
        <x:v>원문 세부기준</x:v>
      </x:c>
      <x:c r="M346" s="5" t="str">
        <x:v>추출 후 기본 구조 검토; 원문 적용수준·전체 맥락 재확인 필요</x:v>
      </x:c>
      <x:c r="N346" s="5" t="str">
        <x:v>UI-050</x:v>
      </x:c>
      <x:c r="O346" s="5" t="str">
        <x:v>자동 추출 후보 / 공식 전수 체크리스트 아님</x:v>
      </x:c>
    </x:row>
    <x:row r="347" ht="15" hidden="0" customHeight="1">
      <x:c r="A347" s="5" t="str">
        <x:v>KRDS-SEC-051-A-01</x:v>
      </x:c>
      <x:c r="B347" s="5" t="str">
        <x:v>KRDS-SEC-051</x:v>
      </x:c>
      <x:c r="C347" s="5" t="str">
        <x:v>컴포넌트</x:v>
      </x:c>
      <x:c r="D347" s="5" t="str">
        <x:v>도움</x:v>
      </x:c>
      <x:c r="E347" s="5" t="str">
        <x:v>따라하기 패널</x:v>
      </x:c>
      <x:c r="F347" s="5" t="str">
        <x:v>접근성 가이드라인</x:v>
      </x:c>
      <x:c r="G347" s="5" t="str">
        <x:v>01</x:v>
      </x:c>
      <x:c r="H347" s="5" t="n">
        <x:v>617</x:v>
      </x:c>
      <x:c r="I347" s="5" t="n">
        <x:v>617</x:v>
      </x:c>
      <x:c r="J347" s="5" t="str"/>
      <x:c r="K347" s="5" t="str">
        <x:v>키보드 초점은 논리적인 순서로 이동해야 한다.</x:v>
      </x:c>
      <x:c r="L347" s="5" t="str">
        <x:v>원문 세부기준</x:v>
      </x:c>
      <x:c r="M347" s="5" t="str">
        <x:v>추출 후 기본 구조 검토; 원문 적용수준·전체 맥락 재확인 필요</x:v>
      </x:c>
      <x:c r="N347" s="5" t="str">
        <x:v>UI-050</x:v>
      </x:c>
      <x:c r="O347" s="5" t="str">
        <x:v>자동 추출 후보 / 공식 전수 체크리스트 아님</x:v>
      </x:c>
    </x:row>
    <x:row r="348" ht="15" hidden="0" customHeight="1">
      <x:c r="A348" s="5" t="str">
        <x:v>KRDS-SEC-051-A-02</x:v>
      </x:c>
      <x:c r="B348" s="5" t="str">
        <x:v>KRDS-SEC-051</x:v>
      </x:c>
      <x:c r="C348" s="5" t="str">
        <x:v>컴포넌트</x:v>
      </x:c>
      <x:c r="D348" s="5" t="str">
        <x:v>도움</x:v>
      </x:c>
      <x:c r="E348" s="5" t="str">
        <x:v>따라하기 패널</x:v>
      </x:c>
      <x:c r="F348" s="5" t="str">
        <x:v>접근성 가이드라인</x:v>
      </x:c>
      <x:c r="G348" s="5" t="str">
        <x:v>02</x:v>
      </x:c>
      <x:c r="H348" s="5" t="n">
        <x:v>617</x:v>
      </x:c>
      <x:c r="I348" s="5" t="n">
        <x:v>617</x:v>
      </x:c>
      <x:c r="J348" s="5" t="str"/>
      <x:c r="K348" s="5" t="str">
        <x:v>패널 열기 버튼과 패널은 본문 바로 다음 요소로 제공한다.</x:v>
      </x:c>
      <x:c r="L348" s="5" t="str">
        <x:v>원문 세부기준</x:v>
      </x:c>
      <x:c r="M348" s="5" t="str">
        <x:v>추출 후 기본 구조 검토; 원문 적용수준·전체 맥락 재확인 필요</x:v>
      </x:c>
      <x:c r="N348" s="5" t="str">
        <x:v>UI-050</x:v>
      </x:c>
      <x:c r="O348" s="5" t="str">
        <x:v>자동 추출 후보 / 공식 전수 체크리스트 아님</x:v>
      </x:c>
    </x:row>
    <x:row r="349" ht="15" hidden="0" customHeight="1">
      <x:c r="A349" s="5" t="str">
        <x:v>KRDS-SEC-052-U-01</x:v>
      </x:c>
      <x:c r="B349" s="5" t="str">
        <x:v>KRDS-SEC-052</x:v>
      </x:c>
      <x:c r="C349" s="5" t="str">
        <x:v>컴포넌트</x:v>
      </x:c>
      <x:c r="D349" s="5" t="str">
        <x:v>도움</x:v>
      </x:c>
      <x:c r="E349" s="5" t="str">
        <x:v>맥락적 도움말</x:v>
      </x:c>
      <x:c r="F349" s="5" t="str">
        <x:v>사용성 가이드라인</x:v>
      </x:c>
      <x:c r="G349" s="5" t="str">
        <x:v>01</x:v>
      </x:c>
      <x:c r="H349" s="5" t="n">
        <x:v>623</x:v>
      </x:c>
      <x:c r="I349" s="5" t="n">
        <x:v>623</x:v>
      </x:c>
      <x:c r="J349" s="5" t="str">
        <x:v>624</x:v>
      </x:c>
      <x:c r="K349" s="5" t="str">
        <x:v>아이콘 버튼은 도움 정보를 제공하고자 하는 요소 주변에 배치한다.</x:v>
      </x:c>
      <x:c r="L349" s="5" t="str">
        <x:v>원문 세부기준</x:v>
      </x:c>
      <x:c r="M349" s="5" t="str">
        <x:v>추출 후 기본 구조 검토; 원문 적용수준·전체 맥락 재확인 필요</x:v>
      </x:c>
      <x:c r="N349" s="5" t="str">
        <x:v>UI-051</x:v>
      </x:c>
      <x:c r="O349" s="5" t="str">
        <x:v>자동 추출 후보 / 공식 전수 체크리스트 아님</x:v>
      </x:c>
    </x:row>
    <x:row r="350" ht="15" hidden="0" customHeight="1">
      <x:c r="A350" s="5" t="str">
        <x:v>KRDS-SEC-052-U-02</x:v>
      </x:c>
      <x:c r="B350" s="5" t="str">
        <x:v>KRDS-SEC-052</x:v>
      </x:c>
      <x:c r="C350" s="5" t="str">
        <x:v>컴포넌트</x:v>
      </x:c>
      <x:c r="D350" s="5" t="str">
        <x:v>도움</x:v>
      </x:c>
      <x:c r="E350" s="5" t="str">
        <x:v>맥락적 도움말</x:v>
      </x:c>
      <x:c r="F350" s="5" t="str">
        <x:v>사용성 가이드라인</x:v>
      </x:c>
      <x:c r="G350" s="5" t="str">
        <x:v>02</x:v>
      </x:c>
      <x:c r="H350" s="5" t="n">
        <x:v>623</x:v>
      </x:c>
      <x:c r="I350" s="5" t="n">
        <x:v>623</x:v>
      </x:c>
      <x:c r="J350" s="5" t="str">
        <x:v>625</x:v>
      </x:c>
      <x:c r="K350" s="5" t="str">
        <x:v>팝오버 영역이 화면을 벗어나지 않도록 표현한다.</x:v>
      </x:c>
      <x:c r="L350" s="5" t="str">
        <x:v>원문 세부기준</x:v>
      </x:c>
      <x:c r="M350" s="5" t="str">
        <x:v>추출 후 기본 구조 검토; 원문 적용수준·전체 맥락 재확인 필요</x:v>
      </x:c>
      <x:c r="N350" s="5" t="str">
        <x:v>UI-051</x:v>
      </x:c>
      <x:c r="O350" s="5" t="str">
        <x:v>자동 추출 후보 / 공식 전수 체크리스트 아님</x:v>
      </x:c>
    </x:row>
    <x:row r="351" ht="15" hidden="0" customHeight="1">
      <x:c r="A351" s="5" t="str">
        <x:v>KRDS-SEC-052-U-03</x:v>
      </x:c>
      <x:c r="B351" s="5" t="str">
        <x:v>KRDS-SEC-052</x:v>
      </x:c>
      <x:c r="C351" s="5" t="str">
        <x:v>컴포넌트</x:v>
      </x:c>
      <x:c r="D351" s="5" t="str">
        <x:v>도움</x:v>
      </x:c>
      <x:c r="E351" s="5" t="str">
        <x:v>맥락적 도움말</x:v>
      </x:c>
      <x:c r="F351" s="5" t="str">
        <x:v>사용성 가이드라인</x:v>
      </x:c>
      <x:c r="G351" s="5" t="str">
        <x:v>03</x:v>
      </x:c>
      <x:c r="H351" s="5" t="n">
        <x:v>623</x:v>
      </x:c>
      <x:c r="I351" s="5" t="n">
        <x:v>623</x:v>
      </x:c>
      <x:c r="J351" s="5" t="str">
        <x:v>626</x:v>
      </x:c>
      <x:c r="K351" s="5" t="str">
        <x:v>팝오버 영역이 본문의 중요 콘텐츠를 가리지 않도록 표현한다.</x:v>
      </x:c>
      <x:c r="L351" s="5" t="str">
        <x:v>원문 세부기준</x:v>
      </x:c>
      <x:c r="M351" s="5" t="str">
        <x:v>추출 후 기본 구조 검토; 원문 적용수준·전체 맥락 재확인 필요</x:v>
      </x:c>
      <x:c r="N351" s="5" t="str">
        <x:v>UI-051</x:v>
      </x:c>
      <x:c r="O351" s="5" t="str">
        <x:v>자동 추출 후보 / 공식 전수 체크리스트 아님</x:v>
      </x:c>
    </x:row>
    <x:row r="352" ht="15" hidden="0" customHeight="1">
      <x:c r="A352" s="5" t="str">
        <x:v>KRDS-SEC-052-U-04</x:v>
      </x:c>
      <x:c r="B352" s="5" t="str">
        <x:v>KRDS-SEC-052</x:v>
      </x:c>
      <x:c r="C352" s="5" t="str">
        <x:v>컴포넌트</x:v>
      </x:c>
      <x:c r="D352" s="5" t="str">
        <x:v>도움</x:v>
      </x:c>
      <x:c r="E352" s="5" t="str">
        <x:v>맥락적 도움말</x:v>
      </x:c>
      <x:c r="F352" s="5" t="str">
        <x:v>사용성 가이드라인</x:v>
      </x:c>
      <x:c r="G352" s="5" t="str">
        <x:v>04</x:v>
      </x:c>
      <x:c r="H352" s="5" t="n">
        <x:v>623</x:v>
      </x:c>
      <x:c r="I352" s="5" t="n">
        <x:v>623</x:v>
      </x:c>
      <x:c r="J352" s="5" t="str">
        <x:v>627</x:v>
      </x:c>
      <x:c r="K352" s="5" t="str">
        <x:v>사용자가 작업을 수행하기 위해 반드시 알아야 하는 필수 정보가 맥락적 도움말 콘텐츠에서만 제공되지 않도록 한다.</x:v>
      </x:c>
      <x:c r="L352" s="5" t="str">
        <x:v>원문 세부기준</x:v>
      </x:c>
      <x:c r="M352" s="5" t="str">
        <x:v>추출 후 기본 구조 검토; 원문 적용수준·전체 맥락 재확인 필요</x:v>
      </x:c>
      <x:c r="N352" s="5" t="str">
        <x:v>UI-051</x:v>
      </x:c>
      <x:c r="O352" s="5" t="str">
        <x:v>자동 추출 후보 / 공식 전수 체크리스트 아님</x:v>
      </x:c>
    </x:row>
    <x:row r="353" ht="15" hidden="0" customHeight="1">
      <x:c r="A353" s="5" t="str">
        <x:v>KRDS-SEC-052-U-05</x:v>
      </x:c>
      <x:c r="B353" s="5" t="str">
        <x:v>KRDS-SEC-052</x:v>
      </x:c>
      <x:c r="C353" s="5" t="str">
        <x:v>컴포넌트</x:v>
      </x:c>
      <x:c r="D353" s="5" t="str">
        <x:v>도움</x:v>
      </x:c>
      <x:c r="E353" s="5" t="str">
        <x:v>맥락적 도움말</x:v>
      </x:c>
      <x:c r="F353" s="5" t="str">
        <x:v>사용성 가이드라인</x:v>
      </x:c>
      <x:c r="G353" s="5" t="str">
        <x:v>05</x:v>
      </x:c>
      <x:c r="H353" s="5" t="n">
        <x:v>623</x:v>
      </x:c>
      <x:c r="I353" s="5" t="n">
        <x:v>623</x:v>
      </x:c>
      <x:c r="J353" s="5" t="str">
        <x:v>628</x:v>
      </x:c>
      <x:c r="K353" s="5" t="str">
        <x:v>맥락적 도움말에서 또 다른 맥락적 도움말을 실행하거나 모달을 실행하지 않도록 한다.</x:v>
      </x:c>
      <x:c r="L353" s="5" t="str">
        <x:v>원문 세부기준</x:v>
      </x:c>
      <x:c r="M353" s="5" t="str">
        <x:v>추출 후 기본 구조 검토; 원문 적용수준·전체 맥락 재확인 필요</x:v>
      </x:c>
      <x:c r="N353" s="5" t="str">
        <x:v>UI-051</x:v>
      </x:c>
      <x:c r="O353" s="5" t="str">
        <x:v>자동 추출 후보 / 공식 전수 체크리스트 아님</x:v>
      </x:c>
    </x:row>
    <x:row r="354" ht="15" hidden="0" customHeight="1">
      <x:c r="A354" s="5" t="str">
        <x:v>KRDS-SEC-052-U-06</x:v>
      </x:c>
      <x:c r="B354" s="5" t="str">
        <x:v>KRDS-SEC-052</x:v>
      </x:c>
      <x:c r="C354" s="5" t="str">
        <x:v>컴포넌트</x:v>
      </x:c>
      <x:c r="D354" s="5" t="str">
        <x:v>도움</x:v>
      </x:c>
      <x:c r="E354" s="5" t="str">
        <x:v>맥락적 도움말</x:v>
      </x:c>
      <x:c r="F354" s="5" t="str">
        <x:v>사용성 가이드라인</x:v>
      </x:c>
      <x:c r="G354" s="5" t="str">
        <x:v>06</x:v>
      </x:c>
      <x:c r="H354" s="5" t="n">
        <x:v>623</x:v>
      </x:c>
      <x:c r="I354" s="5" t="n">
        <x:v>623</x:v>
      </x:c>
      <x:c r="J354" s="5" t="str">
        <x:v>628</x:v>
      </x:c>
      <x:c r="K354" s="5" t="str">
        <x:v>도움말 내부 링크는 새 창으로 실행한다.</x:v>
      </x:c>
      <x:c r="L354" s="5" t="str">
        <x:v>원문 세부기준</x:v>
      </x:c>
      <x:c r="M354" s="5" t="str">
        <x:v>추출 후 기본 구조 검토; 원문 적용수준·전체 맥락 재확인 필요</x:v>
      </x:c>
      <x:c r="N354" s="5" t="str">
        <x:v>UI-051</x:v>
      </x:c>
      <x:c r="O354" s="5" t="str">
        <x:v>자동 추출 후보 / 공식 전수 체크리스트 아님</x:v>
      </x:c>
    </x:row>
    <x:row r="355" ht="15" hidden="0" customHeight="1">
      <x:c r="A355" s="5" t="str">
        <x:v>KRDS-SEC-052-U-07</x:v>
      </x:c>
      <x:c r="B355" s="5" t="str">
        <x:v>KRDS-SEC-052</x:v>
      </x:c>
      <x:c r="C355" s="5" t="str">
        <x:v>컴포넌트</x:v>
      </x:c>
      <x:c r="D355" s="5" t="str">
        <x:v>도움</x:v>
      </x:c>
      <x:c r="E355" s="5" t="str">
        <x:v>맥락적 도움말</x:v>
      </x:c>
      <x:c r="F355" s="5" t="str">
        <x:v>사용성 가이드라인</x:v>
      </x:c>
      <x:c r="G355" s="5" t="str">
        <x:v>07</x:v>
      </x:c>
      <x:c r="H355" s="5" t="n">
        <x:v>623</x:v>
      </x:c>
      <x:c r="I355" s="5" t="n">
        <x:v>623</x:v>
      </x:c>
      <x:c r="J355" s="5" t="str">
        <x:v>629</x:v>
      </x:c>
      <x:c r="K355" s="5" t="str">
        <x:v>맥락적 도움말과 도움 패널을 함께 사용하지 않는다.</x:v>
      </x:c>
      <x:c r="L355" s="5" t="str">
        <x:v>원문 세부기준</x:v>
      </x:c>
      <x:c r="M355" s="5" t="str">
        <x:v>추출 후 기본 구조 검토; 원문 적용수준·전체 맥락 재확인 필요</x:v>
      </x:c>
      <x:c r="N355" s="5" t="str">
        <x:v>UI-051</x:v>
      </x:c>
      <x:c r="O355" s="5" t="str">
        <x:v>자동 추출 후보 / 공식 전수 체크리스트 아님</x:v>
      </x:c>
    </x:row>
    <x:row r="356" ht="15" hidden="0" customHeight="1">
      <x:c r="A356" s="5" t="str">
        <x:v>KRDS-SEC-052-P-01</x:v>
      </x:c>
      <x:c r="B356" s="5" t="str">
        <x:v>KRDS-SEC-052</x:v>
      </x:c>
      <x:c r="C356" s="5" t="str">
        <x:v>컴포넌트</x:v>
      </x:c>
      <x:c r="D356" s="5" t="str">
        <x:v>도움</x:v>
      </x:c>
      <x:c r="E356" s="5" t="str">
        <x:v>맥락적 도움말</x:v>
      </x:c>
      <x:c r="F356" s="5" t="str">
        <x:v>플랫폼에 대한 고려 사항</x:v>
      </x:c>
      <x:c r="G356" s="5" t="str">
        <x:v>01</x:v>
      </x:c>
      <x:c r="H356" s="5" t="n">
        <x:v>630</x:v>
      </x:c>
      <x:c r="I356" s="5" t="n">
        <x:v>630</x:v>
      </x:c>
      <x:c r="J356" s="5" t="str"/>
      <x:c r="K356" s="5" t="str">
        <x:v>모든 화면 크기에서 팝오버 영역이 완전히 표시되는지 확인한다.</x:v>
      </x:c>
      <x:c r="L356" s="5" t="str">
        <x:v>원문 세부기준</x:v>
      </x:c>
      <x:c r="M356" s="5" t="str">
        <x:v>추출 후 기본 구조 검토; 원문 적용수준·전체 맥락 재확인 필요</x:v>
      </x:c>
      <x:c r="N356" s="5" t="str">
        <x:v>UI-051</x:v>
      </x:c>
      <x:c r="O356" s="5" t="str">
        <x:v>자동 추출 후보 / 공식 전수 체크리스트 아님</x:v>
      </x:c>
    </x:row>
    <x:row r="357" ht="15" hidden="0" customHeight="1">
      <x:c r="A357" s="5" t="str">
        <x:v>KRDS-SEC-052-A-01</x:v>
      </x:c>
      <x:c r="B357" s="5" t="str">
        <x:v>KRDS-SEC-052</x:v>
      </x:c>
      <x:c r="C357" s="5" t="str">
        <x:v>컴포넌트</x:v>
      </x:c>
      <x:c r="D357" s="5" t="str">
        <x:v>도움</x:v>
      </x:c>
      <x:c r="E357" s="5" t="str">
        <x:v>맥락적 도움말</x:v>
      </x:c>
      <x:c r="F357" s="5" t="str">
        <x:v>접근성 가이드라인</x:v>
      </x:c>
      <x:c r="G357" s="5" t="str">
        <x:v>01</x:v>
      </x:c>
      <x:c r="H357" s="5" t="n">
        <x:v>631</x:v>
      </x:c>
      <x:c r="I357" s="5" t="n">
        <x:v>631</x:v>
      </x:c>
      <x:c r="J357" s="5" t="str"/>
      <x:c r="K357" s="5" t="str">
        <x:v>아이콘과 인접 배경 간 명도 대비를 3:1 이상으로 제공한다.</x:v>
      </x:c>
      <x:c r="L357" s="5" t="str">
        <x:v>원문 세부기준</x:v>
      </x:c>
      <x:c r="M357" s="5" t="str">
        <x:v>추출 후 기본 구조 검토; 원문 적용수준·전체 맥락 재확인 필요</x:v>
      </x:c>
      <x:c r="N357" s="5" t="str">
        <x:v>UI-051</x:v>
      </x:c>
      <x:c r="O357" s="5" t="str">
        <x:v>자동 추출 후보 / 공식 전수 체크리스트 아님</x:v>
      </x:c>
    </x:row>
    <x:row r="358" ht="15" hidden="0" customHeight="1">
      <x:c r="A358" s="5" t="str">
        <x:v>KRDS-SEC-052-A-02</x:v>
      </x:c>
      <x:c r="B358" s="5" t="str">
        <x:v>KRDS-SEC-052</x:v>
      </x:c>
      <x:c r="C358" s="5" t="str">
        <x:v>컴포넌트</x:v>
      </x:c>
      <x:c r="D358" s="5" t="str">
        <x:v>도움</x:v>
      </x:c>
      <x:c r="E358" s="5" t="str">
        <x:v>맥락적 도움말</x:v>
      </x:c>
      <x:c r="F358" s="5" t="str">
        <x:v>접근성 가이드라인</x:v>
      </x:c>
      <x:c r="G358" s="5" t="str">
        <x:v>02</x:v>
      </x:c>
      <x:c r="H358" s="5" t="n">
        <x:v>631</x:v>
      </x:c>
      <x:c r="I358" s="5" t="n">
        <x:v>631</x:v>
      </x:c>
      <x:c r="J358" s="5" t="str"/>
      <x:c r="K358" s="5" t="str">
        <x:v>아이콘 버튼에 이름을 제공한다.</x:v>
      </x:c>
      <x:c r="L358" s="5" t="str">
        <x:v>원문 세부기준</x:v>
      </x:c>
      <x:c r="M358" s="5" t="str">
        <x:v>추출 후 기본 구조 검토; 원문 적용수준·전체 맥락 재확인 필요</x:v>
      </x:c>
      <x:c r="N358" s="5" t="str">
        <x:v>UI-051</x:v>
      </x:c>
      <x:c r="O358" s="5" t="str">
        <x:v>자동 추출 후보 / 공식 전수 체크리스트 아님</x:v>
      </x:c>
    </x:row>
    <x:row r="359" ht="15" hidden="0" customHeight="1">
      <x:c r="A359" s="5" t="str">
        <x:v>KRDS-SEC-052-A-03</x:v>
      </x:c>
      <x:c r="B359" s="5" t="str">
        <x:v>KRDS-SEC-052</x:v>
      </x:c>
      <x:c r="C359" s="5" t="str">
        <x:v>컴포넌트</x:v>
      </x:c>
      <x:c r="D359" s="5" t="str">
        <x:v>도움</x:v>
      </x:c>
      <x:c r="E359" s="5" t="str">
        <x:v>맥락적 도움말</x:v>
      </x:c>
      <x:c r="F359" s="5" t="str">
        <x:v>접근성 가이드라인</x:v>
      </x:c>
      <x:c r="G359" s="5" t="str">
        <x:v>03</x:v>
      </x:c>
      <x:c r="H359" s="5" t="n">
        <x:v>631</x:v>
      </x:c>
      <x:c r="I359" s="5" t="n">
        <x:v>631</x:v>
      </x:c>
      <x:c r="J359" s="5" t="str"/>
      <x:c r="K359" s="5" t="str">
        <x:v>아이콘 버튼에 고유하고 적절한 이름을 제공한다.</x:v>
      </x:c>
      <x:c r="L359" s="5" t="str">
        <x:v>원문 세부기준</x:v>
      </x:c>
      <x:c r="M359" s="5" t="str">
        <x:v>추출 후 기본 구조 검토; 원문 적용수준·전체 맥락 재확인 필요</x:v>
      </x:c>
      <x:c r="N359" s="5" t="str">
        <x:v>UI-051</x:v>
      </x:c>
      <x:c r="O359" s="5" t="str">
        <x:v>자동 추출 후보 / 공식 전수 체크리스트 아님</x:v>
      </x:c>
    </x:row>
    <x:row r="360" ht="15" hidden="0" customHeight="1">
      <x:c r="A360" s="5" t="str">
        <x:v>KRDS-SEC-052-A-04</x:v>
      </x:c>
      <x:c r="B360" s="5" t="str">
        <x:v>KRDS-SEC-052</x:v>
      </x:c>
      <x:c r="C360" s="5" t="str">
        <x:v>컴포넌트</x:v>
      </x:c>
      <x:c r="D360" s="5" t="str">
        <x:v>도움</x:v>
      </x:c>
      <x:c r="E360" s="5" t="str">
        <x:v>맥락적 도움말</x:v>
      </x:c>
      <x:c r="F360" s="5" t="str">
        <x:v>접근성 가이드라인</x:v>
      </x:c>
      <x:c r="G360" s="5" t="str">
        <x:v>04</x:v>
      </x:c>
      <x:c r="H360" s="5" t="n">
        <x:v>632</x:v>
      </x:c>
      <x:c r="I360" s="5" t="n">
        <x:v>632</x:v>
      </x:c>
      <x:c r="J360" s="5" t="str"/>
      <x:c r="K360" s="5" t="str">
        <x:v>맥락적 도움말은 사용자가 요청한 경우에만 실행되어야 한다.</x:v>
      </x:c>
      <x:c r="L360" s="5" t="str">
        <x:v>원문 세부기준</x:v>
      </x:c>
      <x:c r="M360" s="5" t="str">
        <x:v>추출 후 기본 구조 검토; 원문 적용수준·전체 맥락 재확인 필요</x:v>
      </x:c>
      <x:c r="N360" s="5" t="str">
        <x:v>UI-051</x:v>
      </x:c>
      <x:c r="O360" s="5" t="str">
        <x:v>자동 추출 후보 / 공식 전수 체크리스트 아님</x:v>
      </x:c>
    </x:row>
    <x:row r="361" ht="15" hidden="0" customHeight="1">
      <x:c r="A361" s="5" t="str">
        <x:v>KRDS-SEC-052-A-05</x:v>
      </x:c>
      <x:c r="B361" s="5" t="str">
        <x:v>KRDS-SEC-052</x:v>
      </x:c>
      <x:c r="C361" s="5" t="str">
        <x:v>컴포넌트</x:v>
      </x:c>
      <x:c r="D361" s="5" t="str">
        <x:v>도움</x:v>
      </x:c>
      <x:c r="E361" s="5" t="str">
        <x:v>맥락적 도움말</x:v>
      </x:c>
      <x:c r="F361" s="5" t="str">
        <x:v>접근성 가이드라인</x:v>
      </x:c>
      <x:c r="G361" s="5" t="str">
        <x:v>05</x:v>
      </x:c>
      <x:c r="H361" s="5" t="n">
        <x:v>632</x:v>
      </x:c>
      <x:c r="I361" s="5" t="n">
        <x:v>632</x:v>
      </x:c>
      <x:c r="J361" s="5" t="str"/>
      <x:c r="K361" s="5" t="str">
        <x:v>아이콘 버튼과 도움말 팝오버 콘텐츠를 적절한 순서로 제공한다.</x:v>
      </x:c>
      <x:c r="L361" s="5" t="str">
        <x:v>원문 세부기준</x:v>
      </x:c>
      <x:c r="M361" s="5" t="str">
        <x:v>추출 후 기본 구조 검토; 원문 적용수준·전체 맥락 재확인 필요</x:v>
      </x:c>
      <x:c r="N361" s="5" t="str">
        <x:v>UI-051</x:v>
      </x:c>
      <x:c r="O361" s="5" t="str">
        <x:v>자동 추출 후보 / 공식 전수 체크리스트 아님</x:v>
      </x:c>
    </x:row>
    <x:row r="362" ht="15" hidden="0" customHeight="1">
      <x:c r="A362" s="5" t="str">
        <x:v>KRDS-SEC-052-A-06</x:v>
      </x:c>
      <x:c r="B362" s="5" t="str">
        <x:v>KRDS-SEC-052</x:v>
      </x:c>
      <x:c r="C362" s="5" t="str">
        <x:v>컴포넌트</x:v>
      </x:c>
      <x:c r="D362" s="5" t="str">
        <x:v>도움</x:v>
      </x:c>
      <x:c r="E362" s="5" t="str">
        <x:v>맥락적 도움말</x:v>
      </x:c>
      <x:c r="F362" s="5" t="str">
        <x:v>접근성 가이드라인</x:v>
      </x:c>
      <x:c r="G362" s="5" t="str">
        <x:v>06</x:v>
      </x:c>
      <x:c r="H362" s="5" t="n">
        <x:v>633</x:v>
      </x:c>
      <x:c r="I362" s="5" t="n">
        <x:v>633</x:v>
      </x:c>
      <x:c r="J362" s="5" t="str"/>
      <x:c r="K362" s="5" t="str">
        <x:v>키보드 초점은 논리적인 순서로 이동해야 한다.</x:v>
      </x:c>
      <x:c r="L362" s="5" t="str">
        <x:v>원문 세부기준</x:v>
      </x:c>
      <x:c r="M362" s="5" t="str">
        <x:v>추출 후 기본 구조 검토; 원문 적용수준·전체 맥락 재확인 필요</x:v>
      </x:c>
      <x:c r="N362" s="5" t="str">
        <x:v>UI-051</x:v>
      </x:c>
      <x:c r="O362" s="5" t="str">
        <x:v>자동 추출 후보 / 공식 전수 체크리스트 아님</x:v>
      </x:c>
    </x:row>
    <x:row r="363" ht="15" hidden="0" customHeight="1">
      <x:c r="A363" s="5" t="str">
        <x:v>KRDS-SEC-052-A-07</x:v>
      </x:c>
      <x:c r="B363" s="5" t="str">
        <x:v>KRDS-SEC-052</x:v>
      </x:c>
      <x:c r="C363" s="5" t="str">
        <x:v>컴포넌트</x:v>
      </x:c>
      <x:c r="D363" s="5" t="str">
        <x:v>도움</x:v>
      </x:c>
      <x:c r="E363" s="5" t="str">
        <x:v>맥락적 도움말</x:v>
      </x:c>
      <x:c r="F363" s="5" t="str">
        <x:v>접근성 가이드라인</x:v>
      </x:c>
      <x:c r="G363" s="5" t="str">
        <x:v>07</x:v>
      </x:c>
      <x:c r="H363" s="5" t="n">
        <x:v>633</x:v>
      </x:c>
      <x:c r="I363" s="5" t="n">
        <x:v>633</x:v>
      </x:c>
      <x:c r="J363" s="5" t="str"/>
      <x:c r="K363" s="5" t="str">
        <x:v>아이콘 버튼의 크기를 44px × 44px 이상으로 제공하는 방안을 고려한다.</x:v>
      </x:c>
      <x:c r="L363" s="5" t="str">
        <x:v>원문 세부기준</x:v>
      </x:c>
      <x:c r="M363" s="5" t="str">
        <x:v>추출 후 기본 구조 검토; 원문 적용수준·전체 맥락 재확인 필요</x:v>
      </x:c>
      <x:c r="N363" s="5" t="str">
        <x:v>UI-051</x:v>
      </x:c>
      <x:c r="O363" s="5" t="str">
        <x:v>자동 추출 후보 / 공식 전수 체크리스트 아님</x:v>
      </x:c>
    </x:row>
    <x:row r="364" ht="15" hidden="0" customHeight="1">
      <x:c r="A364" s="5" t="str">
        <x:v>KRDS-SEC-053-U-01</x:v>
      </x:c>
      <x:c r="B364" s="5" t="str">
        <x:v>KRDS-SEC-053</x:v>
      </x:c>
      <x:c r="C364" s="5" t="str">
        <x:v>컴포넌트</x:v>
      </x:c>
      <x:c r="D364" s="5" t="str">
        <x:v>도움</x:v>
      </x:c>
      <x:c r="E364" s="5" t="str">
        <x:v>코치마크</x:v>
      </x:c>
      <x:c r="F364" s="5" t="str">
        <x:v>사용성 가이드라인</x:v>
      </x:c>
      <x:c r="G364" s="5" t="str">
        <x:v>01</x:v>
      </x:c>
      <x:c r="H364" s="5" t="n">
        <x:v>638</x:v>
      </x:c>
      <x:c r="I364" s="5" t="n">
        <x:v>638</x:v>
      </x:c>
      <x:c r="J364" s="5" t="str">
        <x:v>639</x:v>
      </x:c>
      <x:c r="K364" s="5" t="str">
        <x:v>코치마크는 정보를 제공하고자 하는 요소 주변에 배치한다.</x:v>
      </x:c>
      <x:c r="L364" s="5" t="str">
        <x:v>원문 세부기준</x:v>
      </x:c>
      <x:c r="M364" s="5" t="str">
        <x:v>추출 후 기본 구조 검토; 원문 적용수준·전체 맥락 재확인 필요</x:v>
      </x:c>
      <x:c r="N364" s="5" t="str">
        <x:v>UI-052</x:v>
      </x:c>
      <x:c r="O364" s="5" t="str">
        <x:v>자동 추출 후보 / 공식 전수 체크리스트 아님</x:v>
      </x:c>
    </x:row>
    <x:row r="365" ht="15" hidden="0" customHeight="1">
      <x:c r="A365" s="5" t="str">
        <x:v>KRDS-SEC-053-U-02</x:v>
      </x:c>
      <x:c r="B365" s="5" t="str">
        <x:v>KRDS-SEC-053</x:v>
      </x:c>
      <x:c r="C365" s="5" t="str">
        <x:v>컴포넌트</x:v>
      </x:c>
      <x:c r="D365" s="5" t="str">
        <x:v>도움</x:v>
      </x:c>
      <x:c r="E365" s="5" t="str">
        <x:v>코치마크</x:v>
      </x:c>
      <x:c r="F365" s="5" t="str">
        <x:v>사용성 가이드라인</x:v>
      </x:c>
      <x:c r="G365" s="5" t="str">
        <x:v>02</x:v>
      </x:c>
      <x:c r="H365" s="5" t="n">
        <x:v>638</x:v>
      </x:c>
      <x:c r="I365" s="5" t="n">
        <x:v>638</x:v>
      </x:c>
      <x:c r="J365" s="5" t="str">
        <x:v>640</x:v>
      </x:c>
      <x:c r="K365" s="5" t="str">
        <x:v>팝오버 영역이 본문의 중요 콘텐츠를 가리지 않도록 표현한다.</x:v>
      </x:c>
      <x:c r="L365" s="5" t="str">
        <x:v>원문 세부기준</x:v>
      </x:c>
      <x:c r="M365" s="5" t="str">
        <x:v>추출 후 기본 구조 검토; 원문 적용수준·전체 맥락 재확인 필요</x:v>
      </x:c>
      <x:c r="N365" s="5" t="str">
        <x:v>UI-052</x:v>
      </x:c>
      <x:c r="O365" s="5" t="str">
        <x:v>자동 추출 후보 / 공식 전수 체크리스트 아님</x:v>
      </x:c>
    </x:row>
    <x:row r="366" ht="15" hidden="0" customHeight="1">
      <x:c r="A366" s="5" t="str">
        <x:v>KRDS-SEC-053-U-03</x:v>
      </x:c>
      <x:c r="B366" s="5" t="str">
        <x:v>KRDS-SEC-053</x:v>
      </x:c>
      <x:c r="C366" s="5" t="str">
        <x:v>컴포넌트</x:v>
      </x:c>
      <x:c r="D366" s="5" t="str">
        <x:v>도움</x:v>
      </x:c>
      <x:c r="E366" s="5" t="str">
        <x:v>코치마크</x:v>
      </x:c>
      <x:c r="F366" s="5" t="str">
        <x:v>사용성 가이드라인</x:v>
      </x:c>
      <x:c r="G366" s="5" t="str">
        <x:v>03</x:v>
      </x:c>
      <x:c r="H366" s="5" t="n">
        <x:v>638</x:v>
      </x:c>
      <x:c r="I366" s="5" t="n">
        <x:v>638</x:v>
      </x:c>
      <x:c r="J366" s="5" t="str">
        <x:v>641</x:v>
      </x:c>
      <x:c r="K366" s="5" t="str">
        <x:v>팝오버 영역의 너비를 일관되게 유지한다.</x:v>
      </x:c>
      <x:c r="L366" s="5" t="str">
        <x:v>원문 세부기준</x:v>
      </x:c>
      <x:c r="M366" s="5" t="str">
        <x:v>추출 후 기본 구조 검토; 원문 적용수준·전체 맥락 재확인 필요</x:v>
      </x:c>
      <x:c r="N366" s="5" t="str">
        <x:v>UI-052</x:v>
      </x:c>
      <x:c r="O366" s="5" t="str">
        <x:v>자동 추출 후보 / 공식 전수 체크리스트 아님</x:v>
      </x:c>
    </x:row>
    <x:row r="367" ht="15" hidden="0" customHeight="1">
      <x:c r="A367" s="5" t="str">
        <x:v>KRDS-SEC-053-U-04</x:v>
      </x:c>
      <x:c r="B367" s="5" t="str">
        <x:v>KRDS-SEC-053</x:v>
      </x:c>
      <x:c r="C367" s="5" t="str">
        <x:v>컴포넌트</x:v>
      </x:c>
      <x:c r="D367" s="5" t="str">
        <x:v>도움</x:v>
      </x:c>
      <x:c r="E367" s="5" t="str">
        <x:v>코치마크</x:v>
      </x:c>
      <x:c r="F367" s="5" t="str">
        <x:v>사용성 가이드라인</x:v>
      </x:c>
      <x:c r="G367" s="5" t="str">
        <x:v>04</x:v>
      </x:c>
      <x:c r="H367" s="5" t="n">
        <x:v>638</x:v>
      </x:c>
      <x:c r="I367" s="5" t="n">
        <x:v>638</x:v>
      </x:c>
      <x:c r="J367" s="5" t="str">
        <x:v>641</x:v>
      </x:c>
      <x:c r="K367" s="5" t="str">
        <x:v>코치마크의 제목과 지시 사항은 간결하고 명확하게 작성한다.</x:v>
      </x:c>
      <x:c r="L367" s="5" t="str">
        <x:v>원문 세부기준</x:v>
      </x:c>
      <x:c r="M367" s="5" t="str">
        <x:v>추출 후 기본 구조 검토; 원문 적용수준·전체 맥락 재확인 필요</x:v>
      </x:c>
      <x:c r="N367" s="5" t="str">
        <x:v>UI-052</x:v>
      </x:c>
      <x:c r="O367" s="5" t="str">
        <x:v>자동 추출 후보 / 공식 전수 체크리스트 아님</x:v>
      </x:c>
    </x:row>
    <x:row r="368" ht="15" hidden="0" customHeight="1">
      <x:c r="A368" s="5" t="str">
        <x:v>KRDS-SEC-053-U-05</x:v>
      </x:c>
      <x:c r="B368" s="5" t="str">
        <x:v>KRDS-SEC-053</x:v>
      </x:c>
      <x:c r="C368" s="5" t="str">
        <x:v>컴포넌트</x:v>
      </x:c>
      <x:c r="D368" s="5" t="str">
        <x:v>도움</x:v>
      </x:c>
      <x:c r="E368" s="5" t="str">
        <x:v>코치마크</x:v>
      </x:c>
      <x:c r="F368" s="5" t="str">
        <x:v>사용성 가이드라인</x:v>
      </x:c>
      <x:c r="G368" s="5" t="str">
        <x:v>05</x:v>
      </x:c>
      <x:c r="H368" s="5" t="n">
        <x:v>638</x:v>
      </x:c>
      <x:c r="I368" s="5" t="n">
        <x:v>638</x:v>
      </x:c>
      <x:c r="J368" s="5" t="str">
        <x:v>641</x:v>
      </x:c>
      <x:c r="K368" s="5" t="str">
        <x:v>지나치게 많은 코치마크를 사용하지 않는다.</x:v>
      </x:c>
      <x:c r="L368" s="5" t="str">
        <x:v>원문 세부기준</x:v>
      </x:c>
      <x:c r="M368" s="5" t="str">
        <x:v>추출 후 기본 구조 검토; 원문 적용수준·전체 맥락 재확인 필요</x:v>
      </x:c>
      <x:c r="N368" s="5" t="str">
        <x:v>UI-052</x:v>
      </x:c>
      <x:c r="O368" s="5" t="str">
        <x:v>자동 추출 후보 / 공식 전수 체크리스트 아님</x:v>
      </x:c>
    </x:row>
    <x:row r="369" ht="15" hidden="0" customHeight="1">
      <x:c r="A369" s="5" t="str">
        <x:v>KRDS-SEC-053-U-06</x:v>
      </x:c>
      <x:c r="B369" s="5" t="str">
        <x:v>KRDS-SEC-053</x:v>
      </x:c>
      <x:c r="C369" s="5" t="str">
        <x:v>컴포넌트</x:v>
      </x:c>
      <x:c r="D369" s="5" t="str">
        <x:v>도움</x:v>
      </x:c>
      <x:c r="E369" s="5" t="str">
        <x:v>코치마크</x:v>
      </x:c>
      <x:c r="F369" s="5" t="str">
        <x:v>사용성 가이드라인</x:v>
      </x:c>
      <x:c r="G369" s="5" t="str">
        <x:v>06</x:v>
      </x:c>
      <x:c r="H369" s="5" t="n">
        <x:v>638</x:v>
      </x:c>
      <x:c r="I369" s="5" t="n">
        <x:v>638</x:v>
      </x:c>
      <x:c r="J369" s="5" t="str">
        <x:v>642</x:v>
      </x:c>
      <x:c r="K369" s="5" t="str">
        <x:v>코치마크는 전체 과업 플로(Flow)를 고려하여 논리적인 순서로 제공한다.</x:v>
      </x:c>
      <x:c r="L369" s="5" t="str">
        <x:v>원문 세부기준</x:v>
      </x:c>
      <x:c r="M369" s="5" t="str">
        <x:v>추출 후 기본 구조 검토; 원문 적용수준·전체 맥락 재확인 필요</x:v>
      </x:c>
      <x:c r="N369" s="5" t="str">
        <x:v>UI-052</x:v>
      </x:c>
      <x:c r="O369" s="5" t="str">
        <x:v>자동 추출 후보 / 공식 전수 체크리스트 아님</x:v>
      </x:c>
    </x:row>
    <x:row r="370" ht="15" hidden="0" customHeight="1">
      <x:c r="A370" s="5" t="str">
        <x:v>KRDS-SEC-053-U-07</x:v>
      </x:c>
      <x:c r="B370" s="5" t="str">
        <x:v>KRDS-SEC-053</x:v>
      </x:c>
      <x:c r="C370" s="5" t="str">
        <x:v>컴포넌트</x:v>
      </x:c>
      <x:c r="D370" s="5" t="str">
        <x:v>도움</x:v>
      </x:c>
      <x:c r="E370" s="5" t="str">
        <x:v>코치마크</x:v>
      </x:c>
      <x:c r="F370" s="5" t="str">
        <x:v>사용성 가이드라인</x:v>
      </x:c>
      <x:c r="G370" s="5" t="str">
        <x:v>07</x:v>
      </x:c>
      <x:c r="H370" s="5" t="n">
        <x:v>638</x:v>
      </x:c>
      <x:c r="I370" s="5" t="n">
        <x:v>638</x:v>
      </x:c>
      <x:c r="J370" s="5" t="str">
        <x:v>642</x:v>
      </x:c>
      <x:c r="K370" s="5" t="str">
        <x:v>한 화면에 여러 개의 코치마크가 표시되지 않도록 한다.</x:v>
      </x:c>
      <x:c r="L370" s="5" t="str">
        <x:v>원문 세부기준</x:v>
      </x:c>
      <x:c r="M370" s="5" t="str">
        <x:v>추출 후 기본 구조 검토; 원문 적용수준·전체 맥락 재확인 필요</x:v>
      </x:c>
      <x:c r="N370" s="5" t="str">
        <x:v>UI-052</x:v>
      </x:c>
      <x:c r="O370" s="5" t="str">
        <x:v>자동 추출 후보 / 공식 전수 체크리스트 아님</x:v>
      </x:c>
    </x:row>
    <x:row r="371" ht="15" hidden="0" customHeight="1">
      <x:c r="A371" s="5" t="str">
        <x:v>KRDS-SEC-053-U-08</x:v>
      </x:c>
      <x:c r="B371" s="5" t="str">
        <x:v>KRDS-SEC-053</x:v>
      </x:c>
      <x:c r="C371" s="5" t="str">
        <x:v>컴포넌트</x:v>
      </x:c>
      <x:c r="D371" s="5" t="str">
        <x:v>도움</x:v>
      </x:c>
      <x:c r="E371" s="5" t="str">
        <x:v>코치마크</x:v>
      </x:c>
      <x:c r="F371" s="5" t="str">
        <x:v>사용성 가이드라인</x:v>
      </x:c>
      <x:c r="G371" s="5" t="str">
        <x:v>08</x:v>
      </x:c>
      <x:c r="H371" s="5" t="n">
        <x:v>638</x:v>
      </x:c>
      <x:c r="I371" s="5" t="n">
        <x:v>638</x:v>
      </x:c>
      <x:c r="J371" s="5" t="str">
        <x:v>642</x:v>
      </x:c>
      <x:c r="K371" s="5" t="str">
        <x:v>코치마크가 표시된 상태에서 다른 메시지가 표시되지 않도록 한다.</x:v>
      </x:c>
      <x:c r="L371" s="5" t="str">
        <x:v>원문 세부기준</x:v>
      </x:c>
      <x:c r="M371" s="5" t="str">
        <x:v>추출 후 기본 구조 검토; 원문 적용수준·전체 맥락 재확인 필요</x:v>
      </x:c>
      <x:c r="N371" s="5" t="str">
        <x:v>UI-052</x:v>
      </x:c>
      <x:c r="O371" s="5" t="str">
        <x:v>자동 추출 후보 / 공식 전수 체크리스트 아님</x:v>
      </x:c>
    </x:row>
    <x:row r="372" ht="15" hidden="0" customHeight="1">
      <x:c r="A372" s="5" t="str">
        <x:v>KRDS-SEC-053-U-09</x:v>
      </x:c>
      <x:c r="B372" s="5" t="str">
        <x:v>KRDS-SEC-053</x:v>
      </x:c>
      <x:c r="C372" s="5" t="str">
        <x:v>컴포넌트</x:v>
      </x:c>
      <x:c r="D372" s="5" t="str">
        <x:v>도움</x:v>
      </x:c>
      <x:c r="E372" s="5" t="str">
        <x:v>코치마크</x:v>
      </x:c>
      <x:c r="F372" s="5" t="str">
        <x:v>사용성 가이드라인</x:v>
      </x:c>
      <x:c r="G372" s="5" t="str">
        <x:v>09</x:v>
      </x:c>
      <x:c r="H372" s="5" t="n">
        <x:v>638</x:v>
      </x:c>
      <x:c r="I372" s="5" t="n">
        <x:v>638</x:v>
      </x:c>
      <x:c r="J372" s="5" t="str">
        <x:v>642</x:v>
      </x:c>
      <x:c r="K372" s="5" t="str">
        <x:v>지시 사항 내부 링크는 새 창으로 실행한다.</x:v>
      </x:c>
      <x:c r="L372" s="5" t="str">
        <x:v>원문 세부기준</x:v>
      </x:c>
      <x:c r="M372" s="5" t="str">
        <x:v>추출 후 기본 구조 검토; 원문 적용수준·전체 맥락 재확인 필요</x:v>
      </x:c>
      <x:c r="N372" s="5" t="str">
        <x:v>UI-052</x:v>
      </x:c>
      <x:c r="O372" s="5" t="str">
        <x:v>자동 추출 후보 / 공식 전수 체크리스트 아님</x:v>
      </x:c>
    </x:row>
    <x:row r="373" ht="15" hidden="0" customHeight="1">
      <x:c r="A373" s="5" t="str">
        <x:v>KRDS-SEC-053-U-10</x:v>
      </x:c>
      <x:c r="B373" s="5" t="str">
        <x:v>KRDS-SEC-053</x:v>
      </x:c>
      <x:c r="C373" s="5" t="str">
        <x:v>컴포넌트</x:v>
      </x:c>
      <x:c r="D373" s="5" t="str">
        <x:v>도움</x:v>
      </x:c>
      <x:c r="E373" s="5" t="str">
        <x:v>코치마크</x:v>
      </x:c>
      <x:c r="F373" s="5" t="str">
        <x:v>사용성 가이드라인</x:v>
      </x:c>
      <x:c r="G373" s="5" t="str">
        <x:v>10</x:v>
      </x:c>
      <x:c r="H373" s="5" t="n">
        <x:v>638</x:v>
      </x:c>
      <x:c r="I373" s="5" t="n">
        <x:v>638</x:v>
      </x:c>
      <x:c r="J373" s="5" t="str">
        <x:v>643</x:v>
      </x:c>
      <x:c r="K373" s="5" t="str">
        <x:v>모든 단계에서 액션 버튼을 일관성 있는 순서로 배치하고 동일한 레이블을 사용한다.</x:v>
      </x:c>
      <x:c r="L373" s="5" t="str">
        <x:v>원문 세부기준</x:v>
      </x:c>
      <x:c r="M373" s="5" t="str">
        <x:v>추출 후 기본 구조 검토; 원문 적용수준·전체 맥락 재확인 필요</x:v>
      </x:c>
      <x:c r="N373" s="5" t="str">
        <x:v>UI-052</x:v>
      </x:c>
      <x:c r="O373" s="5" t="str">
        <x:v>자동 추출 후보 / 공식 전수 체크리스트 아님</x:v>
      </x:c>
    </x:row>
    <x:row r="374" ht="15" hidden="0" customHeight="1">
      <x:c r="A374" s="5" t="str">
        <x:v>KRDS-SEC-053-U-11</x:v>
      </x:c>
      <x:c r="B374" s="5" t="str">
        <x:v>KRDS-SEC-053</x:v>
      </x:c>
      <x:c r="C374" s="5" t="str">
        <x:v>컴포넌트</x:v>
      </x:c>
      <x:c r="D374" s="5" t="str">
        <x:v>도움</x:v>
      </x:c>
      <x:c r="E374" s="5" t="str">
        <x:v>코치마크</x:v>
      </x:c>
      <x:c r="F374" s="5" t="str">
        <x:v>사용성 가이드라인</x:v>
      </x:c>
      <x:c r="G374" s="5" t="str">
        <x:v>11</x:v>
      </x:c>
      <x:c r="H374" s="5" t="n">
        <x:v>638</x:v>
      </x:c>
      <x:c r="I374" s="5" t="n">
        <x:v>638</x:v>
      </x:c>
      <x:c r="J374" s="5" t="str">
        <x:v>644</x:v>
      </x:c>
      <x:c r="K374" s="5" t="str">
        <x:v>액션 버튼을 적절한 강조 수준으로 표현한다.</x:v>
      </x:c>
      <x:c r="L374" s="5" t="str">
        <x:v>원문 세부기준</x:v>
      </x:c>
      <x:c r="M374" s="5" t="str">
        <x:v>추출 후 기본 구조 검토; 원문 적용수준·전체 맥락 재확인 필요</x:v>
      </x:c>
      <x:c r="N374" s="5" t="str">
        <x:v>UI-052</x:v>
      </x:c>
      <x:c r="O374" s="5" t="str">
        <x:v>자동 추출 후보 / 공식 전수 체크리스트 아님</x:v>
      </x:c>
    </x:row>
    <x:row r="375" ht="15" hidden="0" customHeight="1">
      <x:c r="A375" s="5" t="str">
        <x:v>KRDS-SEC-053-U-12</x:v>
      </x:c>
      <x:c r="B375" s="5" t="str">
        <x:v>KRDS-SEC-053</x:v>
      </x:c>
      <x:c r="C375" s="5" t="str">
        <x:v>컴포넌트</x:v>
      </x:c>
      <x:c r="D375" s="5" t="str">
        <x:v>도움</x:v>
      </x:c>
      <x:c r="E375" s="5" t="str">
        <x:v>코치마크</x:v>
      </x:c>
      <x:c r="F375" s="5" t="str">
        <x:v>사용성 가이드라인</x:v>
      </x:c>
      <x:c r="G375" s="5" t="str">
        <x:v>12</x:v>
      </x:c>
      <x:c r="H375" s="5" t="n">
        <x:v>638</x:v>
      </x:c>
      <x:c r="I375" s="5" t="n">
        <x:v>638</x:v>
      </x:c>
      <x:c r="J375" s="5" t="str">
        <x:v>645</x:v>
      </x:c>
      <x:c r="K375" s="5" t="str">
        <x:v>사용자의 특정 행동 이후 다음 단계의 코치마크에 접근 가능한 경우, 사용자의 행동 완수 여부를 시스템이 확인하도록 한다.</x:v>
      </x:c>
      <x:c r="L375" s="5" t="str">
        <x:v>원문 세부기준</x:v>
      </x:c>
      <x:c r="M375" s="5" t="str">
        <x:v>추출 후 기본 구조 검토; 원문 적용수준·전체 맥락 재확인 필요</x:v>
      </x:c>
      <x:c r="N375" s="5" t="str">
        <x:v>UI-052</x:v>
      </x:c>
      <x:c r="O375" s="5" t="str">
        <x:v>자동 추출 후보 / 공식 전수 체크리스트 아님</x:v>
      </x:c>
    </x:row>
    <x:row r="376" ht="15" hidden="0" customHeight="1">
      <x:c r="A376" s="5" t="str">
        <x:v>KRDS-SEC-053-P-01</x:v>
      </x:c>
      <x:c r="B376" s="5" t="str">
        <x:v>KRDS-SEC-053</x:v>
      </x:c>
      <x:c r="C376" s="5" t="str">
        <x:v>컴포넌트</x:v>
      </x:c>
      <x:c r="D376" s="5" t="str">
        <x:v>도움</x:v>
      </x:c>
      <x:c r="E376" s="5" t="str">
        <x:v>코치마크</x:v>
      </x:c>
      <x:c r="F376" s="5" t="str">
        <x:v>플랫폼에 대한 고려 사항</x:v>
      </x:c>
      <x:c r="G376" s="5" t="str">
        <x:v>01</x:v>
      </x:c>
      <x:c r="H376" s="5" t="n">
        <x:v>646</x:v>
      </x:c>
      <x:c r="I376" s="5" t="n">
        <x:v>646</x:v>
      </x:c>
      <x:c r="J376" s="5" t="str"/>
      <x:c r="K376" s="5" t="str">
        <x:v>모든 화면 크기에서 팝오버 영역이 완전히 표시되는지 확인한다.</x:v>
      </x:c>
      <x:c r="L376" s="5" t="str">
        <x:v>원문 세부기준</x:v>
      </x:c>
      <x:c r="M376" s="5" t="str">
        <x:v>추출 후 기본 구조 검토; 원문 적용수준·전체 맥락 재확인 필요</x:v>
      </x:c>
      <x:c r="N376" s="5" t="str">
        <x:v>UI-052</x:v>
      </x:c>
      <x:c r="O376" s="5" t="str">
        <x:v>자동 추출 후보 / 공식 전수 체크리스트 아님</x:v>
      </x:c>
    </x:row>
    <x:row r="377" ht="15" hidden="0" customHeight="1">
      <x:c r="A377" s="5" t="str">
        <x:v>KRDS-SEC-053-A-01</x:v>
      </x:c>
      <x:c r="B377" s="5" t="str">
        <x:v>KRDS-SEC-053</x:v>
      </x:c>
      <x:c r="C377" s="5" t="str">
        <x:v>컴포넌트</x:v>
      </x:c>
      <x:c r="D377" s="5" t="str">
        <x:v>도움</x:v>
      </x:c>
      <x:c r="E377" s="5" t="str">
        <x:v>코치마크</x:v>
      </x:c>
      <x:c r="F377" s="5" t="str">
        <x:v>접근성 가이드라인</x:v>
      </x:c>
      <x:c r="G377" s="5" t="str">
        <x:v>01</x:v>
      </x:c>
      <x:c r="H377" s="5" t="n">
        <x:v>647</x:v>
      </x:c>
      <x:c r="I377" s="5" t="n">
        <x:v>647</x:v>
      </x:c>
      <x:c r="J377" s="5" t="str"/>
      <x:c r="K377" s="5" t="str">
        <x:v>스포트라이트와 인접 배경 간 명도 대비를 3:1 이상으로 제공한다.</x:v>
      </x:c>
      <x:c r="L377" s="5" t="str">
        <x:v>원문 세부기준</x:v>
      </x:c>
      <x:c r="M377" s="5" t="str">
        <x:v>추출 후 기본 구조 검토; 원문 적용수준·전체 맥락 재확인 필요</x:v>
      </x:c>
      <x:c r="N377" s="5" t="str">
        <x:v>UI-052</x:v>
      </x:c>
      <x:c r="O377" s="5" t="str">
        <x:v>자동 추출 후보 / 공식 전수 체크리스트 아님</x:v>
      </x:c>
    </x:row>
    <x:row r="378" ht="15" hidden="0" customHeight="1">
      <x:c r="A378" s="5" t="str">
        <x:v>KRDS-SEC-053-A-02</x:v>
      </x:c>
      <x:c r="B378" s="5" t="str">
        <x:v>KRDS-SEC-053</x:v>
      </x:c>
      <x:c r="C378" s="5" t="str">
        <x:v>컴포넌트</x:v>
      </x:c>
      <x:c r="D378" s="5" t="str">
        <x:v>도움</x:v>
      </x:c>
      <x:c r="E378" s="5" t="str">
        <x:v>코치마크</x:v>
      </x:c>
      <x:c r="F378" s="5" t="str">
        <x:v>접근성 가이드라인</x:v>
      </x:c>
      <x:c r="G378" s="5" t="str">
        <x:v>02</x:v>
      </x:c>
      <x:c r="H378" s="5" t="n">
        <x:v>647</x:v>
      </x:c>
      <x:c r="I378" s="5" t="n">
        <x:v>647</x:v>
      </x:c>
      <x:c r="J378" s="5" t="str"/>
      <x:c r="K378" s="5" t="str">
        <x:v>코치마크는 사용자가 요청한 경우에만 실행되어야 한다.</x:v>
      </x:c>
      <x:c r="L378" s="5" t="str">
        <x:v>원문 세부기준</x:v>
      </x:c>
      <x:c r="M378" s="5" t="str">
        <x:v>추출 후 기본 구조 검토; 원문 적용수준·전체 맥락 재확인 필요</x:v>
      </x:c>
      <x:c r="N378" s="5" t="str">
        <x:v>UI-052</x:v>
      </x:c>
      <x:c r="O378" s="5" t="str">
        <x:v>자동 추출 후보 / 공식 전수 체크리스트 아님</x:v>
      </x:c>
    </x:row>
    <x:row r="379" ht="15" hidden="0" customHeight="1">
      <x:c r="A379" s="5" t="str">
        <x:v>KRDS-SEC-053-A-03</x:v>
      </x:c>
      <x:c r="B379" s="5" t="str">
        <x:v>KRDS-SEC-053</x:v>
      </x:c>
      <x:c r="C379" s="5" t="str">
        <x:v>컴포넌트</x:v>
      </x:c>
      <x:c r="D379" s="5" t="str">
        <x:v>도움</x:v>
      </x:c>
      <x:c r="E379" s="5" t="str">
        <x:v>코치마크</x:v>
      </x:c>
      <x:c r="F379" s="5" t="str">
        <x:v>접근성 가이드라인</x:v>
      </x:c>
      <x:c r="G379" s="5" t="str">
        <x:v>03</x:v>
      </x:c>
      <x:c r="H379" s="5" t="n">
        <x:v>647</x:v>
      </x:c>
      <x:c r="I379" s="5" t="n">
        <x:v>647</x:v>
      </x:c>
      <x:c r="J379" s="5" t="str"/>
      <x:c r="K379" s="5" t="str">
        <x:v>관련 요소와 코치마크 팝오버 콘텐츠를 적절한 순서로 제공한다.</x:v>
      </x:c>
      <x:c r="L379" s="5" t="str">
        <x:v>원문 세부기준</x:v>
      </x:c>
      <x:c r="M379" s="5" t="str">
        <x:v>추출 후 기본 구조 검토; 원문 적용수준·전체 맥락 재확인 필요</x:v>
      </x:c>
      <x:c r="N379" s="5" t="str">
        <x:v>UI-052</x:v>
      </x:c>
      <x:c r="O379" s="5" t="str">
        <x:v>자동 추출 후보 / 공식 전수 체크리스트 아님</x:v>
      </x:c>
    </x:row>
    <x:row r="380" ht="26.399999618530273" hidden="0" customHeight="1">
      <x:c r="A380" s="5" t="str">
        <x:v>KRDS-SEC-054-U-01</x:v>
      </x:c>
      <x:c r="B380" s="5" t="str">
        <x:v>KRDS-SEC-054</x:v>
      </x:c>
      <x:c r="C380" s="5" t="str">
        <x:v>컴포넌트</x:v>
      </x:c>
      <x:c r="D380" s="5" t="str">
        <x:v>도움</x:v>
      </x:c>
      <x:c r="E380" s="5" t="str">
        <x:v>툴팁</x:v>
      </x:c>
      <x:c r="F380" s="5" t="str">
        <x:v>사용성 가이드라인</x:v>
      </x:c>
      <x:c r="G380" s="5" t="str">
        <x:v>01</x:v>
      </x:c>
      <x:c r="H380" s="5" t="n">
        <x:v>652</x:v>
      </x:c>
      <x:c r="I380" s="5" t="n">
        <x:v>652</x:v>
      </x:c>
      <x:c r="J380" s="5" t="str">
        <x:v>653</x:v>
      </x:c>
      <x:c r="K380" s="5" t="str">
        <x:v>툴팁 컴포넌트 사용을 우선적으로 고려한다.</x:v>
      </x:c>
      <x:c r="L380" s="5" t="str">
        <x:v>원문 세부기준</x:v>
      </x:c>
      <x:c r="M380" s="5" t="str">
        <x:v>추출 후 기본 구조 검토; 원문 적용수준·전체 맥락 재확인 필요</x:v>
      </x:c>
      <x:c r="N380" s="5" t="str">
        <x:v>UI-053
UI-110</x:v>
      </x:c>
      <x:c r="O380" s="5" t="str">
        <x:v>자동 추출 후보 / 공식 전수 체크리스트 아님</x:v>
      </x:c>
    </x:row>
    <x:row r="381" ht="26.399999618530273" hidden="0" customHeight="1">
      <x:c r="A381" s="5" t="str">
        <x:v>KRDS-SEC-054-U-02</x:v>
      </x:c>
      <x:c r="B381" s="5" t="str">
        <x:v>KRDS-SEC-054</x:v>
      </x:c>
      <x:c r="C381" s="5" t="str">
        <x:v>컴포넌트</x:v>
      </x:c>
      <x:c r="D381" s="5" t="str">
        <x:v>도움</x:v>
      </x:c>
      <x:c r="E381" s="5" t="str">
        <x:v>툴팁</x:v>
      </x:c>
      <x:c r="F381" s="5" t="str">
        <x:v>사용성 가이드라인</x:v>
      </x:c>
      <x:c r="G381" s="5" t="str">
        <x:v>02</x:v>
      </x:c>
      <x:c r="H381" s="5" t="n">
        <x:v>652</x:v>
      </x:c>
      <x:c r="I381" s="5" t="n">
        <x:v>652</x:v>
      </x:c>
      <x:c r="J381" s="5" t="str">
        <x:v>654</x:v>
      </x:c>
      <x:c r="K381" s="5" t="str">
        <x:v>팝오버 영역이 화면을 벗어나지 않도록 표현한다.</x:v>
      </x:c>
      <x:c r="L381" s="5" t="str">
        <x:v>원문 세부기준</x:v>
      </x:c>
      <x:c r="M381" s="5" t="str">
        <x:v>추출 후 기본 구조 검토; 원문 적용수준·전체 맥락 재확인 필요</x:v>
      </x:c>
      <x:c r="N381" s="5" t="str">
        <x:v>UI-053
UI-110</x:v>
      </x:c>
      <x:c r="O381" s="5" t="str">
        <x:v>자동 추출 후보 / 공식 전수 체크리스트 아님</x:v>
      </x:c>
    </x:row>
    <x:row r="382" ht="26.399999618530273" hidden="0" customHeight="1">
      <x:c r="A382" s="5" t="str">
        <x:v>KRDS-SEC-054-U-03</x:v>
      </x:c>
      <x:c r="B382" s="5" t="str">
        <x:v>KRDS-SEC-054</x:v>
      </x:c>
      <x:c r="C382" s="5" t="str">
        <x:v>컴포넌트</x:v>
      </x:c>
      <x:c r="D382" s="5" t="str">
        <x:v>도움</x:v>
      </x:c>
      <x:c r="E382" s="5" t="str">
        <x:v>툴팁</x:v>
      </x:c>
      <x:c r="F382" s="5" t="str">
        <x:v>사용성 가이드라인</x:v>
      </x:c>
      <x:c r="G382" s="5" t="str">
        <x:v>03</x:v>
      </x:c>
      <x:c r="H382" s="5" t="n">
        <x:v>652</x:v>
      </x:c>
      <x:c r="I382" s="5" t="n">
        <x:v>652</x:v>
      </x:c>
      <x:c r="J382" s="5" t="str">
        <x:v>655</x:v>
      </x:c>
      <x:c r="K382" s="5" t="str">
        <x:v>팝오버 영역이 본문의 중요 콘텐츠를 가리지 않도록 표현한다.</x:v>
      </x:c>
      <x:c r="L382" s="5" t="str">
        <x:v>원문 세부기준</x:v>
      </x:c>
      <x:c r="M382" s="5" t="str">
        <x:v>추출 후 기본 구조 검토; 원문 적용수준·전체 맥락 재확인 필요</x:v>
      </x:c>
      <x:c r="N382" s="5" t="str">
        <x:v>UI-053
UI-110</x:v>
      </x:c>
      <x:c r="O382" s="5" t="str">
        <x:v>자동 추출 후보 / 공식 전수 체크리스트 아님</x:v>
      </x:c>
    </x:row>
    <x:row r="383" ht="26.399999618530273" hidden="0" customHeight="1">
      <x:c r="A383" s="5" t="str">
        <x:v>KRDS-SEC-054-U-04</x:v>
      </x:c>
      <x:c r="B383" s="5" t="str">
        <x:v>KRDS-SEC-054</x:v>
      </x:c>
      <x:c r="C383" s="5" t="str">
        <x:v>컴포넌트</x:v>
      </x:c>
      <x:c r="D383" s="5" t="str">
        <x:v>도움</x:v>
      </x:c>
      <x:c r="E383" s="5" t="str">
        <x:v>툴팁</x:v>
      </x:c>
      <x:c r="F383" s="5" t="str">
        <x:v>사용성 가이드라인</x:v>
      </x:c>
      <x:c r="G383" s="5" t="str">
        <x:v>04</x:v>
      </x:c>
      <x:c r="H383" s="5" t="n">
        <x:v>652</x:v>
      </x:c>
      <x:c r="I383" s="5" t="n">
        <x:v>652</x:v>
      </x:c>
      <x:c r="J383" s="5" t="str">
        <x:v>656</x:v>
      </x:c>
      <x:c r="K383" s="5" t="str">
        <x:v>아이콘 버튼에 툴팁을 제공한다.</x:v>
      </x:c>
      <x:c r="L383" s="5" t="str">
        <x:v>원문 세부기준</x:v>
      </x:c>
      <x:c r="M383" s="5" t="str">
        <x:v>추출 후 기본 구조 검토; 원문 적용수준·전체 맥락 재확인 필요</x:v>
      </x:c>
      <x:c r="N383" s="5" t="str">
        <x:v>UI-053
UI-110</x:v>
      </x:c>
      <x:c r="O383" s="5" t="str">
        <x:v>자동 추출 후보 / 공식 전수 체크리스트 아님</x:v>
      </x:c>
    </x:row>
    <x:row r="384" ht="26.399999618530273" hidden="0" customHeight="1">
      <x:c r="A384" s="5" t="str">
        <x:v>KRDS-SEC-054-U-05</x:v>
      </x:c>
      <x:c r="B384" s="5" t="str">
        <x:v>KRDS-SEC-054</x:v>
      </x:c>
      <x:c r="C384" s="5" t="str">
        <x:v>컴포넌트</x:v>
      </x:c>
      <x:c r="D384" s="5" t="str">
        <x:v>도움</x:v>
      </x:c>
      <x:c r="E384" s="5" t="str">
        <x:v>툴팁</x:v>
      </x:c>
      <x:c r="F384" s="5" t="str">
        <x:v>사용성 가이드라인</x:v>
      </x:c>
      <x:c r="G384" s="5" t="str">
        <x:v>05</x:v>
      </x:c>
      <x:c r="H384" s="5" t="n">
        <x:v>652</x:v>
      </x:c>
      <x:c r="I384" s="5" t="n">
        <x:v>652</x:v>
      </x:c>
      <x:c r="J384" s="5" t="str">
        <x:v>657</x:v>
      </x:c>
      <x:c r="K384" s="5" t="str">
        <x:v>툴팁은 부가적인 정보를 전달하는 데 사용한다.</x:v>
      </x:c>
      <x:c r="L384" s="5" t="str">
        <x:v>원문 세부기준</x:v>
      </x:c>
      <x:c r="M384" s="5" t="str">
        <x:v>추출 후 기본 구조 검토; 원문 적용수준·전체 맥락 재확인 필요</x:v>
      </x:c>
      <x:c r="N384" s="5" t="str">
        <x:v>UI-053
UI-110</x:v>
      </x:c>
      <x:c r="O384" s="5" t="str">
        <x:v>자동 추출 후보 / 공식 전수 체크리스트 아님</x:v>
      </x:c>
    </x:row>
    <x:row r="385" ht="26.399999618530273" hidden="0" customHeight="1">
      <x:c r="A385" s="5" t="str">
        <x:v>KRDS-SEC-054-U-06</x:v>
      </x:c>
      <x:c r="B385" s="5" t="str">
        <x:v>KRDS-SEC-054</x:v>
      </x:c>
      <x:c r="C385" s="5" t="str">
        <x:v>컴포넌트</x:v>
      </x:c>
      <x:c r="D385" s="5" t="str">
        <x:v>도움</x:v>
      </x:c>
      <x:c r="E385" s="5" t="str">
        <x:v>툴팁</x:v>
      </x:c>
      <x:c r="F385" s="5" t="str">
        <x:v>사용성 가이드라인</x:v>
      </x:c>
      <x:c r="G385" s="5" t="str">
        <x:v>06</x:v>
      </x:c>
      <x:c r="H385" s="5" t="n">
        <x:v>652</x:v>
      </x:c>
      <x:c r="I385" s="5" t="n">
        <x:v>652</x:v>
      </x:c>
      <x:c r="J385" s="5" t="str">
        <x:v>658</x:v>
      </x:c>
      <x:c r="K385" s="5" t="str">
        <x:v>툴팁 컴포넌트와 title 속성을 중첩하여 사용하지 않는다.</x:v>
      </x:c>
      <x:c r="L385" s="5" t="str">
        <x:v>원문 세부기준</x:v>
      </x:c>
      <x:c r="M385" s="5" t="str">
        <x:v>추출 후 기본 구조 검토; 원문 적용수준·전체 맥락 재확인 필요</x:v>
      </x:c>
      <x:c r="N385" s="5" t="str">
        <x:v>UI-053
UI-110</x:v>
      </x:c>
      <x:c r="O385" s="5" t="str">
        <x:v>자동 추출 후보 / 공식 전수 체크리스트 아님</x:v>
      </x:c>
    </x:row>
    <x:row r="386" ht="26.399999618530273" hidden="0" customHeight="1">
      <x:c r="A386" s="5" t="str">
        <x:v>KRDS-SEC-054-U-09</x:v>
      </x:c>
      <x:c r="B386" s="5" t="str">
        <x:v>KRDS-SEC-054</x:v>
      </x:c>
      <x:c r="C386" s="5" t="str">
        <x:v>컴포넌트</x:v>
      </x:c>
      <x:c r="D386" s="5" t="str">
        <x:v>도움</x:v>
      </x:c>
      <x:c r="E386" s="5" t="str">
        <x:v>툴팁</x:v>
      </x:c>
      <x:c r="F386" s="5" t="str">
        <x:v>사용성 가이드라인</x:v>
      </x:c>
      <x:c r="G386" s="5" t="str">
        <x:v>09</x:v>
      </x:c>
      <x:c r="H386" s="5" t="n">
        <x:v>652</x:v>
      </x:c>
      <x:c r="I386" s="5" t="n">
        <x:v>652</x:v>
      </x:c>
      <x:c r="J386" s="5" t="str"/>
      <x:c r="K386" s="5" t="str">
        <x:v>맥락적 도움말과 도움 패널을 함께 사용하지 않는다.</x:v>
      </x:c>
      <x:c r="L386" s="5" t="str">
        <x:v>원문 세부기준</x:v>
      </x:c>
      <x:c r="M386" s="5" t="str">
        <x:v>추출 후 기본 구조 검토; 원문 적용수준·전체 맥락 재확인 필요</x:v>
      </x:c>
      <x:c r="N386" s="5" t="str">
        <x:v>UI-053
UI-110</x:v>
      </x:c>
      <x:c r="O386" s="5" t="str">
        <x:v>자동 추출 후보 / 공식 전수 체크리스트 아님</x:v>
      </x:c>
    </x:row>
    <x:row r="387" ht="26.399999618530273" hidden="0" customHeight="1">
      <x:c r="A387" s="5" t="str">
        <x:v>KRDS-SEC-054-P-01</x:v>
      </x:c>
      <x:c r="B387" s="5" t="str">
        <x:v>KRDS-SEC-054</x:v>
      </x:c>
      <x:c r="C387" s="5" t="str">
        <x:v>컴포넌트</x:v>
      </x:c>
      <x:c r="D387" s="5" t="str">
        <x:v>도움</x:v>
      </x:c>
      <x:c r="E387" s="5" t="str">
        <x:v>툴팁</x:v>
      </x:c>
      <x:c r="F387" s="5" t="str">
        <x:v>플랫폼에 대한 고려 사항</x:v>
      </x:c>
      <x:c r="G387" s="5" t="str">
        <x:v>01</x:v>
      </x:c>
      <x:c r="H387" s="5" t="n">
        <x:v>659</x:v>
      </x:c>
      <x:c r="I387" s="5" t="n">
        <x:v>659</x:v>
      </x:c>
      <x:c r="J387" s="5" t="str"/>
      <x:c r="K387" s="5" t="str">
        <x:v>터치 인터페이스에서의 사용성을 고려한다.</x:v>
      </x:c>
      <x:c r="L387" s="5" t="str">
        <x:v>원문 세부기준</x:v>
      </x:c>
      <x:c r="M387" s="5" t="str">
        <x:v>추출 후 기본 구조 검토; 원문 적용수준·전체 맥락 재확인 필요</x:v>
      </x:c>
      <x:c r="N387" s="5" t="str">
        <x:v>UI-053
UI-110</x:v>
      </x:c>
      <x:c r="O387" s="5" t="str">
        <x:v>자동 추출 후보 / 공식 전수 체크리스트 아님</x:v>
      </x:c>
    </x:row>
    <x:row r="388" ht="26.399999618530273" hidden="0" customHeight="1">
      <x:c r="A388" s="5" t="str">
        <x:v>KRDS-SEC-054-A-01</x:v>
      </x:c>
      <x:c r="B388" s="5" t="str">
        <x:v>KRDS-SEC-054</x:v>
      </x:c>
      <x:c r="C388" s="5" t="str">
        <x:v>컴포넌트</x:v>
      </x:c>
      <x:c r="D388" s="5" t="str">
        <x:v>도움</x:v>
      </x:c>
      <x:c r="E388" s="5" t="str">
        <x:v>툴팁</x:v>
      </x:c>
      <x:c r="F388" s="5" t="str">
        <x:v>접근성 가이드라인</x:v>
      </x:c>
      <x:c r="G388" s="5" t="str">
        <x:v>01</x:v>
      </x:c>
      <x:c r="H388" s="5" t="n">
        <x:v>660</x:v>
      </x:c>
      <x:c r="I388" s="5" t="n">
        <x:v>660</x:v>
      </x:c>
      <x:c r="J388" s="5" t="str"/>
      <x:c r="K388" s="5" t="str">
        <x:v>활성화 버튼에 이름을 제공한다.</x:v>
      </x:c>
      <x:c r="L388" s="5" t="str">
        <x:v>원문 세부기준</x:v>
      </x:c>
      <x:c r="M388" s="5" t="str">
        <x:v>추출 후 기본 구조 검토; 원문 적용수준·전체 맥락 재확인 필요</x:v>
      </x:c>
      <x:c r="N388" s="5" t="str">
        <x:v>UI-053
UI-110</x:v>
      </x:c>
      <x:c r="O388" s="5" t="str">
        <x:v>자동 추출 후보 / 공식 전수 체크리스트 아님</x:v>
      </x:c>
    </x:row>
    <x:row r="389" ht="26.399999618530273" hidden="0" customHeight="1">
      <x:c r="A389" s="5" t="str">
        <x:v>KRDS-SEC-054-A-02</x:v>
      </x:c>
      <x:c r="B389" s="5" t="str">
        <x:v>KRDS-SEC-054</x:v>
      </x:c>
      <x:c r="C389" s="5" t="str">
        <x:v>컴포넌트</x:v>
      </x:c>
      <x:c r="D389" s="5" t="str">
        <x:v>도움</x:v>
      </x:c>
      <x:c r="E389" s="5" t="str">
        <x:v>툴팁</x:v>
      </x:c>
      <x:c r="F389" s="5" t="str">
        <x:v>접근성 가이드라인</x:v>
      </x:c>
      <x:c r="G389" s="5" t="str">
        <x:v>02</x:v>
      </x:c>
      <x:c r="H389" s="5" t="n">
        <x:v>660</x:v>
      </x:c>
      <x:c r="I389" s="5" t="n">
        <x:v>660</x:v>
      </x:c>
      <x:c r="J389" s="5" t="str"/>
      <x:c r="K389" s="5" t="str">
        <x:v>활성화 버튼에 고유하고 적절한 이름을 제공한다.</x:v>
      </x:c>
      <x:c r="L389" s="5" t="str">
        <x:v>원문 세부기준</x:v>
      </x:c>
      <x:c r="M389" s="5" t="str">
        <x:v>추출 후 기본 구조 검토; 원문 적용수준·전체 맥락 재확인 필요</x:v>
      </x:c>
      <x:c r="N389" s="5" t="str">
        <x:v>UI-053
UI-110</x:v>
      </x:c>
      <x:c r="O389" s="5" t="str">
        <x:v>자동 추출 후보 / 공식 전수 체크리스트 아님</x:v>
      </x:c>
    </x:row>
    <x:row r="390" ht="26.399999618530273" hidden="0" customHeight="1">
      <x:c r="A390" s="5" t="str">
        <x:v>KRDS-SEC-054-A-03</x:v>
      </x:c>
      <x:c r="B390" s="5" t="str">
        <x:v>KRDS-SEC-054</x:v>
      </x:c>
      <x:c r="C390" s="5" t="str">
        <x:v>컴포넌트</x:v>
      </x:c>
      <x:c r="D390" s="5" t="str">
        <x:v>도움</x:v>
      </x:c>
      <x:c r="E390" s="5" t="str">
        <x:v>툴팁</x:v>
      </x:c>
      <x:c r="F390" s="5" t="str">
        <x:v>접근성 가이드라인</x:v>
      </x:c>
      <x:c r="G390" s="5" t="str">
        <x:v>03</x:v>
      </x:c>
      <x:c r="H390" s="5" t="n">
        <x:v>661</x:v>
      </x:c>
      <x:c r="I390" s="5" t="n">
        <x:v>661</x:v>
      </x:c>
      <x:c r="J390" s="5" t="str"/>
      <x:c r="K390" s="5" t="str">
        <x:v>활성화 버튼과 컨테이너 영역을 aria-labelledby 속성으로 연결한다.</x:v>
      </x:c>
      <x:c r="L390" s="5" t="str">
        <x:v>원문 세부기준</x:v>
      </x:c>
      <x:c r="M390" s="5" t="str">
        <x:v>추출 후 기본 구조 검토; 원문 적용수준·전체 맥락 재확인 필요</x:v>
      </x:c>
      <x:c r="N390" s="5" t="str">
        <x:v>UI-053
UI-110</x:v>
      </x:c>
      <x:c r="O390" s="5" t="str">
        <x:v>자동 추출 후보 / 공식 전수 체크리스트 아님</x:v>
      </x:c>
    </x:row>
    <x:row r="391" ht="26.399999618530273" hidden="0" customHeight="1">
      <x:c r="A391" s="5" t="str">
        <x:v>KRDS-SEC-054-A-04</x:v>
      </x:c>
      <x:c r="B391" s="5" t="str">
        <x:v>KRDS-SEC-054</x:v>
      </x:c>
      <x:c r="C391" s="5" t="str">
        <x:v>컴포넌트</x:v>
      </x:c>
      <x:c r="D391" s="5" t="str">
        <x:v>도움</x:v>
      </x:c>
      <x:c r="E391" s="5" t="str">
        <x:v>툴팁</x:v>
      </x:c>
      <x:c r="F391" s="5" t="str">
        <x:v>접근성 가이드라인</x:v>
      </x:c>
      <x:c r="G391" s="5" t="str">
        <x:v>04</x:v>
      </x:c>
      <x:c r="H391" s="5" t="n">
        <x:v>661</x:v>
      </x:c>
      <x:c r="I391" s="5" t="n">
        <x:v>661</x:v>
      </x:c>
      <x:c r="J391" s="5" t="str"/>
      <x:c r="K391" s="5" t="str">
        <x:v>활성화 버튼과 팝오버 콘텐츠를 적절한 순서로 제공한다.</x:v>
      </x:c>
      <x:c r="L391" s="5" t="str">
        <x:v>원문 세부기준</x:v>
      </x:c>
      <x:c r="M391" s="5" t="str">
        <x:v>추출 후 기본 구조 검토; 원문 적용수준·전체 맥락 재확인 필요</x:v>
      </x:c>
      <x:c r="N391" s="5" t="str">
        <x:v>UI-053
UI-110</x:v>
      </x:c>
      <x:c r="O391" s="5" t="str">
        <x:v>자동 추출 후보 / 공식 전수 체크리스트 아님</x:v>
      </x:c>
    </x:row>
    <x:row r="392" ht="15" hidden="0" customHeight="1">
      <x:c r="A392" s="5" t="str">
        <x:v>KRDS-SEC-055-U-01</x:v>
      </x:c>
      <x:c r="B392" s="5" t="str">
        <x:v>KRDS-SEC-055</x:v>
      </x:c>
      <x:c r="C392" s="5" t="str">
        <x:v>컴포넌트</x:v>
      </x:c>
      <x:c r="D392" s="5" t="str">
        <x:v>입력</x:v>
      </x:c>
      <x:c r="E392" s="5" t="str">
        <x:v>날짜 입력 필드</x:v>
      </x:c>
      <x:c r="F392" s="5" t="str">
        <x:v>사용성 가이드라인</x:v>
      </x:c>
      <x:c r="G392" s="5" t="str">
        <x:v>01</x:v>
      </x:c>
      <x:c r="H392" s="5" t="n">
        <x:v>668</x:v>
      </x:c>
      <x:c r="I392" s="5" t="n">
        <x:v>668</x:v>
      </x:c>
      <x:c r="J392" s="5" t="str">
        <x:v>669</x:v>
      </x:c>
      <x:c r="K392" s="5" t="str">
        <x:v>입력 필드에 레이블을 제공하고 어떤 날짜를 입력해야 하는지 명확하게 설명한다.</x:v>
      </x:c>
      <x:c r="L392" s="5" t="str">
        <x:v>원문 세부기준</x:v>
      </x:c>
      <x:c r="M392" s="5" t="str">
        <x:v>추출 후 기본 구조 검토; 원문 적용수준·전체 맥락 재확인 필요</x:v>
      </x:c>
      <x:c r="N392" s="5" t="str">
        <x:v>UI-054</x:v>
      </x:c>
      <x:c r="O392" s="5" t="str">
        <x:v>자동 추출 후보 / 공식 전수 체크리스트 아님</x:v>
      </x:c>
    </x:row>
    <x:row r="393" ht="15" hidden="0" customHeight="1">
      <x:c r="A393" s="5" t="str">
        <x:v>KRDS-SEC-055-U-02</x:v>
      </x:c>
      <x:c r="B393" s="5" t="str">
        <x:v>KRDS-SEC-055</x:v>
      </x:c>
      <x:c r="C393" s="5" t="str">
        <x:v>컴포넌트</x:v>
      </x:c>
      <x:c r="D393" s="5" t="str">
        <x:v>입력</x:v>
      </x:c>
      <x:c r="E393" s="5" t="str">
        <x:v>날짜 입력 필드</x:v>
      </x:c>
      <x:c r="F393" s="5" t="str">
        <x:v>사용성 가이드라인</x:v>
      </x:c>
      <x:c r="G393" s="5" t="str">
        <x:v>02</x:v>
      </x:c>
      <x:c r="H393" s="5" t="n">
        <x:v>668</x:v>
      </x:c>
      <x:c r="I393" s="5" t="n">
        <x:v>668</x:v>
      </x:c>
      <x:c r="J393" s="5" t="str">
        <x:v>670</x:v>
      </x:c>
      <x:c r="K393" s="5" t="str">
        <x:v>도움말 텍스트를 활용하여 날짜 입력 형식을 안내한다.</x:v>
      </x:c>
      <x:c r="L393" s="5" t="str">
        <x:v>원문 세부기준</x:v>
      </x:c>
      <x:c r="M393" s="5" t="str">
        <x:v>추출 후 기본 구조 검토; 원문 적용수준·전체 맥락 재확인 필요</x:v>
      </x:c>
      <x:c r="N393" s="5" t="str">
        <x:v>UI-054</x:v>
      </x:c>
      <x:c r="O393" s="5" t="str">
        <x:v>자동 추출 후보 / 공식 전수 체크리스트 아님</x:v>
      </x:c>
    </x:row>
    <x:row r="394" ht="15" hidden="0" customHeight="1">
      <x:c r="A394" s="5" t="str">
        <x:v>KRDS-SEC-055-U-03</x:v>
      </x:c>
      <x:c r="B394" s="5" t="str">
        <x:v>KRDS-SEC-055</x:v>
      </x:c>
      <x:c r="C394" s="5" t="str">
        <x:v>컴포넌트</x:v>
      </x:c>
      <x:c r="D394" s="5" t="str">
        <x:v>입력</x:v>
      </x:c>
      <x:c r="E394" s="5" t="str">
        <x:v>날짜 입력 필드</x:v>
      </x:c>
      <x:c r="F394" s="5" t="str">
        <x:v>사용성 가이드라인</x:v>
      </x:c>
      <x:c r="G394" s="5" t="str">
        <x:v>03</x:v>
      </x:c>
      <x:c r="H394" s="5" t="n">
        <x:v>668</x:v>
      </x:c>
      <x:c r="I394" s="5" t="n">
        <x:v>668</x:v>
      </x:c>
      <x:c r="J394" s="5" t="str">
        <x:v>671</x:v>
      </x:c>
      <x:c r="K394" s="5" t="str">
        <x:v>문서에 표시된 날짜를 정확하게 요청할 때 입력 필드의 구성을 원본 형식과 일치시킨다.</x:v>
      </x:c>
      <x:c r="L394" s="5" t="str">
        <x:v>원문 세부기준</x:v>
      </x:c>
      <x:c r="M394" s="5" t="str">
        <x:v>추출 후 기본 구조 검토; 원문 적용수준·전체 맥락 재확인 필요</x:v>
      </x:c>
      <x:c r="N394" s="5" t="str">
        <x:v>UI-054</x:v>
      </x:c>
      <x:c r="O394" s="5" t="str">
        <x:v>자동 추출 후보 / 공식 전수 체크리스트 아님</x:v>
      </x:c>
    </x:row>
    <x:row r="395" ht="15" hidden="0" customHeight="1">
      <x:c r="A395" s="5" t="str">
        <x:v>KRDS-SEC-055-U-04</x:v>
      </x:c>
      <x:c r="B395" s="5" t="str">
        <x:v>KRDS-SEC-055</x:v>
      </x:c>
      <x:c r="C395" s="5" t="str">
        <x:v>컴포넌트</x:v>
      </x:c>
      <x:c r="D395" s="5" t="str">
        <x:v>입력</x:v>
      </x:c>
      <x:c r="E395" s="5" t="str">
        <x:v>날짜 입력 필드</x:v>
      </x:c>
      <x:c r="F395" s="5" t="str">
        <x:v>사용성 가이드라인</x:v>
      </x:c>
      <x:c r="G395" s="5" t="str">
        <x:v>04</x:v>
      </x:c>
      <x:c r="H395" s="5" t="n">
        <x:v>668</x:v>
      </x:c>
      <x:c r="I395" s="5" t="n">
        <x:v>668</x:v>
      </x:c>
      <x:c r="J395" s="5" t="str">
        <x:v>672</x:v>
      </x:c>
      <x:c r="K395" s="5" t="str">
        <x:v>사용자가 대략적인 날짜를 입력할 수 있도록 한다.</x:v>
      </x:c>
      <x:c r="L395" s="5" t="str">
        <x:v>원문 세부기준</x:v>
      </x:c>
      <x:c r="M395" s="5" t="str">
        <x:v>추출 후 기본 구조 검토; 원문 적용수준·전체 맥락 재확인 필요</x:v>
      </x:c>
      <x:c r="N395" s="5" t="str">
        <x:v>UI-054</x:v>
      </x:c>
      <x:c r="O395" s="5" t="str">
        <x:v>자동 추출 후보 / 공식 전수 체크리스트 아님</x:v>
      </x:c>
    </x:row>
    <x:row r="396" ht="15" hidden="0" customHeight="1">
      <x:c r="A396" s="5" t="str">
        <x:v>KRDS-SEC-055-U-05</x:v>
      </x:c>
      <x:c r="B396" s="5" t="str">
        <x:v>KRDS-SEC-055</x:v>
      </x:c>
      <x:c r="C396" s="5" t="str">
        <x:v>컴포넌트</x:v>
      </x:c>
      <x:c r="D396" s="5" t="str">
        <x:v>입력</x:v>
      </x:c>
      <x:c r="E396" s="5" t="str">
        <x:v>날짜 입력 필드</x:v>
      </x:c>
      <x:c r="F396" s="5" t="str">
        <x:v>사용성 가이드라인</x:v>
      </x:c>
      <x:c r="G396" s="5" t="str">
        <x:v>05</x:v>
      </x:c>
      <x:c r="H396" s="5" t="n">
        <x:v>668</x:v>
      </x:c>
      <x:c r="I396" s="5" t="n">
        <x:v>668</x:v>
      </x:c>
      <x:c r="J396" s="5" t="str">
        <x:v>674</x:v>
      </x:c>
      <x:c r="K396" s="5" t="str">
        <x:v>사용자가 자주, 반복적으로 입력하는 날짜는 자동 완성될 수 있도록 구현한다.</x:v>
      </x:c>
      <x:c r="L396" s="5" t="str">
        <x:v>원문 세부기준</x:v>
      </x:c>
      <x:c r="M396" s="5" t="str">
        <x:v>추출 후 기본 구조 검토; 원문 적용수준·전체 맥락 재확인 필요</x:v>
      </x:c>
      <x:c r="N396" s="5" t="str">
        <x:v>UI-054</x:v>
      </x:c>
      <x:c r="O396" s="5" t="str">
        <x:v>자동 추출 후보 / 공식 전수 체크리스트 아님</x:v>
      </x:c>
    </x:row>
    <x:row r="397" ht="15" hidden="0" customHeight="1">
      <x:c r="A397" s="5" t="str">
        <x:v>KRDS-SEC-055-A-01</x:v>
      </x:c>
      <x:c r="B397" s="5" t="str">
        <x:v>KRDS-SEC-055</x:v>
      </x:c>
      <x:c r="C397" s="5" t="str">
        <x:v>컴포넌트</x:v>
      </x:c>
      <x:c r="D397" s="5" t="str">
        <x:v>입력</x:v>
      </x:c>
      <x:c r="E397" s="5" t="str">
        <x:v>날짜 입력 필드</x:v>
      </x:c>
      <x:c r="F397" s="5" t="str">
        <x:v>접근성 가이드라인</x:v>
      </x:c>
      <x:c r="G397" s="5" t="str">
        <x:v>01</x:v>
      </x:c>
      <x:c r="H397" s="5" t="n">
        <x:v>675</x:v>
      </x:c>
      <x:c r="I397" s="5" t="n">
        <x:v>675</x:v>
      </x:c>
      <x:c r="J397" s="5" t="str"/>
      <x:c r="K397" s="5" t="str">
        <x:v>키보드를 이용하여 조회 날짜를 선택하거나 입력할 수 있도록 제공한다.</x:v>
      </x:c>
      <x:c r="L397" s="5" t="str">
        <x:v>원문 세부기준</x:v>
      </x:c>
      <x:c r="M397" s="5" t="str">
        <x:v>추출 후 기본 구조 검토; 원문 적용수준·전체 맥락 재확인 필요</x:v>
      </x:c>
      <x:c r="N397" s="5" t="str">
        <x:v>UI-054</x:v>
      </x:c>
      <x:c r="O397" s="5" t="str">
        <x:v>자동 추출 후보 / 공식 전수 체크리스트 아님</x:v>
      </x:c>
    </x:row>
    <x:row r="398" ht="15" hidden="0" customHeight="1">
      <x:c r="A398" s="5" t="str">
        <x:v>KRDS-SEC-055-A-02</x:v>
      </x:c>
      <x:c r="B398" s="5" t="str">
        <x:v>KRDS-SEC-055</x:v>
      </x:c>
      <x:c r="C398" s="5" t="str">
        <x:v>컴포넌트</x:v>
      </x:c>
      <x:c r="D398" s="5" t="str">
        <x:v>입력</x:v>
      </x:c>
      <x:c r="E398" s="5" t="str">
        <x:v>날짜 입력 필드</x:v>
      </x:c>
      <x:c r="F398" s="5" t="str">
        <x:v>접근성 가이드라인</x:v>
      </x:c>
      <x:c r="G398" s="5" t="str">
        <x:v>02</x:v>
      </x:c>
      <x:c r="H398" s="5" t="n">
        <x:v>675</x:v>
      </x:c>
      <x:c r="I398" s="5" t="n">
        <x:v>675</x:v>
      </x:c>
      <x:c r="J398" s="5" t="str"/>
      <x:c r="K398" s="5" t="str">
        <x:v>입력 필드에 레이블을 명확하게 지정한다.</x:v>
      </x:c>
      <x:c r="L398" s="5" t="str">
        <x:v>원문 세부기준</x:v>
      </x:c>
      <x:c r="M398" s="5" t="str">
        <x:v>추출 후 기본 구조 검토; 원문 적용수준·전체 맥락 재확인 필요</x:v>
      </x:c>
      <x:c r="N398" s="5" t="str">
        <x:v>UI-054</x:v>
      </x:c>
      <x:c r="O398" s="5" t="str">
        <x:v>자동 추출 후보 / 공식 전수 체크리스트 아님</x:v>
      </x:c>
    </x:row>
    <x:row r="399" ht="15" hidden="0" customHeight="1">
      <x:c r="A399" s="5" t="str">
        <x:v>KRDS-SEC-055-A-03</x:v>
      </x:c>
      <x:c r="B399" s="5" t="str">
        <x:v>KRDS-SEC-055</x:v>
      </x:c>
      <x:c r="C399" s="5" t="str">
        <x:v>컴포넌트</x:v>
      </x:c>
      <x:c r="D399" s="5" t="str">
        <x:v>입력</x:v>
      </x:c>
      <x:c r="E399" s="5" t="str">
        <x:v>날짜 입력 필드</x:v>
      </x:c>
      <x:c r="F399" s="5" t="str">
        <x:v>접근성 가이드라인</x:v>
      </x:c>
      <x:c r="G399" s="5" t="str">
        <x:v>03</x:v>
      </x:c>
      <x:c r="H399" s="5" t="n">
        <x:v>675</x:v>
      </x:c>
      <x:c r="I399" s="5" t="n">
        <x:v>675</x:v>
      </x:c>
      <x:c r="J399" s="5" t="str"/>
      <x:c r="K399" s="5" t="str">
        <x:v>날짜 입력 형식이 지정되어 있는 경우 사용자에게 입력 방식을 명확하게 안내한다.</x:v>
      </x:c>
      <x:c r="L399" s="5" t="str">
        <x:v>원문 세부기준</x:v>
      </x:c>
      <x:c r="M399" s="5" t="str">
        <x:v>추출 후 기본 구조 검토; 원문 적용수준·전체 맥락 재확인 필요</x:v>
      </x:c>
      <x:c r="N399" s="5" t="str">
        <x:v>UI-054</x:v>
      </x:c>
      <x:c r="O399" s="5" t="str">
        <x:v>자동 추출 후보 / 공식 전수 체크리스트 아님</x:v>
      </x:c>
    </x:row>
    <x:row r="400" ht="15" hidden="0" customHeight="1">
      <x:c r="A400" s="5" t="str">
        <x:v>KRDS-SEC-056-U-01</x:v>
      </x:c>
      <x:c r="B400" s="5" t="str">
        <x:v>KRDS-SEC-056</x:v>
      </x:c>
      <x:c r="C400" s="5" t="str">
        <x:v>컴포넌트</x:v>
      </x:c>
      <x:c r="D400" s="5" t="str">
        <x:v>입력</x:v>
      </x:c>
      <x:c r="E400" s="5" t="str">
        <x:v>텍스트 영역</x:v>
      </x:c>
      <x:c r="F400" s="5" t="str">
        <x:v>사용성 가이드라인</x:v>
      </x:c>
      <x:c r="G400" s="5" t="str">
        <x:v>01</x:v>
      </x:c>
      <x:c r="H400" s="5" t="n">
        <x:v>679</x:v>
      </x:c>
      <x:c r="I400" s="5" t="n">
        <x:v>679</x:v>
      </x:c>
      <x:c r="J400" s="5" t="str">
        <x:v>680</x:v>
      </x:c>
      <x:c r="K400" s="5" t="str">
        <x:v>입력 영역은 텍스트의 길이를 고려하여 적절한 크기로 제공한다.</x:v>
      </x:c>
      <x:c r="L400" s="5" t="str">
        <x:v>원문 세부기준</x:v>
      </x:c>
      <x:c r="M400" s="5" t="str">
        <x:v>추출 후 기본 구조 검토; 원문 적용수준·전체 맥락 재확인 필요</x:v>
      </x:c>
      <x:c r="N400" s="5" t="str">
        <x:v>UI-055</x:v>
      </x:c>
      <x:c r="O400" s="5" t="str">
        <x:v>자동 추출 후보 / 공식 전수 체크리스트 아님</x:v>
      </x:c>
    </x:row>
    <x:row r="401" ht="15" hidden="0" customHeight="1">
      <x:c r="A401" s="5" t="str">
        <x:v>KRDS-SEC-056-U-02</x:v>
      </x:c>
      <x:c r="B401" s="5" t="str">
        <x:v>KRDS-SEC-056</x:v>
      </x:c>
      <x:c r="C401" s="5" t="str">
        <x:v>컴포넌트</x:v>
      </x:c>
      <x:c r="D401" s="5" t="str">
        <x:v>입력</x:v>
      </x:c>
      <x:c r="E401" s="5" t="str">
        <x:v>텍스트 영역</x:v>
      </x:c>
      <x:c r="F401" s="5" t="str">
        <x:v>사용성 가이드라인</x:v>
      </x:c>
      <x:c r="G401" s="5" t="str">
        <x:v>02</x:v>
      </x:c>
      <x:c r="H401" s="5" t="n">
        <x:v>679</x:v>
      </x:c>
      <x:c r="I401" s="5" t="n">
        <x:v>679</x:v>
      </x:c>
      <x:c r="J401" s="5" t="str">
        <x:v>680</x:v>
      </x:c>
      <x:c r="K401" s="5" t="str">
        <x:v>모든 텍스트 영역에는 레이블을 제공한다.</x:v>
      </x:c>
      <x:c r="L401" s="5" t="str">
        <x:v>원문 세부기준</x:v>
      </x:c>
      <x:c r="M401" s="5" t="str">
        <x:v>추출 후 기본 구조 검토; 원문 적용수준·전체 맥락 재확인 필요</x:v>
      </x:c>
      <x:c r="N401" s="5" t="str">
        <x:v>UI-055</x:v>
      </x:c>
      <x:c r="O401" s="5" t="str">
        <x:v>자동 추출 후보 / 공식 전수 체크리스트 아님</x:v>
      </x:c>
    </x:row>
    <x:row r="402" ht="15" hidden="0" customHeight="1">
      <x:c r="A402" s="5" t="str">
        <x:v>KRDS-SEC-056-U-03</x:v>
      </x:c>
      <x:c r="B402" s="5" t="str">
        <x:v>KRDS-SEC-056</x:v>
      </x:c>
      <x:c r="C402" s="5" t="str">
        <x:v>컴포넌트</x:v>
      </x:c>
      <x:c r="D402" s="5" t="str">
        <x:v>입력</x:v>
      </x:c>
      <x:c r="E402" s="5" t="str">
        <x:v>텍스트 영역</x:v>
      </x:c>
      <x:c r="F402" s="5" t="str">
        <x:v>사용성 가이드라인</x:v>
      </x:c>
      <x:c r="G402" s="5" t="str">
        <x:v>03</x:v>
      </x:c>
      <x:c r="H402" s="5" t="n">
        <x:v>679</x:v>
      </x:c>
      <x:c r="I402" s="5" t="n">
        <x:v>679</x:v>
      </x:c>
      <x:c r="J402" s="5" t="str">
        <x:v>681</x:v>
      </x:c>
      <x:c r="K402" s="5" t="str">
        <x:v>플레이스홀더가 레이블이나 도움말의 대체 수단으로 사용되어서는 안 된다.</x:v>
      </x:c>
      <x:c r="L402" s="5" t="str">
        <x:v>원문 세부기준</x:v>
      </x:c>
      <x:c r="M402" s="5" t="str">
        <x:v>추출 후 기본 구조 검토; 원문 적용수준·전체 맥락 재확인 필요</x:v>
      </x:c>
      <x:c r="N402" s="5" t="str">
        <x:v>UI-055</x:v>
      </x:c>
      <x:c r="O402" s="5" t="str">
        <x:v>자동 추출 후보 / 공식 전수 체크리스트 아님</x:v>
      </x:c>
    </x:row>
    <x:row r="403" ht="15" hidden="0" customHeight="1">
      <x:c r="A403" s="5" t="str">
        <x:v>KRDS-SEC-056-U-04</x:v>
      </x:c>
      <x:c r="B403" s="5" t="str">
        <x:v>KRDS-SEC-056</x:v>
      </x:c>
      <x:c r="C403" s="5" t="str">
        <x:v>컴포넌트</x:v>
      </x:c>
      <x:c r="D403" s="5" t="str">
        <x:v>입력</x:v>
      </x:c>
      <x:c r="E403" s="5" t="str">
        <x:v>텍스트 영역</x:v>
      </x:c>
      <x:c r="F403" s="5" t="str">
        <x:v>사용성 가이드라인</x:v>
      </x:c>
      <x:c r="G403" s="5" t="str">
        <x:v>04</x:v>
      </x:c>
      <x:c r="H403" s="5" t="n">
        <x:v>679</x:v>
      </x:c>
      <x:c r="I403" s="5" t="n">
        <x:v>679</x:v>
      </x:c>
      <x:c r="J403" s="5" t="str">
        <x:v>682</x:v>
      </x:c>
      <x:c r="K403" s="5" t="str">
        <x:v>복사, 붙여넣기를 제한하지 않는다.</x:v>
      </x:c>
      <x:c r="L403" s="5" t="str">
        <x:v>원문 세부기준</x:v>
      </x:c>
      <x:c r="M403" s="5" t="str">
        <x:v>추출 후 기본 구조 검토; 원문 적용수준·전체 맥락 재확인 필요</x:v>
      </x:c>
      <x:c r="N403" s="5" t="str">
        <x:v>UI-055</x:v>
      </x:c>
      <x:c r="O403" s="5" t="str">
        <x:v>자동 추출 후보 / 공식 전수 체크리스트 아님</x:v>
      </x:c>
    </x:row>
    <x:row r="404" ht="15" hidden="0" customHeight="1">
      <x:c r="A404" s="5" t="str">
        <x:v>KRDS-SEC-056-U-05</x:v>
      </x:c>
      <x:c r="B404" s="5" t="str">
        <x:v>KRDS-SEC-056</x:v>
      </x:c>
      <x:c r="C404" s="5" t="str">
        <x:v>컴포넌트</x:v>
      </x:c>
      <x:c r="D404" s="5" t="str">
        <x:v>입력</x:v>
      </x:c>
      <x:c r="E404" s="5" t="str">
        <x:v>텍스트 영역</x:v>
      </x:c>
      <x:c r="F404" s="5" t="str">
        <x:v>사용성 가이드라인</x:v>
      </x:c>
      <x:c r="G404" s="5" t="str">
        <x:v>05</x:v>
      </x:c>
      <x:c r="H404" s="5" t="n">
        <x:v>679</x:v>
      </x:c>
      <x:c r="I404" s="5" t="n">
        <x:v>679</x:v>
      </x:c>
      <x:c r="J404" s="5" t="str">
        <x:v>683</x:v>
      </x:c>
      <x:c r="K404" s="5" t="str">
        <x:v>입력 가능한 글자 수에 제한이 있는 경우 사용자에게 글자 수 정보를 제공한다.</x:v>
      </x:c>
      <x:c r="L404" s="5" t="str">
        <x:v>원문 세부기준</x:v>
      </x:c>
      <x:c r="M404" s="5" t="str">
        <x:v>추출 후 기본 구조 검토; 원문 적용수준·전체 맥락 재확인 필요</x:v>
      </x:c>
      <x:c r="N404" s="5" t="str">
        <x:v>UI-055</x:v>
      </x:c>
      <x:c r="O404" s="5" t="str">
        <x:v>자동 추출 후보 / 공식 전수 체크리스트 아님</x:v>
      </x:c>
    </x:row>
    <x:row r="405" ht="15" hidden="0" customHeight="1">
      <x:c r="A405" s="5" t="str">
        <x:v>KRDS-SEC-056-A-01</x:v>
      </x:c>
      <x:c r="B405" s="5" t="str">
        <x:v>KRDS-SEC-056</x:v>
      </x:c>
      <x:c r="C405" s="5" t="str">
        <x:v>컴포넌트</x:v>
      </x:c>
      <x:c r="D405" s="5" t="str">
        <x:v>입력</x:v>
      </x:c>
      <x:c r="E405" s="5" t="str">
        <x:v>텍스트 영역</x:v>
      </x:c>
      <x:c r="F405" s="5" t="str">
        <x:v>접근성 가이드라인</x:v>
      </x:c>
      <x:c r="G405" s="5" t="str">
        <x:v>01</x:v>
      </x:c>
      <x:c r="H405" s="5" t="n">
        <x:v>684</x:v>
      </x:c>
      <x:c r="I405" s="5" t="n">
        <x:v>684</x:v>
      </x:c>
      <x:c r="J405" s="5" t="str"/>
      <x:c r="K405" s="5" t="str">
        <x:v>입력 영역과 인접 배경 간 명도 대비를 3:1 이상으로 제공한다.</x:v>
      </x:c>
      <x:c r="L405" s="5" t="str">
        <x:v>원문 세부기준</x:v>
      </x:c>
      <x:c r="M405" s="5" t="str">
        <x:v>추출 후 기본 구조 검토; 원문 적용수준·전체 맥락 재확인 필요</x:v>
      </x:c>
      <x:c r="N405" s="5" t="str">
        <x:v>UI-055</x:v>
      </x:c>
      <x:c r="O405" s="5" t="str">
        <x:v>자동 추출 후보 / 공식 전수 체크리스트 아님</x:v>
      </x:c>
    </x:row>
    <x:row r="406" ht="15" hidden="0" customHeight="1">
      <x:c r="A406" s="5" t="str">
        <x:v>KRDS-SEC-056-A-02</x:v>
      </x:c>
      <x:c r="B406" s="5" t="str">
        <x:v>KRDS-SEC-056</x:v>
      </x:c>
      <x:c r="C406" s="5" t="str">
        <x:v>컴포넌트</x:v>
      </x:c>
      <x:c r="D406" s="5" t="str">
        <x:v>입력</x:v>
      </x:c>
      <x:c r="E406" s="5" t="str">
        <x:v>텍스트 영역</x:v>
      </x:c>
      <x:c r="F406" s="5" t="str">
        <x:v>접근성 가이드라인</x:v>
      </x:c>
      <x:c r="G406" s="5" t="str">
        <x:v>02</x:v>
      </x:c>
      <x:c r="H406" s="5" t="n">
        <x:v>684</x:v>
      </x:c>
      <x:c r="I406" s="5" t="n">
        <x:v>684</x:v>
      </x:c>
      <x:c r="J406" s="5" t="str"/>
      <x:c r="K406" s="5" t="str">
        <x:v>텍스트 영역에 접근 가능한 이름을 제공한다.</x:v>
      </x:c>
      <x:c r="L406" s="5" t="str">
        <x:v>원문 세부기준</x:v>
      </x:c>
      <x:c r="M406" s="5" t="str">
        <x:v>추출 후 기본 구조 검토; 원문 적용수준·전체 맥락 재확인 필요</x:v>
      </x:c>
      <x:c r="N406" s="5" t="str">
        <x:v>UI-055</x:v>
      </x:c>
      <x:c r="O406" s="5" t="str">
        <x:v>자동 추출 후보 / 공식 전수 체크리스트 아님</x:v>
      </x:c>
    </x:row>
    <x:row r="407" ht="15" hidden="0" customHeight="1">
      <x:c r="A407" s="5" t="str">
        <x:v>KRDS-SEC-057-U-01</x:v>
      </x:c>
      <x:c r="B407" s="5" t="str">
        <x:v>KRDS-SEC-057</x:v>
      </x:c>
      <x:c r="C407" s="5" t="str">
        <x:v>컴포넌트</x:v>
      </x:c>
      <x:c r="D407" s="5" t="str">
        <x:v>입력</x:v>
      </x:c>
      <x:c r="E407" s="5" t="str">
        <x:v>텍스트 입력 필드</x:v>
      </x:c>
      <x:c r="F407" s="5" t="str">
        <x:v>사용성 가이드라인</x:v>
      </x:c>
      <x:c r="G407" s="5" t="str">
        <x:v>01</x:v>
      </x:c>
      <x:c r="H407" s="5" t="n">
        <x:v>689</x:v>
      </x:c>
      <x:c r="I407" s="5" t="n">
        <x:v>689</x:v>
      </x:c>
      <x:c r="J407" s="5" t="str">
        <x:v>690</x:v>
      </x:c>
      <x:c r="K407" s="5" t="str">
        <x:v>입력 필드는 텍스트의 길이를 고려하여 적절한 크기로 제공한다.</x:v>
      </x:c>
      <x:c r="L407" s="5" t="str">
        <x:v>원문 세부기준</x:v>
      </x:c>
      <x:c r="M407" s="5" t="str">
        <x:v>추출 후 기본 구조 검토; 원문 적용수준·전체 맥락 재확인 필요</x:v>
      </x:c>
      <x:c r="N407" s="5" t="str">
        <x:v>UI-056</x:v>
      </x:c>
      <x:c r="O407" s="5" t="str">
        <x:v>자동 추출 후보 / 공식 전수 체크리스트 아님</x:v>
      </x:c>
    </x:row>
    <x:row r="408" ht="15" hidden="0" customHeight="1">
      <x:c r="A408" s="5" t="str">
        <x:v>KRDS-SEC-057-U-02</x:v>
      </x:c>
      <x:c r="B408" s="5" t="str">
        <x:v>KRDS-SEC-057</x:v>
      </x:c>
      <x:c r="C408" s="5" t="str">
        <x:v>컴포넌트</x:v>
      </x:c>
      <x:c r="D408" s="5" t="str">
        <x:v>입력</x:v>
      </x:c>
      <x:c r="E408" s="5" t="str">
        <x:v>텍스트 입력 필드</x:v>
      </x:c>
      <x:c r="F408" s="5" t="str">
        <x:v>사용성 가이드라인</x:v>
      </x:c>
      <x:c r="G408" s="5" t="str">
        <x:v>02</x:v>
      </x:c>
      <x:c r="H408" s="5" t="n">
        <x:v>689</x:v>
      </x:c>
      <x:c r="I408" s="5" t="n">
        <x:v>689</x:v>
      </x:c>
      <x:c r="J408" s="5" t="str">
        <x:v>691</x:v>
      </x:c>
      <x:c r="K408" s="5" t="str">
        <x:v>모든 텍스트 입력 필드에는 레이블을 제공한다.</x:v>
      </x:c>
      <x:c r="L408" s="5" t="str">
        <x:v>원문 세부기준</x:v>
      </x:c>
      <x:c r="M408" s="5" t="str">
        <x:v>추출 후 기본 구조 검토; 원문 적용수준·전체 맥락 재확인 필요</x:v>
      </x:c>
      <x:c r="N408" s="5" t="str">
        <x:v>UI-056</x:v>
      </x:c>
      <x:c r="O408" s="5" t="str">
        <x:v>자동 추출 후보 / 공식 전수 체크리스트 아님</x:v>
      </x:c>
    </x:row>
    <x:row r="409" ht="15" hidden="0" customHeight="1">
      <x:c r="A409" s="5" t="str">
        <x:v>KRDS-SEC-057-U-03</x:v>
      </x:c>
      <x:c r="B409" s="5" t="str">
        <x:v>KRDS-SEC-057</x:v>
      </x:c>
      <x:c r="C409" s="5" t="str">
        <x:v>컴포넌트</x:v>
      </x:c>
      <x:c r="D409" s="5" t="str">
        <x:v>입력</x:v>
      </x:c>
      <x:c r="E409" s="5" t="str">
        <x:v>텍스트 입력 필드</x:v>
      </x:c>
      <x:c r="F409" s="5" t="str">
        <x:v>사용성 가이드라인</x:v>
      </x:c>
      <x:c r="G409" s="5" t="str">
        <x:v>03</x:v>
      </x:c>
      <x:c r="H409" s="5" t="n">
        <x:v>689</x:v>
      </x:c>
      <x:c r="I409" s="5" t="n">
        <x:v>689</x:v>
      </x:c>
      <x:c r="J409" s="5" t="str">
        <x:v>692</x:v>
      </x:c>
      <x:c r="K409" s="5" t="str">
        <x:v>플레이스홀더가 레이블이나 도움말의 대체 수단으로 사용되어서는 안 된다.</x:v>
      </x:c>
      <x:c r="L409" s="5" t="str">
        <x:v>원문 세부기준</x:v>
      </x:c>
      <x:c r="M409" s="5" t="str">
        <x:v>추출 후 기본 구조 검토; 원문 적용수준·전체 맥락 재확인 필요</x:v>
      </x:c>
      <x:c r="N409" s="5" t="str">
        <x:v>UI-056</x:v>
      </x:c>
      <x:c r="O409" s="5" t="str">
        <x:v>자동 추출 후보 / 공식 전수 체크리스트 아님</x:v>
      </x:c>
    </x:row>
    <x:row r="410" ht="15" hidden="0" customHeight="1">
      <x:c r="A410" s="5" t="str">
        <x:v>KRDS-SEC-057-U-04</x:v>
      </x:c>
      <x:c r="B410" s="5" t="str">
        <x:v>KRDS-SEC-057</x:v>
      </x:c>
      <x:c r="C410" s="5" t="str">
        <x:v>컴포넌트</x:v>
      </x:c>
      <x:c r="D410" s="5" t="str">
        <x:v>입력</x:v>
      </x:c>
      <x:c r="E410" s="5" t="str">
        <x:v>텍스트 입력 필드</x:v>
      </x:c>
      <x:c r="F410" s="5" t="str">
        <x:v>사용성 가이드라인</x:v>
      </x:c>
      <x:c r="G410" s="5" t="str">
        <x:v>04</x:v>
      </x:c>
      <x:c r="H410" s="5" t="n">
        <x:v>689</x:v>
      </x:c>
      <x:c r="I410" s="5" t="n">
        <x:v>689</x:v>
      </x:c>
      <x:c r="J410" s="5" t="str">
        <x:v>694</x:v>
      </x:c>
      <x:c r="K410" s="5" t="str">
        <x:v>복사, 붙여넣기를 제한하지 않는다.</x:v>
      </x:c>
      <x:c r="L410" s="5" t="str">
        <x:v>원문 세부기준</x:v>
      </x:c>
      <x:c r="M410" s="5" t="str">
        <x:v>추출 후 기본 구조 검토; 원문 적용수준·전체 맥락 재확인 필요</x:v>
      </x:c>
      <x:c r="N410" s="5" t="str">
        <x:v>UI-056</x:v>
      </x:c>
      <x:c r="O410" s="5" t="str">
        <x:v>자동 추출 후보 / 공식 전수 체크리스트 아님</x:v>
      </x:c>
    </x:row>
    <x:row r="411" ht="15" hidden="0" customHeight="1">
      <x:c r="A411" s="5" t="str">
        <x:v>KRDS-SEC-057-U-05</x:v>
      </x:c>
      <x:c r="B411" s="5" t="str">
        <x:v>KRDS-SEC-057</x:v>
      </x:c>
      <x:c r="C411" s="5" t="str">
        <x:v>컴포넌트</x:v>
      </x:c>
      <x:c r="D411" s="5" t="str">
        <x:v>입력</x:v>
      </x:c>
      <x:c r="E411" s="5" t="str">
        <x:v>텍스트 입력 필드</x:v>
      </x:c>
      <x:c r="F411" s="5" t="str">
        <x:v>사용성 가이드라인</x:v>
      </x:c>
      <x:c r="G411" s="5" t="str">
        <x:v>05</x:v>
      </x:c>
      <x:c r="H411" s="5" t="n">
        <x:v>689</x:v>
      </x:c>
      <x:c r="I411" s="5" t="n">
        <x:v>689</x:v>
      </x:c>
      <x:c r="J411" s="5" t="str">
        <x:v>694</x:v>
      </x:c>
      <x:c r="K411" s="5" t="str">
        <x:v>사용자가 자주, 반복적으로 입력하는 값은 자동 완성될 수 있도록 구현한다.</x:v>
      </x:c>
      <x:c r="L411" s="5" t="str">
        <x:v>원문 세부기준</x:v>
      </x:c>
      <x:c r="M411" s="5" t="str">
        <x:v>추출 후 기본 구조 검토; 원문 적용수준·전체 맥락 재확인 필요</x:v>
      </x:c>
      <x:c r="N411" s="5" t="str">
        <x:v>UI-056</x:v>
      </x:c>
      <x:c r="O411" s="5" t="str">
        <x:v>자동 추출 후보 / 공식 전수 체크리스트 아님</x:v>
      </x:c>
    </x:row>
    <x:row r="412" ht="15" hidden="0" customHeight="1">
      <x:c r="A412" s="5" t="str">
        <x:v>KRDS-SEC-057-A-01</x:v>
      </x:c>
      <x:c r="B412" s="5" t="str">
        <x:v>KRDS-SEC-057</x:v>
      </x:c>
      <x:c r="C412" s="5" t="str">
        <x:v>컴포넌트</x:v>
      </x:c>
      <x:c r="D412" s="5" t="str">
        <x:v>입력</x:v>
      </x:c>
      <x:c r="E412" s="5" t="str">
        <x:v>텍스트 입력 필드</x:v>
      </x:c>
      <x:c r="F412" s="5" t="str">
        <x:v>접근성 가이드라인</x:v>
      </x:c>
      <x:c r="G412" s="5" t="str">
        <x:v>01</x:v>
      </x:c>
      <x:c r="H412" s="5" t="n">
        <x:v>695</x:v>
      </x:c>
      <x:c r="I412" s="5" t="n">
        <x:v>695</x:v>
      </x:c>
      <x:c r="J412" s="5" t="str"/>
      <x:c r="K412" s="5" t="str">
        <x:v>모든 입력 필드의 초점은 시각적으로 확인할 수 있도록 표현한다.</x:v>
      </x:c>
      <x:c r="L412" s="5" t="str">
        <x:v>원문 세부기준</x:v>
      </x:c>
      <x:c r="M412" s="5" t="str">
        <x:v>추출 후 기본 구조 검토; 원문 적용수준·전체 맥락 재확인 필요</x:v>
      </x:c>
      <x:c r="N412" s="5" t="str">
        <x:v>UI-056</x:v>
      </x:c>
      <x:c r="O412" s="5" t="str">
        <x:v>자동 추출 후보 / 공식 전수 체크리스트 아님</x:v>
      </x:c>
    </x:row>
    <x:row r="413" ht="15" hidden="0" customHeight="1">
      <x:c r="A413" s="5" t="str">
        <x:v>KRDS-SEC-057-A-02</x:v>
      </x:c>
      <x:c r="B413" s="5" t="str">
        <x:v>KRDS-SEC-057</x:v>
      </x:c>
      <x:c r="C413" s="5" t="str">
        <x:v>컴포넌트</x:v>
      </x:c>
      <x:c r="D413" s="5" t="str">
        <x:v>입력</x:v>
      </x:c>
      <x:c r="E413" s="5" t="str">
        <x:v>텍스트 입력 필드</x:v>
      </x:c>
      <x:c r="F413" s="5" t="str">
        <x:v>접근성 가이드라인</x:v>
      </x:c>
      <x:c r="G413" s="5" t="str">
        <x:v>02</x:v>
      </x:c>
      <x:c r="H413" s="5" t="n">
        <x:v>695</x:v>
      </x:c>
      <x:c r="I413" s="5" t="n">
        <x:v>695</x:v>
      </x:c>
      <x:c r="J413" s="5" t="str"/>
      <x:c r="K413" s="5" t="str">
        <x:v>입력 필드와 인접 배경 간 명도 대비를 3:1 이상으로 표현한다.</x:v>
      </x:c>
      <x:c r="L413" s="5" t="str">
        <x:v>원문 세부기준</x:v>
      </x:c>
      <x:c r="M413" s="5" t="str">
        <x:v>추출 후 기본 구조 검토; 원문 적용수준·전체 맥락 재확인 필요</x:v>
      </x:c>
      <x:c r="N413" s="5" t="str">
        <x:v>UI-056</x:v>
      </x:c>
      <x:c r="O413" s="5" t="str">
        <x:v>자동 추출 후보 / 공식 전수 체크리스트 아님</x:v>
      </x:c>
    </x:row>
    <x:row r="414" ht="15" hidden="0" customHeight="1">
      <x:c r="A414" s="5" t="str">
        <x:v>KRDS-SEC-057-A-03</x:v>
      </x:c>
      <x:c r="B414" s="5" t="str">
        <x:v>KRDS-SEC-057</x:v>
      </x:c>
      <x:c r="C414" s="5" t="str">
        <x:v>컴포넌트</x:v>
      </x:c>
      <x:c r="D414" s="5" t="str">
        <x:v>입력</x:v>
      </x:c>
      <x:c r="E414" s="5" t="str">
        <x:v>텍스트 입력 필드</x:v>
      </x:c>
      <x:c r="F414" s="5" t="str">
        <x:v>접근성 가이드라인</x:v>
      </x:c>
      <x:c r="G414" s="5" t="str">
        <x:v>03</x:v>
      </x:c>
      <x:c r="H414" s="5" t="n">
        <x:v>695</x:v>
      </x:c>
      <x:c r="I414" s="5" t="n">
        <x:v>695</x:v>
      </x:c>
      <x:c r="J414" s="5" t="str"/>
      <x:c r="K414" s="5" t="str">
        <x:v>텍스트 입력 필드에 접근 가능한 이름을 제공한다.</x:v>
      </x:c>
      <x:c r="L414" s="5" t="str">
        <x:v>원문 세부기준</x:v>
      </x:c>
      <x:c r="M414" s="5" t="str">
        <x:v>추출 후 기본 구조 검토; 원문 적용수준·전체 맥락 재확인 필요</x:v>
      </x:c>
      <x:c r="N414" s="5" t="str">
        <x:v>UI-056</x:v>
      </x:c>
      <x:c r="O414" s="5" t="str">
        <x:v>자동 추출 후보 / 공식 전수 체크리스트 아님</x:v>
      </x:c>
    </x:row>
    <x:row r="415" ht="66" hidden="0" customHeight="1">
      <x:c r="A415" s="5" t="str">
        <x:v>KRDS-SEC-058-U-01</x:v>
      </x:c>
      <x:c r="B415" s="5" t="str">
        <x:v>KRDS-SEC-058</x:v>
      </x:c>
      <x:c r="C415" s="5" t="str">
        <x:v>컴포넌트</x:v>
      </x:c>
      <x:c r="D415" s="5" t="str">
        <x:v>입력</x:v>
      </x:c>
      <x:c r="E415" s="5" t="str">
        <x:v>파일 업로드</x:v>
      </x:c>
      <x:c r="F415" s="5" t="str">
        <x:v>사용성 가이드라인</x:v>
      </x:c>
      <x:c r="G415" s="5" t="str">
        <x:v>01</x:v>
      </x:c>
      <x:c r="H415" s="5" t="n">
        <x:v>701</x:v>
      </x:c>
      <x:c r="I415" s="5" t="n">
        <x:v>701</x:v>
      </x:c>
      <x:c r="J415" s="5" t="str">
        <x:v>702</x:v>
      </x:c>
      <x:c r="K415" s="5" t="str">
        <x:v>파일 업로드는 필요한 경우에만 사용한다.</x:v>
      </x:c>
      <x:c r="L415" s="5" t="str">
        <x:v>원문 세부기준</x:v>
      </x:c>
      <x:c r="M415" s="5" t="str">
        <x:v>추출 후 기본 구조 검토; 원문 적용수준·전체 맥락 재확인 필요</x:v>
      </x:c>
      <x:c r="N415" s="5" t="str">
        <x:v>UI-057
UI-111
UI-112
UI-113
UI-114</x:v>
      </x:c>
      <x:c r="O415" s="5" t="str">
        <x:v>자동 추출 후보 / 공식 전수 체크리스트 아님</x:v>
      </x:c>
    </x:row>
    <x:row r="416" ht="66" hidden="0" customHeight="1">
      <x:c r="A416" s="5" t="str">
        <x:v>KRDS-SEC-058-U-02</x:v>
      </x:c>
      <x:c r="B416" s="5" t="str">
        <x:v>KRDS-SEC-058</x:v>
      </x:c>
      <x:c r="C416" s="5" t="str">
        <x:v>컴포넌트</x:v>
      </x:c>
      <x:c r="D416" s="5" t="str">
        <x:v>입력</x:v>
      </x:c>
      <x:c r="E416" s="5" t="str">
        <x:v>파일 업로드</x:v>
      </x:c>
      <x:c r="F416" s="5" t="str">
        <x:v>사용성 가이드라인</x:v>
      </x:c>
      <x:c r="G416" s="5" t="str">
        <x:v>02</x:v>
      </x:c>
      <x:c r="H416" s="5" t="n">
        <x:v>701</x:v>
      </x:c>
      <x:c r="I416" s="5" t="n">
        <x:v>701</x:v>
      </x:c>
      <x:c r="J416" s="5" t="str">
        <x:v>702</x:v>
      </x:c>
      <x:c r="K416" s="5" t="str">
        <x:v>레이블을 제공한다.</x:v>
      </x:c>
      <x:c r="L416" s="5" t="str">
        <x:v>원문 세부기준</x:v>
      </x:c>
      <x:c r="M416" s="5" t="str">
        <x:v>추출 후 기본 구조 검토; 원문 적용수준·전체 맥락 재확인 필요</x:v>
      </x:c>
      <x:c r="N416" s="5" t="str">
        <x:v>UI-057
UI-111
UI-112
UI-113
UI-114</x:v>
      </x:c>
      <x:c r="O416" s="5" t="str">
        <x:v>자동 추출 후보 / 공식 전수 체크리스트 아님</x:v>
      </x:c>
    </x:row>
    <x:row r="417" ht="66" hidden="0" customHeight="1">
      <x:c r="A417" s="5" t="str">
        <x:v>KRDS-SEC-058-U-03</x:v>
      </x:c>
      <x:c r="B417" s="5" t="str">
        <x:v>KRDS-SEC-058</x:v>
      </x:c>
      <x:c r="C417" s="5" t="str">
        <x:v>컴포넌트</x:v>
      </x:c>
      <x:c r="D417" s="5" t="str">
        <x:v>입력</x:v>
      </x:c>
      <x:c r="E417" s="5" t="str">
        <x:v>파일 업로드</x:v>
      </x:c>
      <x:c r="F417" s="5" t="str">
        <x:v>사용성 가이드라인</x:v>
      </x:c>
      <x:c r="G417" s="5" t="str">
        <x:v>03</x:v>
      </x:c>
      <x:c r="H417" s="5" t="n">
        <x:v>701</x:v>
      </x:c>
      <x:c r="I417" s="5" t="n">
        <x:v>701</x:v>
      </x:c>
      <x:c r="J417" s="5" t="str">
        <x:v>703</x:v>
      </x:c>
      <x:c r="K417" s="5" t="str">
        <x:v>파일 유형, 파일 크기, 파일 개수 제한에 대해 안내한다.</x:v>
      </x:c>
      <x:c r="L417" s="5" t="str">
        <x:v>원문 세부기준</x:v>
      </x:c>
      <x:c r="M417" s="5" t="str">
        <x:v>추출 후 기본 구조 검토; 원문 적용수준·전체 맥락 재확인 필요</x:v>
      </x:c>
      <x:c r="N417" s="5" t="str">
        <x:v>UI-057
UI-111
UI-112
UI-113
UI-114</x:v>
      </x:c>
      <x:c r="O417" s="5" t="str">
        <x:v>자동 추출 후보 / 공식 전수 체크리스트 아님</x:v>
      </x:c>
    </x:row>
    <x:row r="418" ht="66" hidden="0" customHeight="1">
      <x:c r="A418" s="5" t="str">
        <x:v>KRDS-SEC-058-U-04</x:v>
      </x:c>
      <x:c r="B418" s="5" t="str">
        <x:v>KRDS-SEC-058</x:v>
      </x:c>
      <x:c r="C418" s="5" t="str">
        <x:v>컴포넌트</x:v>
      </x:c>
      <x:c r="D418" s="5" t="str">
        <x:v>입력</x:v>
      </x:c>
      <x:c r="E418" s="5" t="str">
        <x:v>파일 업로드</x:v>
      </x:c>
      <x:c r="F418" s="5" t="str">
        <x:v>사용성 가이드라인</x:v>
      </x:c>
      <x:c r="G418" s="5" t="str">
        <x:v>04</x:v>
      </x:c>
      <x:c r="H418" s="5" t="n">
        <x:v>701</x:v>
      </x:c>
      <x:c r="I418" s="5" t="n">
        <x:v>701</x:v>
      </x:c>
      <x:c r="J418" s="5" t="str">
        <x:v>704</x:v>
      </x:c>
      <x:c r="K418" s="5" t="str">
        <x:v>가능한 한 파일 형식을 제한하지 않는다.</x:v>
      </x:c>
      <x:c r="L418" s="5" t="str">
        <x:v>원문 세부기준</x:v>
      </x:c>
      <x:c r="M418" s="5" t="str">
        <x:v>추출 후 기본 구조 검토; 원문 적용수준·전체 맥락 재확인 필요</x:v>
      </x:c>
      <x:c r="N418" s="5" t="str">
        <x:v>UI-057
UI-111
UI-112
UI-113
UI-114</x:v>
      </x:c>
      <x:c r="O418" s="5" t="str">
        <x:v>자동 추출 후보 / 공식 전수 체크리스트 아님</x:v>
      </x:c>
    </x:row>
    <x:row r="419" ht="66" hidden="0" customHeight="1">
      <x:c r="A419" s="5" t="str">
        <x:v>KRDS-SEC-058-U-05</x:v>
      </x:c>
      <x:c r="B419" s="5" t="str">
        <x:v>KRDS-SEC-058</x:v>
      </x:c>
      <x:c r="C419" s="5" t="str">
        <x:v>컴포넌트</x:v>
      </x:c>
      <x:c r="D419" s="5" t="str">
        <x:v>입력</x:v>
      </x:c>
      <x:c r="E419" s="5" t="str">
        <x:v>파일 업로드</x:v>
      </x:c>
      <x:c r="F419" s="5" t="str">
        <x:v>사용성 가이드라인</x:v>
      </x:c>
      <x:c r="G419" s="5" t="str">
        <x:v>05</x:v>
      </x:c>
      <x:c r="H419" s="5" t="n">
        <x:v>701</x:v>
      </x:c>
      <x:c r="I419" s="5" t="n">
        <x:v>701</x:v>
      </x:c>
      <x:c r="J419" s="5" t="str">
        <x:v>704</x:v>
      </x:c>
      <x:c r="K419" s="5" t="str">
        <x:v>가능한 한 파일 크기를 제한하지 않는다.</x:v>
      </x:c>
      <x:c r="L419" s="5" t="str">
        <x:v>원문 세부기준</x:v>
      </x:c>
      <x:c r="M419" s="5" t="str">
        <x:v>추출 후 기본 구조 검토; 원문 적용수준·전체 맥락 재확인 필요</x:v>
      </x:c>
      <x:c r="N419" s="5" t="str">
        <x:v>UI-057
UI-111
UI-112
UI-113
UI-114</x:v>
      </x:c>
      <x:c r="O419" s="5" t="str">
        <x:v>자동 추출 후보 / 공식 전수 체크리스트 아님</x:v>
      </x:c>
    </x:row>
    <x:row r="420" ht="66" hidden="0" customHeight="1">
      <x:c r="A420" s="5" t="str">
        <x:v>KRDS-SEC-058-U-06</x:v>
      </x:c>
      <x:c r="B420" s="5" t="str">
        <x:v>KRDS-SEC-058</x:v>
      </x:c>
      <x:c r="C420" s="5" t="str">
        <x:v>컴포넌트</x:v>
      </x:c>
      <x:c r="D420" s="5" t="str">
        <x:v>입력</x:v>
      </x:c>
      <x:c r="E420" s="5" t="str">
        <x:v>파일 업로드</x:v>
      </x:c>
      <x:c r="F420" s="5" t="str">
        <x:v>사용성 가이드라인</x:v>
      </x:c>
      <x:c r="G420" s="5" t="str">
        <x:v>06</x:v>
      </x:c>
      <x:c r="H420" s="5" t="n">
        <x:v>701</x:v>
      </x:c>
      <x:c r="I420" s="5" t="n">
        <x:v>701</x:v>
      </x:c>
      <x:c r="J420" s="5" t="str">
        <x:v>704</x:v>
      </x:c>
      <x:c r="K420" s="5" t="str">
        <x:v>이미지 유형의 파일에 대해 파일 크기 자동 압축 기능을 제공한다.</x:v>
      </x:c>
      <x:c r="L420" s="5" t="str">
        <x:v>원문 세부기준</x:v>
      </x:c>
      <x:c r="M420" s="5" t="str">
        <x:v>추출 후 기본 구조 검토; 원문 적용수준·전체 맥락 재확인 필요</x:v>
      </x:c>
      <x:c r="N420" s="5" t="str">
        <x:v>UI-057
UI-111
UI-112
UI-113
UI-114</x:v>
      </x:c>
      <x:c r="O420" s="5" t="str">
        <x:v>자동 추출 후보 / 공식 전수 체크리스트 아님</x:v>
      </x:c>
    </x:row>
    <x:row r="421" ht="66" hidden="0" customHeight="1">
      <x:c r="A421" s="5" t="str">
        <x:v>KRDS-SEC-058-U-07</x:v>
      </x:c>
      <x:c r="B421" s="5" t="str">
        <x:v>KRDS-SEC-058</x:v>
      </x:c>
      <x:c r="C421" s="5" t="str">
        <x:v>컴포넌트</x:v>
      </x:c>
      <x:c r="D421" s="5" t="str">
        <x:v>입력</x:v>
      </x:c>
      <x:c r="E421" s="5" t="str">
        <x:v>파일 업로드</x:v>
      </x:c>
      <x:c r="F421" s="5" t="str">
        <x:v>사용성 가이드라인</x:v>
      </x:c>
      <x:c r="G421" s="5" t="str">
        <x:v>07</x:v>
      </x:c>
      <x:c r="H421" s="5" t="n">
        <x:v>701</x:v>
      </x:c>
      <x:c r="I421" s="5" t="n">
        <x:v>701</x:v>
      </x:c>
      <x:c r="J421" s="5" t="str">
        <x:v>705</x:v>
      </x:c>
      <x:c r="K421" s="5" t="str">
        <x:v>파일이 업로드된 후에도 파일 선택 버튼을 기본 상태로 유지한다.</x:v>
      </x:c>
      <x:c r="L421" s="5" t="str">
        <x:v>원문 세부기준</x:v>
      </x:c>
      <x:c r="M421" s="5" t="str">
        <x:v>추출 후 기본 구조 검토; 원문 적용수준·전체 맥락 재확인 필요</x:v>
      </x:c>
      <x:c r="N421" s="5" t="str">
        <x:v>UI-057
UI-111
UI-112
UI-113
UI-114</x:v>
      </x:c>
      <x:c r="O421" s="5" t="str">
        <x:v>자동 추출 후보 / 공식 전수 체크리스트 아님</x:v>
      </x:c>
    </x:row>
    <x:row r="422" ht="66" hidden="0" customHeight="1">
      <x:c r="A422" s="5" t="str">
        <x:v>KRDS-SEC-058-U-08</x:v>
      </x:c>
      <x:c r="B422" s="5" t="str">
        <x:v>KRDS-SEC-058</x:v>
      </x:c>
      <x:c r="C422" s="5" t="str">
        <x:v>컴포넌트</x:v>
      </x:c>
      <x:c r="D422" s="5" t="str">
        <x:v>입력</x:v>
      </x:c>
      <x:c r="E422" s="5" t="str">
        <x:v>파일 업로드</x:v>
      </x:c>
      <x:c r="F422" s="5" t="str">
        <x:v>사용성 가이드라인</x:v>
      </x:c>
      <x:c r="G422" s="5" t="str">
        <x:v>08</x:v>
      </x:c>
      <x:c r="H422" s="5" t="n">
        <x:v>701</x:v>
      </x:c>
      <x:c r="I422" s="5" t="n">
        <x:v>701</x:v>
      </x:c>
      <x:c r="J422" s="5" t="str">
        <x:v>706</x:v>
      </x:c>
      <x:c r="K422" s="5" t="str">
        <x:v>파일 선택 버튼을 적절한 강조 수준으로 표현한다.</x:v>
      </x:c>
      <x:c r="L422" s="5" t="str">
        <x:v>원문 세부기준</x:v>
      </x:c>
      <x:c r="M422" s="5" t="str">
        <x:v>추출 후 기본 구조 검토; 원문 적용수준·전체 맥락 재확인 필요</x:v>
      </x:c>
      <x:c r="N422" s="5" t="str">
        <x:v>UI-057
UI-111
UI-112
UI-113
UI-114</x:v>
      </x:c>
      <x:c r="O422" s="5" t="str">
        <x:v>자동 추출 후보 / 공식 전수 체크리스트 아님</x:v>
      </x:c>
    </x:row>
    <x:row r="423" ht="66" hidden="0" customHeight="1">
      <x:c r="A423" s="5" t="str">
        <x:v>KRDS-SEC-058-U-09</x:v>
      </x:c>
      <x:c r="B423" s="5" t="str">
        <x:v>KRDS-SEC-058</x:v>
      </x:c>
      <x:c r="C423" s="5" t="str">
        <x:v>컴포넌트</x:v>
      </x:c>
      <x:c r="D423" s="5" t="str">
        <x:v>입력</x:v>
      </x:c>
      <x:c r="E423" s="5" t="str">
        <x:v>파일 업로드</x:v>
      </x:c>
      <x:c r="F423" s="5" t="str">
        <x:v>사용성 가이드라인</x:v>
      </x:c>
      <x:c r="G423" s="5" t="str">
        <x:v>09</x:v>
      </x:c>
      <x:c r="H423" s="5" t="n">
        <x:v>701</x:v>
      </x:c>
      <x:c r="I423" s="5" t="n">
        <x:v>701</x:v>
      </x:c>
      <x:c r="J423" s="5" t="str">
        <x:v>708</x:v>
      </x:c>
      <x:c r="K423" s="5" t="str">
        <x:v>파일을 자동으로 제출하지 않는다.</x:v>
      </x:c>
      <x:c r="L423" s="5" t="str">
        <x:v>원문 세부기준</x:v>
      </x:c>
      <x:c r="M423" s="5" t="str">
        <x:v>추출 후 기본 구조 검토; 원문 적용수준·전체 맥락 재확인 필요</x:v>
      </x:c>
      <x:c r="N423" s="5" t="str">
        <x:v>UI-057
UI-111
UI-112
UI-113
UI-114</x:v>
      </x:c>
      <x:c r="O423" s="5" t="str">
        <x:v>자동 추출 후보 / 공식 전수 체크리스트 아님</x:v>
      </x:c>
    </x:row>
    <x:row r="424" ht="66" hidden="0" customHeight="1">
      <x:c r="A424" s="5" t="str">
        <x:v>KRDS-SEC-058-U-10</x:v>
      </x:c>
      <x:c r="B424" s="5" t="str">
        <x:v>KRDS-SEC-058</x:v>
      </x:c>
      <x:c r="C424" s="5" t="str">
        <x:v>컴포넌트</x:v>
      </x:c>
      <x:c r="D424" s="5" t="str">
        <x:v>입력</x:v>
      </x:c>
      <x:c r="E424" s="5" t="str">
        <x:v>파일 업로드</x:v>
      </x:c>
      <x:c r="F424" s="5" t="str">
        <x:v>사용성 가이드라인</x:v>
      </x:c>
      <x:c r="G424" s="5" t="str">
        <x:v>10</x:v>
      </x:c>
      <x:c r="H424" s="5" t="n">
        <x:v>701</x:v>
      </x:c>
      <x:c r="I424" s="5" t="n">
        <x:v>701</x:v>
      </x:c>
      <x:c r="J424" s="5" t="str">
        <x:v>708</x:v>
      </x:c>
      <x:c r="K424" s="5" t="str">
        <x:v>오류 상태에 대한 구체적인 오류 메시지를 제공한다.</x:v>
      </x:c>
      <x:c r="L424" s="5" t="str">
        <x:v>원문 세부기준</x:v>
      </x:c>
      <x:c r="M424" s="5" t="str">
        <x:v>추출 후 기본 구조 검토; 원문 적용수준·전체 맥락 재확인 필요</x:v>
      </x:c>
      <x:c r="N424" s="5" t="str">
        <x:v>UI-057
UI-111
UI-112
UI-113
UI-114</x:v>
      </x:c>
      <x:c r="O424" s="5" t="str">
        <x:v>자동 추출 후보 / 공식 전수 체크리스트 아님</x:v>
      </x:c>
    </x:row>
    <x:row r="425" ht="66" hidden="0" customHeight="1">
      <x:c r="A425" s="5" t="str">
        <x:v>KRDS-SEC-058-U-11</x:v>
      </x:c>
      <x:c r="B425" s="5" t="str">
        <x:v>KRDS-SEC-058</x:v>
      </x:c>
      <x:c r="C425" s="5" t="str">
        <x:v>컴포넌트</x:v>
      </x:c>
      <x:c r="D425" s="5" t="str">
        <x:v>입력</x:v>
      </x:c>
      <x:c r="E425" s="5" t="str">
        <x:v>파일 업로드</x:v>
      </x:c>
      <x:c r="F425" s="5" t="str">
        <x:v>사용성 가이드라인</x:v>
      </x:c>
      <x:c r="G425" s="5" t="str">
        <x:v>11</x:v>
      </x:c>
      <x:c r="H425" s="5" t="n">
        <x:v>701</x:v>
      </x:c>
      <x:c r="I425" s="5" t="n">
        <x:v>701</x:v>
      </x:c>
      <x:c r="J425" s="5" t="str">
        <x:v>709</x:v>
      </x:c>
      <x:c r="K425" s="5" t="str">
        <x:v>업로드된 파일 이름 텍스트를 두 줄로 제공하지 않는다.</x:v>
      </x:c>
      <x:c r="L425" s="5" t="str">
        <x:v>원문 세부기준</x:v>
      </x:c>
      <x:c r="M425" s="5" t="str">
        <x:v>추출 후 기본 구조 검토; 원문 적용수준·전체 맥락 재확인 필요</x:v>
      </x:c>
      <x:c r="N425" s="5" t="str">
        <x:v>UI-057
UI-111
UI-112
UI-113
UI-114</x:v>
      </x:c>
      <x:c r="O425" s="5" t="str">
        <x:v>자동 추출 후보 / 공식 전수 체크리스트 아님</x:v>
      </x:c>
    </x:row>
    <x:row r="426" ht="66" hidden="0" customHeight="1">
      <x:c r="A426" s="5" t="str">
        <x:v>KRDS-SEC-058-A-01</x:v>
      </x:c>
      <x:c r="B426" s="5" t="str">
        <x:v>KRDS-SEC-058</x:v>
      </x:c>
      <x:c r="C426" s="5" t="str">
        <x:v>컴포넌트</x:v>
      </x:c>
      <x:c r="D426" s="5" t="str">
        <x:v>입력</x:v>
      </x:c>
      <x:c r="E426" s="5" t="str">
        <x:v>파일 업로드</x:v>
      </x:c>
      <x:c r="F426" s="5" t="str">
        <x:v>접근성 가이드라인</x:v>
      </x:c>
      <x:c r="G426" s="5" t="str">
        <x:v>01</x:v>
      </x:c>
      <x:c r="H426" s="5" t="n">
        <x:v>710</x:v>
      </x:c>
      <x:c r="I426" s="5" t="n">
        <x:v>710</x:v>
      </x:c>
      <x:c r="J426" s="5" t="str"/>
      <x:c r="K426" s="5" t="str">
        <x:v>파일 업로드에 적절한 레이블을 제공한다.</x:v>
      </x:c>
      <x:c r="L426" s="5" t="str">
        <x:v>원문 세부기준</x:v>
      </x:c>
      <x:c r="M426" s="5" t="str">
        <x:v>추출 후 기본 구조 검토; 원문 적용수준·전체 맥락 재확인 필요</x:v>
      </x:c>
      <x:c r="N426" s="5" t="str">
        <x:v>UI-057
UI-111
UI-112
UI-113
UI-114</x:v>
      </x:c>
      <x:c r="O426" s="5" t="str">
        <x:v>자동 추출 후보 / 공식 전수 체크리스트 아님</x:v>
      </x:c>
    </x:row>
    <x:row r="427" ht="66" hidden="0" customHeight="1">
      <x:c r="A427" s="5" t="str">
        <x:v>KRDS-SEC-058-A-02</x:v>
      </x:c>
      <x:c r="B427" s="5" t="str">
        <x:v>KRDS-SEC-058</x:v>
      </x:c>
      <x:c r="C427" s="5" t="str">
        <x:v>컴포넌트</x:v>
      </x:c>
      <x:c r="D427" s="5" t="str">
        <x:v>입력</x:v>
      </x:c>
      <x:c r="E427" s="5" t="str">
        <x:v>파일 업로드</x:v>
      </x:c>
      <x:c r="F427" s="5" t="str">
        <x:v>접근성 가이드라인</x:v>
      </x:c>
      <x:c r="G427" s="5" t="str">
        <x:v>02</x:v>
      </x:c>
      <x:c r="H427" s="5" t="n">
        <x:v>710</x:v>
      </x:c>
      <x:c r="I427" s="5" t="n">
        <x:v>710</x:v>
      </x:c>
      <x:c r="J427" s="5" t="str"/>
      <x:c r="K427" s="5" t="str">
        <x:v>파일 항목과 항목 삭제 버튼을 하나의 그룹으로 제공한다.</x:v>
      </x:c>
      <x:c r="L427" s="5" t="str">
        <x:v>원문 세부기준</x:v>
      </x:c>
      <x:c r="M427" s="5" t="str">
        <x:v>추출 후 기본 구조 검토; 원문 적용수준·전체 맥락 재확인 필요</x:v>
      </x:c>
      <x:c r="N427" s="5" t="str">
        <x:v>UI-057
UI-111
UI-112
UI-113
UI-114</x:v>
      </x:c>
      <x:c r="O427" s="5" t="str">
        <x:v>자동 추출 후보 / 공식 전수 체크리스트 아님</x:v>
      </x:c>
    </x:row>
    <x:row r="428" ht="66" hidden="0" customHeight="1">
      <x:c r="A428" s="5" t="str">
        <x:v>KRDS-SEC-058-A-03</x:v>
      </x:c>
      <x:c r="B428" s="5" t="str">
        <x:v>KRDS-SEC-058</x:v>
      </x:c>
      <x:c r="C428" s="5" t="str">
        <x:v>컴포넌트</x:v>
      </x:c>
      <x:c r="D428" s="5" t="str">
        <x:v>입력</x:v>
      </x:c>
      <x:c r="E428" s="5" t="str">
        <x:v>파일 업로드</x:v>
      </x:c>
      <x:c r="F428" s="5" t="str">
        <x:v>접근성 가이드라인</x:v>
      </x:c>
      <x:c r="G428" s="5" t="str">
        <x:v>03</x:v>
      </x:c>
      <x:c r="H428" s="5" t="n">
        <x:v>710</x:v>
      </x:c>
      <x:c r="I428" s="5" t="n">
        <x:v>710</x:v>
      </x:c>
      <x:c r="J428" s="5" t="str"/>
      <x:c r="K428" s="5" t="str">
        <x:v>키보드 초점을 명확하게 표시한다.</x:v>
      </x:c>
      <x:c r="L428" s="5" t="str">
        <x:v>원문 세부기준</x:v>
      </x:c>
      <x:c r="M428" s="5" t="str">
        <x:v>추출 후 기본 구조 검토; 원문 적용수준·전체 맥락 재확인 필요</x:v>
      </x:c>
      <x:c r="N428" s="5" t="str">
        <x:v>UI-057
UI-111
UI-112
UI-113
UI-114</x:v>
      </x:c>
      <x:c r="O428" s="5" t="str">
        <x:v>자동 추출 후보 / 공식 전수 체크리스트 아님</x:v>
      </x:c>
    </x:row>
    <x:row r="429" ht="66" hidden="0" customHeight="1">
      <x:c r="A429" s="5" t="str">
        <x:v>KRDS-SEC-058-A-04</x:v>
      </x:c>
      <x:c r="B429" s="5" t="str">
        <x:v>KRDS-SEC-058</x:v>
      </x:c>
      <x:c r="C429" s="5" t="str">
        <x:v>컴포넌트</x:v>
      </x:c>
      <x:c r="D429" s="5" t="str">
        <x:v>입력</x:v>
      </x:c>
      <x:c r="E429" s="5" t="str">
        <x:v>파일 업로드</x:v>
      </x:c>
      <x:c r="F429" s="5" t="str">
        <x:v>접근성 가이드라인</x:v>
      </x:c>
      <x:c r="G429" s="5" t="str">
        <x:v>04</x:v>
      </x:c>
      <x:c r="H429" s="5" t="n">
        <x:v>711</x:v>
      </x:c>
      <x:c r="I429" s="5" t="n">
        <x:v>711</x:v>
      </x:c>
      <x:c r="J429" s="5" t="str"/>
      <x:c r="K429" s="5" t="str">
        <x:v>드래그 앤 드롭 유형은 반드시 파일 업로더와 함께 사용한다.</x:v>
      </x:c>
      <x:c r="L429" s="5" t="str">
        <x:v>원문 세부기준</x:v>
      </x:c>
      <x:c r="M429" s="5" t="str">
        <x:v>추출 후 기본 구조 검토; 원문 적용수준·전체 맥락 재확인 필요</x:v>
      </x:c>
      <x:c r="N429" s="5" t="str">
        <x:v>UI-057
UI-111
UI-112
UI-113
UI-114</x:v>
      </x:c>
      <x:c r="O429" s="5" t="str">
        <x:v>자동 추출 후보 / 공식 전수 체크리스트 아님</x:v>
      </x:c>
    </x:row>
    <x:row r="430" ht="66" hidden="0" customHeight="1">
      <x:c r="A430" s="5" t="str">
        <x:v>KRDS-SEC-058-A-05</x:v>
      </x:c>
      <x:c r="B430" s="5" t="str">
        <x:v>KRDS-SEC-058</x:v>
      </x:c>
      <x:c r="C430" s="5" t="str">
        <x:v>컴포넌트</x:v>
      </x:c>
      <x:c r="D430" s="5" t="str">
        <x:v>입력</x:v>
      </x:c>
      <x:c r="E430" s="5" t="str">
        <x:v>파일 업로드</x:v>
      </x:c>
      <x:c r="F430" s="5" t="str">
        <x:v>접근성 가이드라인</x:v>
      </x:c>
      <x:c r="G430" s="5" t="str">
        <x:v>05</x:v>
      </x:c>
      <x:c r="H430" s="5" t="n">
        <x:v>712</x:v>
      </x:c>
      <x:c r="I430" s="5" t="n">
        <x:v>712</x:v>
      </x:c>
      <x:c r="J430" s="5" t="str"/>
      <x:c r="K430" s="5" t="str">
        <x:v>스크린 리더로 접근할 수 있도록 한다.</x:v>
      </x:c>
      <x:c r="L430" s="5" t="str">
        <x:v>원문 세부기준</x:v>
      </x:c>
      <x:c r="M430" s="5" t="str">
        <x:v>추출 후 기본 구조 검토; 원문 적용수준·전체 맥락 재확인 필요</x:v>
      </x:c>
      <x:c r="N430" s="5" t="str">
        <x:v>UI-057
UI-111
UI-112
UI-113
UI-114</x:v>
      </x:c>
      <x:c r="O430" s="5" t="str">
        <x:v>자동 추출 후보 / 공식 전수 체크리스트 아님</x:v>
      </x:c>
    </x:row>
    <x:row r="431" ht="15" hidden="0" customHeight="1">
      <x:c r="A431" s="5" t="str">
        <x:v>KRDS-SEC-059-U-01</x:v>
      </x:c>
      <x:c r="B431" s="5" t="str">
        <x:v>KRDS-SEC-059</x:v>
      </x:c>
      <x:c r="C431" s="5" t="str">
        <x:v>컴포넌트</x:v>
      </x:c>
      <x:c r="D431" s="5" t="str">
        <x:v>설정</x:v>
      </x:c>
      <x:c r="E431" s="5" t="str">
        <x:v>언어 변경</x:v>
      </x:c>
      <x:c r="F431" s="5" t="str">
        <x:v>사용성 가이드라인</x:v>
      </x:c>
      <x:c r="G431" s="5" t="str">
        <x:v>01</x:v>
      </x:c>
      <x:c r="H431" s="5" t="n">
        <x:v>718</x:v>
      </x:c>
      <x:c r="I431" s="5" t="n">
        <x:v>718</x:v>
      </x:c>
      <x:c r="J431" s="5" t="str">
        <x:v>719</x:v>
      </x:c>
      <x:c r="K431" s="5" t="str">
        <x:v>링크 레이블에 아이콘을 제공한다.</x:v>
      </x:c>
      <x:c r="L431" s="5" t="str">
        <x:v>원문 세부기준</x:v>
      </x:c>
      <x:c r="M431" s="5" t="str">
        <x:v>추출 후 기본 구조 검토; 원문 적용수준·전체 맥락 재확인 필요</x:v>
      </x:c>
      <x:c r="N431" s="5" t="str">
        <x:v>UI-058</x:v>
      </x:c>
      <x:c r="O431" s="5" t="str">
        <x:v>자동 추출 후보 / 공식 전수 체크리스트 아님</x:v>
      </x:c>
    </x:row>
    <x:row r="432" ht="15" hidden="0" customHeight="1">
      <x:c r="A432" s="5" t="str">
        <x:v>KRDS-SEC-059-U-02</x:v>
      </x:c>
      <x:c r="B432" s="5" t="str">
        <x:v>KRDS-SEC-059</x:v>
      </x:c>
      <x:c r="C432" s="5" t="str">
        <x:v>컴포넌트</x:v>
      </x:c>
      <x:c r="D432" s="5" t="str">
        <x:v>설정</x:v>
      </x:c>
      <x:c r="E432" s="5" t="str">
        <x:v>언어 변경</x:v>
      </x:c>
      <x:c r="F432" s="5" t="str">
        <x:v>사용성 가이드라인</x:v>
      </x:c>
      <x:c r="G432" s="5" t="str">
        <x:v>02</x:v>
      </x:c>
      <x:c r="H432" s="5" t="n">
        <x:v>718</x:v>
      </x:c>
      <x:c r="I432" s="5" t="n">
        <x:v>718</x:v>
      </x:c>
      <x:c r="J432" s="5" t="str">
        <x:v>720</x:v>
      </x:c>
      <x:c r="K432" s="5" t="str">
        <x:v>링크 레이블은 전환되는 언어의 이름을 해당 언어로 작성한다.</x:v>
      </x:c>
      <x:c r="L432" s="5" t="str">
        <x:v>원문 세부기준</x:v>
      </x:c>
      <x:c r="M432" s="5" t="str">
        <x:v>추출 후 기본 구조 검토; 원문 적용수준·전체 맥락 재확인 필요</x:v>
      </x:c>
      <x:c r="N432" s="5" t="str">
        <x:v>UI-058</x:v>
      </x:c>
      <x:c r="O432" s="5" t="str">
        <x:v>자동 추출 후보 / 공식 전수 체크리스트 아님</x:v>
      </x:c>
    </x:row>
    <x:row r="433" ht="15" hidden="0" customHeight="1">
      <x:c r="A433" s="5" t="str">
        <x:v>KRDS-SEC-059-U-03</x:v>
      </x:c>
      <x:c r="B433" s="5" t="str">
        <x:v>KRDS-SEC-059</x:v>
      </x:c>
      <x:c r="C433" s="5" t="str">
        <x:v>컴포넌트</x:v>
      </x:c>
      <x:c r="D433" s="5" t="str">
        <x:v>설정</x:v>
      </x:c>
      <x:c r="E433" s="5" t="str">
        <x:v>언어 변경</x:v>
      </x:c>
      <x:c r="F433" s="5" t="str">
        <x:v>사용성 가이드라인</x:v>
      </x:c>
      <x:c r="G433" s="5" t="str">
        <x:v>03</x:v>
      </x:c>
      <x:c r="H433" s="5" t="n">
        <x:v>718</x:v>
      </x:c>
      <x:c r="I433" s="5" t="n">
        <x:v>718</x:v>
      </x:c>
      <x:c r="J433" s="5" t="str">
        <x:v>722</x:v>
      </x:c>
      <x:c r="K433" s="5" t="str">
        <x:v>링크 레이블을 언어 코드로 축약하지 않는다.</x:v>
      </x:c>
      <x:c r="L433" s="5" t="str">
        <x:v>원문 세부기준</x:v>
      </x:c>
      <x:c r="M433" s="5" t="str">
        <x:v>추출 후 기본 구조 검토; 원문 적용수준·전체 맥락 재확인 필요</x:v>
      </x:c>
      <x:c r="N433" s="5" t="str">
        <x:v>UI-058</x:v>
      </x:c>
      <x:c r="O433" s="5" t="str">
        <x:v>자동 추출 후보 / 공식 전수 체크리스트 아님</x:v>
      </x:c>
    </x:row>
    <x:row r="434" ht="15" hidden="0" customHeight="1">
      <x:c r="A434" s="5" t="str">
        <x:v>KRDS-SEC-059-U-04</x:v>
      </x:c>
      <x:c r="B434" s="5" t="str">
        <x:v>KRDS-SEC-059</x:v>
      </x:c>
      <x:c r="C434" s="5" t="str">
        <x:v>컴포넌트</x:v>
      </x:c>
      <x:c r="D434" s="5" t="str">
        <x:v>설정</x:v>
      </x:c>
      <x:c r="E434" s="5" t="str">
        <x:v>언어 변경</x:v>
      </x:c>
      <x:c r="F434" s="5" t="str">
        <x:v>사용성 가이드라인</x:v>
      </x:c>
      <x:c r="G434" s="5" t="str">
        <x:v>04</x:v>
      </x:c>
      <x:c r="H434" s="5" t="n">
        <x:v>718</x:v>
      </x:c>
      <x:c r="I434" s="5" t="n">
        <x:v>718</x:v>
      </x:c>
      <x:c r="J434" s="5" t="str">
        <x:v>723</x:v>
      </x:c>
      <x:c r="K434" s="5" t="str">
        <x:v>국가명은 필요한 경우에만 사용한다.</x:v>
      </x:c>
      <x:c r="L434" s="5" t="str">
        <x:v>원문 세부기준</x:v>
      </x:c>
      <x:c r="M434" s="5" t="str">
        <x:v>추출 후 기본 구조 검토; 원문 적용수준·전체 맥락 재확인 필요</x:v>
      </x:c>
      <x:c r="N434" s="5" t="str">
        <x:v>UI-058</x:v>
      </x:c>
      <x:c r="O434" s="5" t="str">
        <x:v>자동 추출 후보 / 공식 전수 체크리스트 아님</x:v>
      </x:c>
    </x:row>
    <x:row r="435" ht="15" hidden="0" customHeight="1">
      <x:c r="A435" s="5" t="str">
        <x:v>KRDS-SEC-059-U-05</x:v>
      </x:c>
      <x:c r="B435" s="5" t="str">
        <x:v>KRDS-SEC-059</x:v>
      </x:c>
      <x:c r="C435" s="5" t="str">
        <x:v>컴포넌트</x:v>
      </x:c>
      <x:c r="D435" s="5" t="str">
        <x:v>설정</x:v>
      </x:c>
      <x:c r="E435" s="5" t="str">
        <x:v>언어 변경</x:v>
      </x:c>
      <x:c r="F435" s="5" t="str">
        <x:v>사용성 가이드라인</x:v>
      </x:c>
      <x:c r="G435" s="5" t="str">
        <x:v>05</x:v>
      </x:c>
      <x:c r="H435" s="5" t="n">
        <x:v>718</x:v>
      </x:c>
      <x:c r="I435" s="5" t="n">
        <x:v>718</x:v>
      </x:c>
      <x:c r="J435" s="5" t="str"/>
      <x:c r="K435" s="5" t="str">
        <x:v>외국어 서비스로 이동하는 경우 링크를 새 창으로 실행하고, 새 창 열림 아이콘을 제공한다.</x:v>
      </x:c>
      <x:c r="L435" s="5" t="str">
        <x:v>원문 세부기준</x:v>
      </x:c>
      <x:c r="M435" s="5" t="str">
        <x:v>추출 후 기본 구조 검토; 원문 적용수준·전체 맥락 재확인 필요</x:v>
      </x:c>
      <x:c r="N435" s="5" t="str">
        <x:v>UI-058</x:v>
      </x:c>
      <x:c r="O435" s="5" t="str">
        <x:v>자동 추출 후보 / 공식 전수 체크리스트 아님</x:v>
      </x:c>
    </x:row>
    <x:row r="436" ht="15" hidden="0" customHeight="1">
      <x:c r="A436" s="5" t="str">
        <x:v>KRDS-SEC-059-A-01</x:v>
      </x:c>
      <x:c r="B436" s="5" t="str">
        <x:v>KRDS-SEC-059</x:v>
      </x:c>
      <x:c r="C436" s="5" t="str">
        <x:v>컴포넌트</x:v>
      </x:c>
      <x:c r="D436" s="5" t="str">
        <x:v>설정</x:v>
      </x:c>
      <x:c r="E436" s="5" t="str">
        <x:v>언어 변경</x:v>
      </x:c>
      <x:c r="F436" s="5" t="str">
        <x:v>접근성 가이드라인</x:v>
      </x:c>
      <x:c r="G436" s="5" t="str">
        <x:v>01</x:v>
      </x:c>
      <x:c r="H436" s="5" t="n">
        <x:v>725</x:v>
      </x:c>
      <x:c r="I436" s="5" t="n">
        <x:v>725</x:v>
      </x:c>
      <x:c r="J436" s="5" t="str"/>
      <x:c r="K436" s="5" t="str">
        <x:v>링크에 lang 속성을 선언하고 레이블과 일치하는 언어 코드를 속성값으로 제공한다.</x:v>
      </x:c>
      <x:c r="L436" s="5" t="str">
        <x:v>원문 세부기준</x:v>
      </x:c>
      <x:c r="M436" s="5" t="str">
        <x:v>추출 후 기본 구조 검토; 원문 적용수준·전체 맥락 재확인 필요</x:v>
      </x:c>
      <x:c r="N436" s="5" t="str">
        <x:v>UI-058</x:v>
      </x:c>
      <x:c r="O436" s="5" t="str">
        <x:v>자동 추출 후보 / 공식 전수 체크리스트 아님</x:v>
      </x:c>
    </x:row>
    <x:row r="437" ht="15" hidden="0" customHeight="1">
      <x:c r="A437" s="5" t="str">
        <x:v>KRDS-SEC-060-U-01</x:v>
      </x:c>
      <x:c r="B437" s="5" t="str">
        <x:v>KRDS-SEC-060</x:v>
      </x:c>
      <x:c r="C437" s="5" t="str">
        <x:v>컴포넌트</x:v>
      </x:c>
      <x:c r="D437" s="5" t="str">
        <x:v>설정</x:v>
      </x:c>
      <x:c r="E437" s="5" t="str">
        <x:v>화면 크기 조정</x:v>
      </x:c>
      <x:c r="F437" s="5" t="str">
        <x:v>사용성 가이드라인</x:v>
      </x:c>
      <x:c r="G437" s="5" t="str">
        <x:v>01</x:v>
      </x:c>
      <x:c r="H437" s="5" t="n">
        <x:v>729</x:v>
      </x:c>
      <x:c r="I437" s="5" t="n">
        <x:v>729</x:v>
      </x:c>
      <x:c r="J437" s="5" t="str">
        <x:v>730</x:v>
      </x:c>
      <x:c r="K437" s="5" t="str">
        <x:v>옵션 레이블을 명확한 내용으로 제공한다.</x:v>
      </x:c>
      <x:c r="L437" s="5" t="str">
        <x:v>원문 세부기준</x:v>
      </x:c>
      <x:c r="M437" s="5" t="str">
        <x:v>추출 후 기본 구조 검토; 원문 적용수준·전체 맥락 재확인 필요</x:v>
      </x:c>
      <x:c r="N437" s="5" t="str">
        <x:v>UI-059</x:v>
      </x:c>
      <x:c r="O437" s="5" t="str">
        <x:v>자동 추출 후보 / 공식 전수 체크리스트 아님</x:v>
      </x:c>
    </x:row>
    <x:row r="438" ht="15" hidden="0" customHeight="1">
      <x:c r="A438" s="5" t="str">
        <x:v>KRDS-SEC-060-U-02</x:v>
      </x:c>
      <x:c r="B438" s="5" t="str">
        <x:v>KRDS-SEC-060</x:v>
      </x:c>
      <x:c r="C438" s="5" t="str">
        <x:v>컴포넌트</x:v>
      </x:c>
      <x:c r="D438" s="5" t="str">
        <x:v>설정</x:v>
      </x:c>
      <x:c r="E438" s="5" t="str">
        <x:v>화면 크기 조정</x:v>
      </x:c>
      <x:c r="F438" s="5" t="str">
        <x:v>사용성 가이드라인</x:v>
      </x:c>
      <x:c r="G438" s="5" t="str">
        <x:v>02</x:v>
      </x:c>
      <x:c r="H438" s="5" t="n">
        <x:v>729</x:v>
      </x:c>
      <x:c r="I438" s="5" t="n">
        <x:v>729</x:v>
      </x:c>
      <x:c r="J438" s="5" t="str">
        <x:v>731</x:v>
      </x:c>
      <x:c r="K438" s="5" t="str">
        <x:v>옵션을 5개 이내로 제공한다.</x:v>
      </x:c>
      <x:c r="L438" s="5" t="str">
        <x:v>원문 세부기준</x:v>
      </x:c>
      <x:c r="M438" s="5" t="str">
        <x:v>추출 후 기본 구조 검토; 원문 적용수준·전체 맥락 재확인 필요</x:v>
      </x:c>
      <x:c r="N438" s="5" t="str">
        <x:v>UI-059</x:v>
      </x:c>
      <x:c r="O438" s="5" t="str">
        <x:v>자동 추출 후보 / 공식 전수 체크리스트 아님</x:v>
      </x:c>
    </x:row>
    <x:row r="439" ht="15" hidden="0" customHeight="1">
      <x:c r="A439" s="5" t="str">
        <x:v>KRDS-SEC-060-U-03</x:v>
      </x:c>
      <x:c r="B439" s="5" t="str">
        <x:v>KRDS-SEC-060</x:v>
      </x:c>
      <x:c r="C439" s="5" t="str">
        <x:v>컴포넌트</x:v>
      </x:c>
      <x:c r="D439" s="5" t="str">
        <x:v>설정</x:v>
      </x:c>
      <x:c r="E439" s="5" t="str">
        <x:v>화면 크기 조정</x:v>
      </x:c>
      <x:c r="F439" s="5" t="str">
        <x:v>사용성 가이드라인</x:v>
      </x:c>
      <x:c r="G439" s="5" t="str">
        <x:v>03</x:v>
      </x:c>
      <x:c r="H439" s="5" t="n">
        <x:v>729</x:v>
      </x:c>
      <x:c r="I439" s="5" t="n">
        <x:v>729</x:v>
      </x:c>
      <x:c r="J439" s="5" t="str">
        <x:v>732</x:v>
      </x:c>
      <x:c r="K439" s="5" t="str">
        <x:v>반응형 레이아웃 사용을 고려한다.</x:v>
      </x:c>
      <x:c r="L439" s="5" t="str">
        <x:v>원문 세부기준</x:v>
      </x:c>
      <x:c r="M439" s="5" t="str">
        <x:v>추출 후 기본 구조 검토; 원문 적용수준·전체 맥락 재확인 필요</x:v>
      </x:c>
      <x:c r="N439" s="5" t="str">
        <x:v>UI-059</x:v>
      </x:c>
      <x:c r="O439" s="5" t="str">
        <x:v>자동 추출 후보 / 공식 전수 체크리스트 아님</x:v>
      </x:c>
    </x:row>
    <x:row r="440" ht="15" hidden="0" customHeight="1">
      <x:c r="A440" s="5" t="str">
        <x:v>KRDS-SEC-060-P-01</x:v>
      </x:c>
      <x:c r="B440" s="5" t="str">
        <x:v>KRDS-SEC-060</x:v>
      </x:c>
      <x:c r="C440" s="5" t="str">
        <x:v>컴포넌트</x:v>
      </x:c>
      <x:c r="D440" s="5" t="str">
        <x:v>설정</x:v>
      </x:c>
      <x:c r="E440" s="5" t="str">
        <x:v>화면 크기 조정</x:v>
      </x:c>
      <x:c r="F440" s="5" t="str">
        <x:v>플랫폼에 대한 고려 사항</x:v>
      </x:c>
      <x:c r="G440" s="5" t="str">
        <x:v>01</x:v>
      </x:c>
      <x:c r="H440" s="5" t="n">
        <x:v>733</x:v>
      </x:c>
      <x:c r="I440" s="5" t="n">
        <x:v>733</x:v>
      </x:c>
      <x:c r="J440" s="5" t="str"/>
      <x:c r="K440" s="5" t="str">
        <x:v>모바일 애플리케이션에서는 별도 설정 화면에서 화면 크기 조정 기능을 제공할 수 있다.</x:v>
      </x:c>
      <x:c r="L440" s="5" t="str">
        <x:v>원문 세부기준</x:v>
      </x:c>
      <x:c r="M440" s="5" t="str">
        <x:v>추출 후 기본 구조 검토; 원문 적용수준·전체 맥락 재확인 필요</x:v>
      </x:c>
      <x:c r="N440" s="5" t="str">
        <x:v>UI-059</x:v>
      </x:c>
      <x:c r="O440" s="5" t="str">
        <x:v>자동 추출 후보 / 공식 전수 체크리스트 아님</x:v>
      </x:c>
    </x:row>
    <x:row r="441" ht="15" hidden="0" customHeight="1">
      <x:c r="A441" s="5" t="str">
        <x:v>KRDS-SEC-060-A-01</x:v>
      </x:c>
      <x:c r="B441" s="5" t="str">
        <x:v>KRDS-SEC-060</x:v>
      </x:c>
      <x:c r="C441" s="5" t="str">
        <x:v>컴포넌트</x:v>
      </x:c>
      <x:c r="D441" s="5" t="str">
        <x:v>설정</x:v>
      </x:c>
      <x:c r="E441" s="5" t="str">
        <x:v>화면 크기 조정</x:v>
      </x:c>
      <x:c r="F441" s="5" t="str">
        <x:v>접근성 가이드라인</x:v>
      </x:c>
      <x:c r="G441" s="5" t="str">
        <x:v>01</x:v>
      </x:c>
      <x:c r="H441" s="5" t="n">
        <x:v>734</x:v>
      </x:c>
      <x:c r="I441" s="5" t="n">
        <x:v>734</x:v>
      </x:c>
      <x:c r="J441" s="5" t="str"/>
      <x:c r="K441" s="5" t="str">
        <x:v>화면 크기를 조정했을 때 콘텐츠가 가려지거나 기능이 손실되지 않도록 한다.</x:v>
      </x:c>
      <x:c r="L441" s="5" t="str">
        <x:v>원문 세부기준</x:v>
      </x:c>
      <x:c r="M441" s="5" t="str">
        <x:v>추출 후 기본 구조 검토; 원문 적용수준·전체 맥락 재확인 필요</x:v>
      </x:c>
      <x:c r="N441" s="5" t="str">
        <x:v>UI-059</x:v>
      </x:c>
      <x:c r="O441" s="5" t="str">
        <x:v>자동 추출 후보 / 공식 전수 체크리스트 아님</x:v>
      </x:c>
    </x:row>
    <x:row r="442" ht="15" hidden="0" customHeight="1">
      <x:c r="A442" s="5" t="str">
        <x:v>KRDS-SEC-060-A-02</x:v>
      </x:c>
      <x:c r="B442" s="5" t="str">
        <x:v>KRDS-SEC-060</x:v>
      </x:c>
      <x:c r="C442" s="5" t="str">
        <x:v>컴포넌트</x:v>
      </x:c>
      <x:c r="D442" s="5" t="str">
        <x:v>설정</x:v>
      </x:c>
      <x:c r="E442" s="5" t="str">
        <x:v>화면 크기 조정</x:v>
      </x:c>
      <x:c r="F442" s="5" t="str">
        <x:v>접근성 가이드라인</x:v>
      </x:c>
      <x:c r="G442" s="5" t="str">
        <x:v>02</x:v>
      </x:c>
      <x:c r="H442" s="5" t="n">
        <x:v>734</x:v>
      </x:c>
      <x:c r="I442" s="5" t="n">
        <x:v>734</x:v>
      </x:c>
      <x:c r="J442" s="5" t="str"/>
      <x:c r="K442" s="5" t="str">
        <x:v>화면을 확대했을 때 화면 스크롤은 단일 방향으로 유지/ 생성되도록 한다.</x:v>
      </x:c>
      <x:c r="L442" s="5" t="str">
        <x:v>원문 세부기준</x:v>
      </x:c>
      <x:c r="M442" s="5" t="str">
        <x:v>추출 후 기본 구조 검토; 원문 적용수준·전체 맥락 재확인 필요</x:v>
      </x:c>
      <x:c r="N442" s="5" t="str">
        <x:v>UI-059</x:v>
      </x:c>
      <x:c r="O442" s="5" t="str">
        <x:v>자동 추출 후보 / 공식 전수 체크리스트 아님</x:v>
      </x:c>
    </x:row>
    <x:row r="443" ht="15" hidden="0" customHeight="1">
      <x:c r="A443" s="5" t="str">
        <x:v>KRDS-SEC-061-U-01</x:v>
      </x:c>
      <x:c r="B443" s="5" t="str">
        <x:v>KRDS-SEC-061</x:v>
      </x:c>
      <x:c r="C443" s="5" t="str">
        <x:v>컴포넌트</x:v>
      </x:c>
      <x:c r="D443" s="5" t="str">
        <x:v>콘텐츠</x:v>
      </x:c>
      <x:c r="E443" s="5" t="str">
        <x:v>접근 가능한 미디어</x:v>
      </x:c>
      <x:c r="F443" s="5" t="str">
        <x:v>사용성 가이드라인</x:v>
      </x:c>
      <x:c r="G443" s="5" t="str">
        <x:v>01</x:v>
      </x:c>
      <x:c r="H443" s="5" t="n">
        <x:v>740</x:v>
      </x:c>
      <x:c r="I443" s="5" t="n">
        <x:v>740</x:v>
      </x:c>
      <x:c r="J443" s="5" t="str">
        <x:v>741</x:v>
      </x:c>
      <x:c r="K443" s="5" t="str">
        <x:v>미디어 콘텐츠를 제작하기 전에 대체 정보 제공에 대한 계획을 수립한다.</x:v>
      </x:c>
      <x:c r="L443" s="5" t="str">
        <x:v>원문 세부기준</x:v>
      </x:c>
      <x:c r="M443" s="5" t="str">
        <x:v>추출 후 기본 구조 검토; 원문 적용수준·전체 맥락 재확인 필요</x:v>
      </x:c>
      <x:c r="N443" s="5" t="str">
        <x:v>UI-060</x:v>
      </x:c>
      <x:c r="O443" s="5" t="str">
        <x:v>자동 추출 후보 / 공식 전수 체크리스트 아님</x:v>
      </x:c>
    </x:row>
    <x:row r="444" ht="15" hidden="0" customHeight="1">
      <x:c r="A444" s="5" t="str">
        <x:v>KRDS-SEC-061-U-02</x:v>
      </x:c>
      <x:c r="B444" s="5" t="str">
        <x:v>KRDS-SEC-061</x:v>
      </x:c>
      <x:c r="C444" s="5" t="str">
        <x:v>컴포넌트</x:v>
      </x:c>
      <x:c r="D444" s="5" t="str">
        <x:v>콘텐츠</x:v>
      </x:c>
      <x:c r="E444" s="5" t="str">
        <x:v>접근 가능한 미디어</x:v>
      </x:c>
      <x:c r="F444" s="5" t="str">
        <x:v>사용성 가이드라인</x:v>
      </x:c>
      <x:c r="G444" s="5" t="str">
        <x:v>02</x:v>
      </x:c>
      <x:c r="H444" s="5" t="n">
        <x:v>740</x:v>
      </x:c>
      <x:c r="I444" s="5" t="n">
        <x:v>740</x:v>
      </x:c>
      <x:c r="J444" s="5" t="str">
        <x:v>742</x:v>
      </x:c>
      <x:c r="K444" s="5" t="str">
        <x:v>가능한 다양한 유형의 대체 정보를 제공한다.</x:v>
      </x:c>
      <x:c r="L444" s="5" t="str">
        <x:v>원문 세부기준</x:v>
      </x:c>
      <x:c r="M444" s="5" t="str">
        <x:v>추출 후 기본 구조 검토; 원문 적용수준·전체 맥락 재확인 필요</x:v>
      </x:c>
      <x:c r="N444" s="5" t="str">
        <x:v>UI-060</x:v>
      </x:c>
      <x:c r="O444" s="5" t="str">
        <x:v>자동 추출 후보 / 공식 전수 체크리스트 아님</x:v>
      </x:c>
    </x:row>
    <x:row r="445" ht="15" hidden="0" customHeight="1">
      <x:c r="A445" s="5" t="str">
        <x:v>KRDS-SEC-061-U-03</x:v>
      </x:c>
      <x:c r="B445" s="5" t="str">
        <x:v>KRDS-SEC-061</x:v>
      </x:c>
      <x:c r="C445" s="5" t="str">
        <x:v>컴포넌트</x:v>
      </x:c>
      <x:c r="D445" s="5" t="str">
        <x:v>콘텐츠</x:v>
      </x:c>
      <x:c r="E445" s="5" t="str">
        <x:v>접근 가능한 미디어</x:v>
      </x:c>
      <x:c r="F445" s="5" t="str">
        <x:v>사용성 가이드라인</x:v>
      </x:c>
      <x:c r="G445" s="5" t="str">
        <x:v>03</x:v>
      </x:c>
      <x:c r="H445" s="5" t="n">
        <x:v>740</x:v>
      </x:c>
      <x:c r="I445" s="5" t="n">
        <x:v>740</x:v>
      </x:c>
      <x:c r="J445" s="5" t="str">
        <x:v>743</x:v>
      </x:c>
      <x:c r="K445" s="5" t="str">
        <x:v>대체 정보는 미디어에 포함된 모든 정보를 설명해야 한다.</x:v>
      </x:c>
      <x:c r="L445" s="5" t="str">
        <x:v>원문 세부기준</x:v>
      </x:c>
      <x:c r="M445" s="5" t="str">
        <x:v>추출 후 기본 구조 검토; 원문 적용수준·전체 맥락 재확인 필요</x:v>
      </x:c>
      <x:c r="N445" s="5" t="str">
        <x:v>UI-060</x:v>
      </x:c>
      <x:c r="O445" s="5" t="str">
        <x:v>자동 추출 후보 / 공식 전수 체크리스트 아님</x:v>
      </x:c>
    </x:row>
    <x:row r="446" ht="15" hidden="0" customHeight="1">
      <x:c r="A446" s="5" t="str">
        <x:v>KRDS-SEC-061-U-04</x:v>
      </x:c>
      <x:c r="B446" s="5" t="str">
        <x:v>KRDS-SEC-061</x:v>
      </x:c>
      <x:c r="C446" s="5" t="str">
        <x:v>컴포넌트</x:v>
      </x:c>
      <x:c r="D446" s="5" t="str">
        <x:v>콘텐츠</x:v>
      </x:c>
      <x:c r="E446" s="5" t="str">
        <x:v>접근 가능한 미디어</x:v>
      </x:c>
      <x:c r="F446" s="5" t="str">
        <x:v>사용성 가이드라인</x:v>
      </x:c>
      <x:c r="G446" s="5" t="str">
        <x:v>04</x:v>
      </x:c>
      <x:c r="H446" s="5" t="n">
        <x:v>740</x:v>
      </x:c>
      <x:c r="I446" s="5" t="n">
        <x:v>740</x:v>
      </x:c>
      <x:c r="J446" s="5" t="str">
        <x:v>744</x:v>
      </x:c>
      <x:c r="K446" s="5" t="str">
        <x:v>정보를 전달하기 위한 목적의 시각적 요소를 삽입할 때 명도 대비에 유의한다.</x:v>
      </x:c>
      <x:c r="L446" s="5" t="str">
        <x:v>원문 세부기준</x:v>
      </x:c>
      <x:c r="M446" s="5" t="str">
        <x:v>추출 후 기본 구조 검토; 원문 적용수준·전체 맥락 재확인 필요</x:v>
      </x:c>
      <x:c r="N446" s="5" t="str">
        <x:v>UI-060</x:v>
      </x:c>
      <x:c r="O446" s="5" t="str">
        <x:v>자동 추출 후보 / 공식 전수 체크리스트 아님</x:v>
      </x:c>
    </x:row>
    <x:row r="447" ht="15" hidden="0" customHeight="1">
      <x:c r="A447" s="5" t="str">
        <x:v>KRDS-SEC-061-U-05</x:v>
      </x:c>
      <x:c r="B447" s="5" t="str">
        <x:v>KRDS-SEC-061</x:v>
      </x:c>
      <x:c r="C447" s="5" t="str">
        <x:v>컴포넌트</x:v>
      </x:c>
      <x:c r="D447" s="5" t="str">
        <x:v>콘텐츠</x:v>
      </x:c>
      <x:c r="E447" s="5" t="str">
        <x:v>접근 가능한 미디어</x:v>
      </x:c>
      <x:c r="F447" s="5" t="str">
        <x:v>사용성 가이드라인</x:v>
      </x:c>
      <x:c r="G447" s="5" t="str">
        <x:v>05</x:v>
      </x:c>
      <x:c r="H447" s="5" t="n">
        <x:v>740</x:v>
      </x:c>
      <x:c r="I447" s="5" t="n">
        <x:v>740</x:v>
      </x:c>
      <x:c r="J447" s="5" t="str">
        <x:v>745</x:v>
      </x:c>
      <x:c r="K447" s="5" t="str">
        <x:v>자막은 주변 요소에 가려지거나 흐리게 표시되어서는 안 된다.</x:v>
      </x:c>
      <x:c r="L447" s="5" t="str">
        <x:v>원문 세부기준</x:v>
      </x:c>
      <x:c r="M447" s="5" t="str">
        <x:v>추출 후 기본 구조 검토; 원문 적용수준·전체 맥락 재확인 필요</x:v>
      </x:c>
      <x:c r="N447" s="5" t="str">
        <x:v>UI-060</x:v>
      </x:c>
      <x:c r="O447" s="5" t="str">
        <x:v>자동 추출 후보 / 공식 전수 체크리스트 아님</x:v>
      </x:c>
    </x:row>
    <x:row r="448" ht="15" hidden="0" customHeight="1">
      <x:c r="A448" s="5" t="str">
        <x:v>KRDS-SEC-061-U-06</x:v>
      </x:c>
      <x:c r="B448" s="5" t="str">
        <x:v>KRDS-SEC-061</x:v>
      </x:c>
      <x:c r="C448" s="5" t="str">
        <x:v>컴포넌트</x:v>
      </x:c>
      <x:c r="D448" s="5" t="str">
        <x:v>콘텐츠</x:v>
      </x:c>
      <x:c r="E448" s="5" t="str">
        <x:v>접근 가능한 미디어</x:v>
      </x:c>
      <x:c r="F448" s="5" t="str">
        <x:v>사용성 가이드라인</x:v>
      </x:c>
      <x:c r="G448" s="5" t="str">
        <x:v>06</x:v>
      </x:c>
      <x:c r="H448" s="5" t="n">
        <x:v>740</x:v>
      </x:c>
      <x:c r="I448" s="5" t="n">
        <x:v>740</x:v>
      </x:c>
      <x:c r="J448" s="5" t="str">
        <x:v>746</x:v>
      </x:c>
      <x:c r="K448" s="5" t="str">
        <x:v>자막은 오디오와 동기화하여 제공한다.</x:v>
      </x:c>
      <x:c r="L448" s="5" t="str">
        <x:v>원문 세부기준</x:v>
      </x:c>
      <x:c r="M448" s="5" t="str">
        <x:v>추출 후 기본 구조 검토; 원문 적용수준·전체 맥락 재확인 필요</x:v>
      </x:c>
      <x:c r="N448" s="5" t="str">
        <x:v>UI-060</x:v>
      </x:c>
      <x:c r="O448" s="5" t="str">
        <x:v>자동 추출 후보 / 공식 전수 체크리스트 아님</x:v>
      </x:c>
    </x:row>
    <x:row r="449" ht="15" hidden="0" customHeight="1">
      <x:c r="A449" s="5" t="str">
        <x:v>KRDS-SEC-061-U-07</x:v>
      </x:c>
      <x:c r="B449" s="5" t="str">
        <x:v>KRDS-SEC-061</x:v>
      </x:c>
      <x:c r="C449" s="5" t="str">
        <x:v>컴포넌트</x:v>
      </x:c>
      <x:c r="D449" s="5" t="str">
        <x:v>콘텐츠</x:v>
      </x:c>
      <x:c r="E449" s="5" t="str">
        <x:v>접근 가능한 미디어</x:v>
      </x:c>
      <x:c r="F449" s="5" t="str">
        <x:v>사용성 가이드라인</x:v>
      </x:c>
      <x:c r="G449" s="5" t="str">
        <x:v>07</x:v>
      </x:c>
      <x:c r="H449" s="5" t="n">
        <x:v>740</x:v>
      </x:c>
      <x:c r="I449" s="5" t="n">
        <x:v>740</x:v>
      </x:c>
      <x:c r="J449" s="5" t="str">
        <x:v>746</x:v>
      </x:c>
      <x:c r="K449" s="5" t="str">
        <x:v>콘텐츠를 업데이트할 때 대체 정보도 업데이트한다.</x:v>
      </x:c>
      <x:c r="L449" s="5" t="str">
        <x:v>원문 세부기준</x:v>
      </x:c>
      <x:c r="M449" s="5" t="str">
        <x:v>추출 후 기본 구조 검토; 원문 적용수준·전체 맥락 재확인 필요</x:v>
      </x:c>
      <x:c r="N449" s="5" t="str">
        <x:v>UI-060</x:v>
      </x:c>
      <x:c r="O449" s="5" t="str">
        <x:v>자동 추출 후보 / 공식 전수 체크리스트 아님</x:v>
      </x:c>
    </x:row>
    <x:row r="450" ht="26.399999618530273" hidden="0" customHeight="1">
      <x:c r="A450" s="5" t="str">
        <x:v>KRDS-SEC-062-U-01</x:v>
      </x:c>
      <x:c r="B450" s="5" t="str">
        <x:v>KRDS-SEC-062</x:v>
      </x:c>
      <x:c r="C450" s="5" t="str">
        <x:v>컴포넌트</x:v>
      </x:c>
      <x:c r="D450" s="5" t="str">
        <x:v>콘텐츠</x:v>
      </x:c>
      <x:c r="E450" s="5" t="str">
        <x:v>숨긴 콘텐츠</x:v>
      </x:c>
      <x:c r="F450" s="5" t="str">
        <x:v>사용성 가이드라인</x:v>
      </x:c>
      <x:c r="G450" s="5" t="str">
        <x:v>01</x:v>
      </x:c>
      <x:c r="H450" s="5" t="n">
        <x:v>748</x:v>
      </x:c>
      <x:c r="I450" s="5" t="n">
        <x:v>748</x:v>
      </x:c>
      <x:c r="J450" s="5" t="str">
        <x:v>749</x:v>
      </x:c>
      <x:c r="K450" s="5" t="str">
        <x:v>숨긴 콘텐츠를 사용하는 대신 주변 정보를 활용하거나 시각으로 정보를 표시하는 방안을 우선 고려한다.</x:v>
      </x:c>
      <x:c r="L450" s="5" t="str">
        <x:v>원문 세부기준</x:v>
      </x:c>
      <x:c r="M450" s="5" t="str">
        <x:v>추출 후 기본 구조 검토; 원문 적용수준·전체 맥락 재확인 필요</x:v>
      </x:c>
      <x:c r="N450" s="5" t="str">
        <x:v>UI-061
UI-115</x:v>
      </x:c>
      <x:c r="O450" s="5" t="str">
        <x:v>자동 추출 후보 / 공식 전수 체크리스트 아님</x:v>
      </x:c>
    </x:row>
    <x:row r="451" ht="26.399999618530273" hidden="0" customHeight="1">
      <x:c r="A451" s="5" t="str">
        <x:v>KRDS-SEC-062-U-02</x:v>
      </x:c>
      <x:c r="B451" s="5" t="str">
        <x:v>KRDS-SEC-062</x:v>
      </x:c>
      <x:c r="C451" s="5" t="str">
        <x:v>컴포넌트</x:v>
      </x:c>
      <x:c r="D451" s="5" t="str">
        <x:v>콘텐츠</x:v>
      </x:c>
      <x:c r="E451" s="5" t="str">
        <x:v>숨긴 콘텐츠</x:v>
      </x:c>
      <x:c r="F451" s="5" t="str">
        <x:v>사용성 가이드라인</x:v>
      </x:c>
      <x:c r="G451" s="5" t="str">
        <x:v>02</x:v>
      </x:c>
      <x:c r="H451" s="5" t="n">
        <x:v>748</x:v>
      </x:c>
      <x:c r="I451" s="5" t="n">
        <x:v>748</x:v>
      </x:c>
      <x:c r="J451" s="5" t="str">
        <x:v>749</x:v>
      </x:c>
      <x:c r="K451" s="5" t="str">
        <x:v>시맨틱 마크업을 한다.</x:v>
      </x:c>
      <x:c r="L451" s="5" t="str">
        <x:v>원문 세부기준</x:v>
      </x:c>
      <x:c r="M451" s="5" t="str">
        <x:v>추출 후 기본 구조 검토; 원문 적용수준·전체 맥락 재확인 필요</x:v>
      </x:c>
      <x:c r="N451" s="5" t="str">
        <x:v>UI-061
UI-115</x:v>
      </x:c>
      <x:c r="O451" s="5" t="str">
        <x:v>자동 추출 후보 / 공식 전수 체크리스트 아님</x:v>
      </x:c>
    </x:row>
    <x:row r="452" ht="26.399999618530273" hidden="0" customHeight="1">
      <x:c r="A452" s="5" t="str">
        <x:v>KRDS-SEC-062-U-03</x:v>
      </x:c>
      <x:c r="B452" s="5" t="str">
        <x:v>KRDS-SEC-062</x:v>
      </x:c>
      <x:c r="C452" s="5" t="str">
        <x:v>컴포넌트</x:v>
      </x:c>
      <x:c r="D452" s="5" t="str">
        <x:v>콘텐츠</x:v>
      </x:c>
      <x:c r="E452" s="5" t="str">
        <x:v>숨긴 콘텐츠</x:v>
      </x:c>
      <x:c r="F452" s="5" t="str">
        <x:v>사용성 가이드라인</x:v>
      </x:c>
      <x:c r="G452" s="5" t="str">
        <x:v>03</x:v>
      </x:c>
      <x:c r="H452" s="5" t="n">
        <x:v>748</x:v>
      </x:c>
      <x:c r="I452" s="5" t="n">
        <x:v>748</x:v>
      </x:c>
      <x:c r="J452" s="5" t="str">
        <x:v>749</x:v>
      </x:c>
      <x:c r="K452" s="5" t="str">
        <x:v>숨긴 콘텐츠에 스크린 리더가 정보를 탐지하는 것을 방지하는 스타일을 사용하지 않는다.</x:v>
      </x:c>
      <x:c r="L452" s="5" t="str">
        <x:v>원문 세부기준</x:v>
      </x:c>
      <x:c r="M452" s="5" t="str">
        <x:v>추출 후 기본 구조 검토; 원문 적용수준·전체 맥락 재확인 필요</x:v>
      </x:c>
      <x:c r="N452" s="5" t="str">
        <x:v>UI-061
UI-115</x:v>
      </x:c>
      <x:c r="O452" s="5" t="str">
        <x:v>자동 추출 후보 / 공식 전수 체크리스트 아님</x:v>
      </x:c>
    </x:row>
    <x:row r="453" ht="26.399999618530273" hidden="0" customHeight="1">
      <x:c r="A453" s="5" t="str">
        <x:v>KRDS-SEC-062-U-04</x:v>
      </x:c>
      <x:c r="B453" s="5" t="str">
        <x:v>KRDS-SEC-062</x:v>
      </x:c>
      <x:c r="C453" s="5" t="str">
        <x:v>컴포넌트</x:v>
      </x:c>
      <x:c r="D453" s="5" t="str">
        <x:v>콘텐츠</x:v>
      </x:c>
      <x:c r="E453" s="5" t="str">
        <x:v>숨긴 콘텐츠</x:v>
      </x:c>
      <x:c r="F453" s="5" t="str">
        <x:v>사용성 가이드라인</x:v>
      </x:c>
      <x:c r="G453" s="5" t="str">
        <x:v>04</x:v>
      </x:c>
      <x:c r="H453" s="5" t="n">
        <x:v>748</x:v>
      </x:c>
      <x:c r="I453" s="5" t="n">
        <x:v>748</x:v>
      </x:c>
      <x:c r="J453" s="5" t="str">
        <x:v>750</x:v>
      </x:c>
      <x:c r="K453" s="5" t="str">
        <x:v>숨긴 콘텐츠의 크기 지정에 유의한다.</x:v>
      </x:c>
      <x:c r="L453" s="5" t="str">
        <x:v>원문 세부기준</x:v>
      </x:c>
      <x:c r="M453" s="5" t="str">
        <x:v>추출 후 기본 구조 검토; 원문 적용수준·전체 맥락 재확인 필요</x:v>
      </x:c>
      <x:c r="N453" s="5" t="str">
        <x:v>UI-061
UI-115</x:v>
      </x:c>
      <x:c r="O453" s="5" t="str">
        <x:v>자동 추출 후보 / 공식 전수 체크리스트 아님</x:v>
      </x:c>
    </x:row>
    <x:row r="454" ht="26.399999618530273" hidden="0" customHeight="1">
      <x:c r="A454" s="5" t="str">
        <x:v>KRDS-SEC-062-U-05</x:v>
      </x:c>
      <x:c r="B454" s="5" t="str">
        <x:v>KRDS-SEC-062</x:v>
      </x:c>
      <x:c r="C454" s="5" t="str">
        <x:v>컴포넌트</x:v>
      </x:c>
      <x:c r="D454" s="5" t="str">
        <x:v>콘텐츠</x:v>
      </x:c>
      <x:c r="E454" s="5" t="str">
        <x:v>숨긴 콘텐츠</x:v>
      </x:c>
      <x:c r="F454" s="5" t="str">
        <x:v>사용성 가이드라인</x:v>
      </x:c>
      <x:c r="G454" s="5" t="str">
        <x:v>05</x:v>
      </x:c>
      <x:c r="H454" s="5" t="n">
        <x:v>748</x:v>
      </x:c>
      <x:c r="I454" s="5" t="n">
        <x:v>748</x:v>
      </x:c>
      <x:c r="J454" s="5" t="str">
        <x:v>750</x:v>
      </x:c>
      <x:c r="K454" s="5" t="str">
        <x:v>대화형 요소를 숨길 때 상대적 위치 지정에 유의한다.</x:v>
      </x:c>
      <x:c r="L454" s="5" t="str">
        <x:v>원문 세부기준</x:v>
      </x:c>
      <x:c r="M454" s="5" t="str">
        <x:v>추출 후 기본 구조 검토; 원문 적용수준·전체 맥락 재확인 필요</x:v>
      </x:c>
      <x:c r="N454" s="5" t="str">
        <x:v>UI-061
UI-115</x:v>
      </x:c>
      <x:c r="O454" s="5" t="str">
        <x:v>자동 추출 후보 / 공식 전수 체크리스트 아님</x:v>
      </x:c>
    </x:row>
    <x:row r="455" ht="26.399999618530273" hidden="0" customHeight="1">
      <x:c r="A455" s="5" t="str">
        <x:v>KRDS-SEC-062-U-06</x:v>
      </x:c>
      <x:c r="B455" s="5" t="str">
        <x:v>KRDS-SEC-062</x:v>
      </x:c>
      <x:c r="C455" s="5" t="str">
        <x:v>컴포넌트</x:v>
      </x:c>
      <x:c r="D455" s="5" t="str">
        <x:v>콘텐츠</x:v>
      </x:c>
      <x:c r="E455" s="5" t="str">
        <x:v>숨긴 콘텐츠</x:v>
      </x:c>
      <x:c r="F455" s="5" t="str">
        <x:v>사용성 가이드라인</x:v>
      </x:c>
      <x:c r="G455" s="5" t="str">
        <x:v>06</x:v>
      </x:c>
      <x:c r="H455" s="5" t="n">
        <x:v>748</x:v>
      </x:c>
      <x:c r="I455" s="5" t="n">
        <x:v>748</x:v>
      </x:c>
      <x:c r="J455" s="5" t="str">
        <x:v>750</x:v>
      </x:c>
      <x:c r="K455" s="5" t="str">
        <x:v>대화형 요소를 숨길 때 크기 지정에 유의한다.</x:v>
      </x:c>
      <x:c r="L455" s="5" t="str">
        <x:v>원문 세부기준</x:v>
      </x:c>
      <x:c r="M455" s="5" t="str">
        <x:v>추출 후 기본 구조 검토; 원문 적용수준·전체 맥락 재확인 필요</x:v>
      </x:c>
      <x:c r="N455" s="5" t="str">
        <x:v>UI-061
UI-115</x:v>
      </x:c>
      <x:c r="O455" s="5" t="str">
        <x:v>자동 추출 후보 / 공식 전수 체크리스트 아님</x:v>
      </x:c>
    </x:row>
    <x:row r="456" ht="26.399999618530273" hidden="0" customHeight="1">
      <x:c r="A456" s="5" t="str">
        <x:v>KRDS-SEC-062-U-07</x:v>
      </x:c>
      <x:c r="B456" s="5" t="str">
        <x:v>KRDS-SEC-062</x:v>
      </x:c>
      <x:c r="C456" s="5" t="str">
        <x:v>컴포넌트</x:v>
      </x:c>
      <x:c r="D456" s="5" t="str">
        <x:v>콘텐츠</x:v>
      </x:c>
      <x:c r="E456" s="5" t="str">
        <x:v>숨긴 콘텐츠</x:v>
      </x:c>
      <x:c r="F456" s="5" t="str">
        <x:v>사용성 가이드라인</x:v>
      </x:c>
      <x:c r="G456" s="5" t="str">
        <x:v>07</x:v>
      </x:c>
      <x:c r="H456" s="5" t="n">
        <x:v>748</x:v>
      </x:c>
      <x:c r="I456" s="5" t="n">
        <x:v>748</x:v>
      </x:c>
      <x:c r="J456" s="5" t="str">
        <x:v>751</x:v>
      </x:c>
      <x:c r="K456" s="5" t="str">
        <x:v>서비스 제공 언어를 변경할 때 숨긴 콘텐츠에 포함된 텍스트의 언어도 변경되도록 한다.</x:v>
      </x:c>
      <x:c r="L456" s="5" t="str">
        <x:v>원문 세부기준</x:v>
      </x:c>
      <x:c r="M456" s="5" t="str">
        <x:v>추출 후 기본 구조 검토; 원문 적용수준·전체 맥락 재확인 필요</x:v>
      </x:c>
      <x:c r="N456" s="5" t="str">
        <x:v>UI-061
UI-115</x:v>
      </x:c>
      <x:c r="O456" s="5" t="str">
        <x:v>자동 추출 후보 / 공식 전수 체크리스트 아님</x:v>
      </x:c>
    </x:row>
    <x:row r="457" ht="26.399999618530273" hidden="0" customHeight="1">
      <x:c r="A457" s="5" t="str">
        <x:v>KRDS-SEC-062-U-08</x:v>
      </x:c>
      <x:c r="B457" s="5" t="str">
        <x:v>KRDS-SEC-062</x:v>
      </x:c>
      <x:c r="C457" s="5" t="str">
        <x:v>컴포넌트</x:v>
      </x:c>
      <x:c r="D457" s="5" t="str">
        <x:v>콘텐츠</x:v>
      </x:c>
      <x:c r="E457" s="5" t="str">
        <x:v>숨긴 콘텐츠</x:v>
      </x:c>
      <x:c r="F457" s="5" t="str">
        <x:v>사용성 가이드라인</x:v>
      </x:c>
      <x:c r="G457" s="5" t="str">
        <x:v>08</x:v>
      </x:c>
      <x:c r="H457" s="5" t="n">
        <x:v>748</x:v>
      </x:c>
      <x:c r="I457" s="5" t="n">
        <x:v>748</x:v>
      </x:c>
      <x:c r="J457" s="5" t="str">
        <x:v>751</x:v>
      </x:c>
      <x:c r="K457" s="5" t="str">
        <x:v>텍스트 편집기에 숨긴 콘텐츠를 제공할 수 있는 옵션을 제공한다.</x:v>
      </x:c>
      <x:c r="L457" s="5" t="str">
        <x:v>원문 세부기준</x:v>
      </x:c>
      <x:c r="M457" s="5" t="str">
        <x:v>추출 후 기본 구조 검토; 원문 적용수준·전체 맥락 재확인 필요</x:v>
      </x:c>
      <x:c r="N457" s="5" t="str">
        <x:v>UI-061
UI-115</x:v>
      </x:c>
      <x:c r="O457" s="5" t="str">
        <x:v>자동 추출 후보 / 공식 전수 체크리스트 아님</x:v>
      </x:c>
    </x:row>
    <x:row r="458" ht="26.399999618530273" hidden="0" customHeight="1">
      <x:c r="A458" s="5" t="str">
        <x:v>KRDS-SEC-062-U-09</x:v>
      </x:c>
      <x:c r="B458" s="5" t="str">
        <x:v>KRDS-SEC-062</x:v>
      </x:c>
      <x:c r="C458" s="5" t="str">
        <x:v>컴포넌트</x:v>
      </x:c>
      <x:c r="D458" s="5" t="str">
        <x:v>콘텐츠</x:v>
      </x:c>
      <x:c r="E458" s="5" t="str">
        <x:v>숨긴 콘텐츠</x:v>
      </x:c>
      <x:c r="F458" s="5" t="str">
        <x:v>사용성 가이드라인</x:v>
      </x:c>
      <x:c r="G458" s="5" t="str">
        <x:v>09</x:v>
      </x:c>
      <x:c r="H458" s="5" t="n">
        <x:v>748</x:v>
      </x:c>
      <x:c r="I458" s="5" t="n">
        <x:v>748</x:v>
      </x:c>
      <x:c r="J458" s="5" t="str">
        <x:v>751</x:v>
      </x:c>
      <x:c r="K458" s="5" t="str">
        <x:v>스크린 리더 테스트를 수행한다.</x:v>
      </x:c>
      <x:c r="L458" s="5" t="str">
        <x:v>원문 세부기준</x:v>
      </x:c>
      <x:c r="M458" s="5" t="str">
        <x:v>추출 후 기본 구조 검토; 원문 적용수준·전체 맥락 재확인 필요</x:v>
      </x:c>
      <x:c r="N458" s="5" t="str">
        <x:v>UI-061
UI-115</x:v>
      </x:c>
      <x:c r="O458" s="5" t="str">
        <x:v>자동 추출 후보 / 공식 전수 체크리스트 아님</x:v>
      </x:c>
    </x:row>
    <x:row r="459" ht="118.80000305175781" hidden="0" customHeight="1">
      <x:c r="A459" s="5" t="str">
        <x:v>KRDS-SEC-063-U-01</x:v>
      </x:c>
      <x:c r="B459" s="5" t="str">
        <x:v>KRDS-SEC-063</x:v>
      </x:c>
      <x:c r="C459" s="5" t="str">
        <x:v>기본 패턴</x:v>
      </x:c>
      <x:c r="D459" s="5" t="str">
        <x:v>패턴</x:v>
      </x:c>
      <x:c r="E459" s="5" t="str">
        <x:v>개인 식별 정보 입력</x:v>
      </x:c>
      <x:c r="F459" s="5" t="str">
        <x:v>사용성 가이드라인</x:v>
      </x:c>
      <x:c r="G459" s="5" t="str">
        <x:v>01</x:v>
      </x:c>
      <x:c r="H459" s="5" t="n">
        <x:v>757</x:v>
      </x:c>
      <x:c r="I459" s="5" t="n">
        <x:v>757</x:v>
      </x:c>
      <x:c r="J459" s="5" t="str">
        <x:v>757
757
758
758
759
760
764
767
769</x:v>
      </x:c>
      <x:c r="K459" s="5" t="str">
        <x:v>개인 식별 정보의 수집이 필요한지 확인한다.</x:v>
      </x:c>
      <x:c r="L459" s="5" t="str">
        <x:v>원문 세부기준</x:v>
      </x:c>
      <x:c r="M459" s="5" t="str">
        <x:v>추출 후 기본 구조 검토; 원문 적용수준·전체 맥락 재확인 필요</x:v>
      </x:c>
      <x:c r="N459" s="5" t="str">
        <x:v>UI-062</x:v>
      </x:c>
      <x:c r="O459" s="5" t="str">
        <x:v>자동 추출 후보 / 공식 전수 체크리스트 아님</x:v>
      </x:c>
    </x:row>
    <x:row r="460" ht="118.80000305175781" hidden="0" customHeight="1">
      <x:c r="A460" s="5" t="str">
        <x:v>KRDS-SEC-063-U-02</x:v>
      </x:c>
      <x:c r="B460" s="5" t="str">
        <x:v>KRDS-SEC-063</x:v>
      </x:c>
      <x:c r="C460" s="5" t="str">
        <x:v>기본 패턴</x:v>
      </x:c>
      <x:c r="D460" s="5" t="str">
        <x:v>패턴</x:v>
      </x:c>
      <x:c r="E460" s="5" t="str">
        <x:v>개인 식별 정보 입력</x:v>
      </x:c>
      <x:c r="F460" s="5" t="str">
        <x:v>사용성 가이드라인</x:v>
      </x:c>
      <x:c r="G460" s="5" t="str">
        <x:v>02</x:v>
      </x:c>
      <x:c r="H460" s="5" t="n">
        <x:v>757</x:v>
      </x:c>
      <x:c r="I460" s="5" t="n">
        <x:v>757</x:v>
      </x:c>
      <x:c r="J460" s="5" t="str">
        <x:v>757
757
758
758
759
761
765
768
770</x:v>
      </x:c>
      <x:c r="K460" s="5" t="str">
        <x:v>입력이 필요한 데이터의 용도를 명확하게 설명한다.</x:v>
      </x:c>
      <x:c r="L460" s="5" t="str">
        <x:v>원문 세부기준</x:v>
      </x:c>
      <x:c r="M460" s="5" t="str">
        <x:v>추출 후 기본 구조 검토; 원문 적용수준·전체 맥락 재확인 필요</x:v>
      </x:c>
      <x:c r="N460" s="5" t="str">
        <x:v>UI-062</x:v>
      </x:c>
      <x:c r="O460" s="5" t="str">
        <x:v>자동 추출 후보 / 공식 전수 체크리스트 아님</x:v>
      </x:c>
    </x:row>
    <x:row r="461" ht="92.4000015258789" hidden="0" customHeight="1">
      <x:c r="A461" s="5" t="str">
        <x:v>KRDS-SEC-063-U-03</x:v>
      </x:c>
      <x:c r="B461" s="5" t="str">
        <x:v>KRDS-SEC-063</x:v>
      </x:c>
      <x:c r="C461" s="5" t="str">
        <x:v>기본 패턴</x:v>
      </x:c>
      <x:c r="D461" s="5" t="str">
        <x:v>패턴</x:v>
      </x:c>
      <x:c r="E461" s="5" t="str">
        <x:v>개인 식별 정보 입력</x:v>
      </x:c>
      <x:c r="F461" s="5" t="str">
        <x:v>사용성 가이드라인</x:v>
      </x:c>
      <x:c r="G461" s="5" t="str">
        <x:v>03</x:v>
      </x:c>
      <x:c r="H461" s="5" t="n">
        <x:v>757</x:v>
      </x:c>
      <x:c r="I461" s="5" t="n">
        <x:v>757</x:v>
      </x:c>
      <x:c r="J461" s="5" t="str">
        <x:v>757
757
758
759
762
766
771</x:v>
      </x:c>
      <x:c r="K461" s="5" t="str">
        <x:v>개인 식별 정보 입력 필드에 복사와 붙여넣기를 허용한다.</x:v>
      </x:c>
      <x:c r="L461" s="5" t="str">
        <x:v>원문 세부기준</x:v>
      </x:c>
      <x:c r="M461" s="5" t="str">
        <x:v>추출 후 기본 구조 검토; 원문 적용수준·전체 맥락 재확인 필요</x:v>
      </x:c>
      <x:c r="N461" s="5" t="str">
        <x:v>UI-062</x:v>
      </x:c>
      <x:c r="O461" s="5" t="str">
        <x:v>자동 추출 후보 / 공식 전수 체크리스트 아님</x:v>
      </x:c>
    </x:row>
    <x:row r="462" ht="66" hidden="0" customHeight="1">
      <x:c r="A462" s="5" t="str">
        <x:v>KRDS-SEC-063-U-04</x:v>
      </x:c>
      <x:c r="B462" s="5" t="str">
        <x:v>KRDS-SEC-063</x:v>
      </x:c>
      <x:c r="C462" s="5" t="str">
        <x:v>기본 패턴</x:v>
      </x:c>
      <x:c r="D462" s="5" t="str">
        <x:v>패턴</x:v>
      </x:c>
      <x:c r="E462" s="5" t="str">
        <x:v>개인 식별 정보 입력</x:v>
      </x:c>
      <x:c r="F462" s="5" t="str">
        <x:v>사용성 가이드라인</x:v>
      </x:c>
      <x:c r="G462" s="5" t="str">
        <x:v>04</x:v>
      </x:c>
      <x:c r="H462" s="5" t="n">
        <x:v>757</x:v>
      </x:c>
      <x:c r="I462" s="5" t="n">
        <x:v>757</x:v>
      </x:c>
      <x:c r="J462" s="5" t="str">
        <x:v>757
758
759
763
771</x:v>
      </x:c>
      <x:c r="K462" s="5" t="str">
        <x:v>기본값을 설정하지 않는다.</x:v>
      </x:c>
      <x:c r="L462" s="5" t="str">
        <x:v>원문 세부기준</x:v>
      </x:c>
      <x:c r="M462" s="5" t="str">
        <x:v>추출 후 기본 구조 검토; 원문 적용수준·전체 맥락 재확인 필요</x:v>
      </x:c>
      <x:c r="N462" s="5" t="str">
        <x:v>UI-062</x:v>
      </x:c>
      <x:c r="O462" s="5" t="str">
        <x:v>자동 추출 후보 / 공식 전수 체크리스트 아님</x:v>
      </x:c>
    </x:row>
    <x:row r="463" ht="15" hidden="0" customHeight="1">
      <x:c r="A463" s="5" t="str">
        <x:v>KRDS-SEC-063-U-05</x:v>
      </x:c>
      <x:c r="B463" s="5" t="str">
        <x:v>KRDS-SEC-063</x:v>
      </x:c>
      <x:c r="C463" s="5" t="str">
        <x:v>기본 패턴</x:v>
      </x:c>
      <x:c r="D463" s="5" t="str">
        <x:v>패턴</x:v>
      </x:c>
      <x:c r="E463" s="5" t="str">
        <x:v>개인 식별 정보 입력</x:v>
      </x:c>
      <x:c r="F463" s="5" t="str">
        <x:v>사용성 가이드라인</x:v>
      </x:c>
      <x:c r="G463" s="5" t="str">
        <x:v>05</x:v>
      </x:c>
      <x:c r="H463" s="5" t="n">
        <x:v>758</x:v>
      </x:c>
      <x:c r="I463" s="5" t="n">
        <x:v>758</x:v>
      </x:c>
      <x:c r="J463" s="5" t="str">
        <x:v>772</x:v>
      </x:c>
      <x:c r="K463" s="5" t="str">
        <x:v>여러 개의 전화번호 입력 요청 시, 각 번호를 구분할 수 있는 레이블을 제공한다.</x:v>
      </x:c>
      <x:c r="L463" s="5" t="str">
        <x:v>원문 세부기준</x:v>
      </x:c>
      <x:c r="M463" s="5" t="str">
        <x:v>추출 후 기본 구조 검토; 원문 적용수준·전체 맥락 재확인 필요</x:v>
      </x:c>
      <x:c r="N463" s="5" t="str">
        <x:v>UI-062</x:v>
      </x:c>
      <x:c r="O463" s="5" t="str">
        <x:v>자동 추출 후보 / 공식 전수 체크리스트 아님</x:v>
      </x:c>
    </x:row>
    <x:row r="464" ht="15" hidden="0" customHeight="1">
      <x:c r="A464" s="5" t="str">
        <x:v>KRDS-SEC-063-U-06</x:v>
      </x:c>
      <x:c r="B464" s="5" t="str">
        <x:v>KRDS-SEC-063</x:v>
      </x:c>
      <x:c r="C464" s="5" t="str">
        <x:v>기본 패턴</x:v>
      </x:c>
      <x:c r="D464" s="5" t="str">
        <x:v>패턴</x:v>
      </x:c>
      <x:c r="E464" s="5" t="str">
        <x:v>개인 식별 정보 입력</x:v>
      </x:c>
      <x:c r="F464" s="5" t="str">
        <x:v>사용성 가이드라인</x:v>
      </x:c>
      <x:c r="G464" s="5" t="str">
        <x:v>06</x:v>
      </x:c>
      <x:c r="H464" s="5" t="n">
        <x:v>758</x:v>
      </x:c>
      <x:c r="I464" s="5" t="n">
        <x:v>758</x:v>
      </x:c>
      <x:c r="J464" s="5" t="str">
        <x:v>772</x:v>
      </x:c>
      <x:c r="K464" s="5" t="str">
        <x:v>여러 개의 전화번호 입력 요청 시, 주로 사용하는 번호를 지정할 수 있는 옵션을 제공한다.</x:v>
      </x:c>
      <x:c r="L464" s="5" t="str">
        <x:v>원문 세부기준</x:v>
      </x:c>
      <x:c r="M464" s="5" t="str">
        <x:v>추출 후 기본 구조 검토; 원문 적용수준·전체 맥락 재확인 필요</x:v>
      </x:c>
      <x:c r="N464" s="5" t="str">
        <x:v>UI-062</x:v>
      </x:c>
      <x:c r="O464" s="5" t="str">
        <x:v>자동 추출 후보 / 공식 전수 체크리스트 아님</x:v>
      </x:c>
    </x:row>
    <x:row r="465" ht="15" hidden="0" customHeight="1">
      <x:c r="A465" s="5" t="str">
        <x:v>KRDS-SEC-063-A-01</x:v>
      </x:c>
      <x:c r="B465" s="5" t="str">
        <x:v>KRDS-SEC-063</x:v>
      </x:c>
      <x:c r="C465" s="5" t="str">
        <x:v>기본 패턴</x:v>
      </x:c>
      <x:c r="D465" s="5" t="str">
        <x:v>패턴</x:v>
      </x:c>
      <x:c r="E465" s="5" t="str">
        <x:v>개인 식별 정보 입력</x:v>
      </x:c>
      <x:c r="F465" s="5" t="str">
        <x:v>접근성 가이드라인</x:v>
      </x:c>
      <x:c r="G465" s="5" t="str">
        <x:v>01</x:v>
      </x:c>
      <x:c r="H465" s="5" t="n">
        <x:v>773</x:v>
      </x:c>
      <x:c r="I465" s="5" t="n">
        <x:v>773</x:v>
      </x:c>
      <x:c r="J465" s="5" t="str"/>
      <x:c r="K465" s="5" t="str">
        <x:v>입력 필드에 자동 완성 속성을 설정한다.</x:v>
      </x:c>
      <x:c r="L465" s="5" t="str">
        <x:v>원문 세부기준</x:v>
      </x:c>
      <x:c r="M465" s="5" t="str">
        <x:v>추출 후 기본 구조 검토; 원문 적용수준·전체 맥락 재확인 필요</x:v>
      </x:c>
      <x:c r="N465" s="5" t="str">
        <x:v>UI-062</x:v>
      </x:c>
      <x:c r="O465" s="5" t="str">
        <x:v>자동 추출 후보 / 공식 전수 체크리스트 아님</x:v>
      </x:c>
    </x:row>
    <x:row r="466" ht="198" hidden="0" customHeight="1">
      <x:c r="A466" s="5" t="str">
        <x:v>KRDS-SEC-064-U-01</x:v>
      </x:c>
      <x:c r="B466" s="5" t="str">
        <x:v>KRDS-SEC-064</x:v>
      </x:c>
      <x:c r="C466" s="5" t="str">
        <x:v>기본 패턴</x:v>
      </x:c>
      <x:c r="D466" s="5" t="str">
        <x:v>패턴</x:v>
      </x:c>
      <x:c r="E466" s="5" t="str">
        <x:v>도움</x:v>
      </x:c>
      <x:c r="F466" s="5" t="str">
        <x:v>사용성 가이드라인</x:v>
      </x:c>
      <x:c r="G466" s="5" t="str">
        <x:v>01</x:v>
      </x:c>
      <x:c r="H466" s="5" t="n">
        <x:v>780</x:v>
      </x:c>
      <x:c r="I466" s="5" t="n">
        <x:v>780</x:v>
      </x:c>
      <x:c r="J466" s="5" t="str">
        <x:v>780
780
780
781
781
781
781
782
784
785
786
787
788
789
790</x:v>
      </x:c>
      <x:c r="K466" s="5" t="str">
        <x:v>과업의 난이도와 복잡성을 고려하여 사용자에게 적절한 도움을 제공한다.</x:v>
      </x:c>
      <x:c r="L466" s="5" t="str">
        <x:v>원문 세부기준</x:v>
      </x:c>
      <x:c r="M466" s="5" t="str">
        <x:v>추출 후 기본 구조 검토; 원문 적용수준·전체 맥락 재확인 필요</x:v>
      </x:c>
      <x:c r="N466" s="5" t="str">
        <x:v>UI-063</x:v>
      </x:c>
      <x:c r="O466" s="5" t="str">
        <x:v>자동 추출 후보 / 공식 전수 체크리스트 아님</x:v>
      </x:c>
    </x:row>
    <x:row r="467" ht="39.599998474121094" hidden="0" customHeight="1">
      <x:c r="A467" s="5" t="str">
        <x:v>KRDS-SEC-064-U-02</x:v>
      </x:c>
      <x:c r="B467" s="5" t="str">
        <x:v>KRDS-SEC-064</x:v>
      </x:c>
      <x:c r="C467" s="5" t="str">
        <x:v>기본 패턴</x:v>
      </x:c>
      <x:c r="D467" s="5" t="str">
        <x:v>패턴</x:v>
      </x:c>
      <x:c r="E467" s="5" t="str">
        <x:v>도움</x:v>
      </x:c>
      <x:c r="F467" s="5" t="str">
        <x:v>사용성 가이드라인</x:v>
      </x:c>
      <x:c r="G467" s="5" t="str">
        <x:v>02</x:v>
      </x:c>
      <x:c r="H467" s="5" t="n">
        <x:v>780</x:v>
      </x:c>
      <x:c r="I467" s="5" t="n">
        <x:v>780</x:v>
      </x:c>
      <x:c r="J467" s="5" t="str">
        <x:v>780
782
784</x:v>
      </x:c>
      <x:c r="K467" s="5" t="str">
        <x:v>도움말 콘텐츠는 명확하고 간결한 내용으로 작성한다.</x:v>
      </x:c>
      <x:c r="L467" s="5" t="str">
        <x:v>원문 세부기준</x:v>
      </x:c>
      <x:c r="M467" s="5" t="str">
        <x:v>추출 후 기본 구조 검토; 원문 적용수준·전체 맥락 재확인 필요</x:v>
      </x:c>
      <x:c r="N467" s="5" t="str">
        <x:v>UI-063</x:v>
      </x:c>
      <x:c r="O467" s="5" t="str">
        <x:v>자동 추출 후보 / 공식 전수 체크리스트 아님</x:v>
      </x:c>
    </x:row>
    <x:row r="468" ht="39.599998474121094" hidden="0" customHeight="1">
      <x:c r="A468" s="5" t="str">
        <x:v>KRDS-SEC-064-U-03</x:v>
      </x:c>
      <x:c r="B468" s="5" t="str">
        <x:v>KRDS-SEC-064</x:v>
      </x:c>
      <x:c r="C468" s="5" t="str">
        <x:v>기본 패턴</x:v>
      </x:c>
      <x:c r="D468" s="5" t="str">
        <x:v>패턴</x:v>
      </x:c>
      <x:c r="E468" s="5" t="str">
        <x:v>도움</x:v>
      </x:c>
      <x:c r="F468" s="5" t="str">
        <x:v>사용성 가이드라인</x:v>
      </x:c>
      <x:c r="G468" s="5" t="str">
        <x:v>03</x:v>
      </x:c>
      <x:c r="H468" s="5" t="n">
        <x:v>780</x:v>
      </x:c>
      <x:c r="I468" s="5" t="n">
        <x:v>780</x:v>
      </x:c>
      <x:c r="J468" s="5" t="str">
        <x:v>780
782
784</x:v>
      </x:c>
      <x:c r="K468" s="5" t="str">
        <x:v>도움말 콘텐츠는 포괄적이고 유연한 내용으로 작성한다.</x:v>
      </x:c>
      <x:c r="L468" s="5" t="str">
        <x:v>원문 세부기준</x:v>
      </x:c>
      <x:c r="M468" s="5" t="str">
        <x:v>추출 후 기본 구조 검토; 원문 적용수준·전체 맥락 재확인 필요</x:v>
      </x:c>
      <x:c r="N468" s="5" t="str">
        <x:v>UI-063</x:v>
      </x:c>
      <x:c r="O468" s="5" t="str">
        <x:v>자동 추출 후보 / 공식 전수 체크리스트 아님</x:v>
      </x:c>
    </x:row>
    <x:row r="469" ht="15" hidden="0" customHeight="1">
      <x:c r="A469" s="5" t="str">
        <x:v>KRDS-SEC-064-U-04</x:v>
      </x:c>
      <x:c r="B469" s="5" t="str">
        <x:v>KRDS-SEC-064</x:v>
      </x:c>
      <x:c r="C469" s="5" t="str">
        <x:v>기본 패턴</x:v>
      </x:c>
      <x:c r="D469" s="5" t="str">
        <x:v>패턴</x:v>
      </x:c>
      <x:c r="E469" s="5" t="str">
        <x:v>도움</x:v>
      </x:c>
      <x:c r="F469" s="5" t="str">
        <x:v>사용성 가이드라인</x:v>
      </x:c>
      <x:c r="G469" s="5" t="str">
        <x:v>04</x:v>
      </x:c>
      <x:c r="H469" s="5" t="n">
        <x:v>780</x:v>
      </x:c>
      <x:c r="I469" s="5" t="n">
        <x:v>780</x:v>
      </x:c>
      <x:c r="J469" s="5" t="str">
        <x:v>783</x:v>
      </x:c>
      <x:c r="K469" s="5" t="str">
        <x:v>사용자 요청에 의한 도움말 콘텐츠는 반응형 방식으로도 사용할 수 있도록 한다.</x:v>
      </x:c>
      <x:c r="L469" s="5" t="str">
        <x:v>원문 세부기준</x:v>
      </x:c>
      <x:c r="M469" s="5" t="str">
        <x:v>추출 후 기본 구조 검토; 원문 적용수준·전체 맥락 재확인 필요</x:v>
      </x:c>
      <x:c r="N469" s="5" t="str">
        <x:v>UI-063</x:v>
      </x:c>
      <x:c r="O469" s="5" t="str">
        <x:v>자동 추출 후보 / 공식 전수 체크리스트 아님</x:v>
      </x:c>
    </x:row>
    <x:row r="470" ht="15" hidden="0" customHeight="1">
      <x:c r="A470" s="5" t="str">
        <x:v>KRDS-SEC-064-U-05</x:v>
      </x:c>
      <x:c r="B470" s="5" t="str">
        <x:v>KRDS-SEC-064</x:v>
      </x:c>
      <x:c r="C470" s="5" t="str">
        <x:v>기본 패턴</x:v>
      </x:c>
      <x:c r="D470" s="5" t="str">
        <x:v>패턴</x:v>
      </x:c>
      <x:c r="E470" s="5" t="str">
        <x:v>도움</x:v>
      </x:c>
      <x:c r="F470" s="5" t="str">
        <x:v>사용성 가이드라인</x:v>
      </x:c>
      <x:c r="G470" s="5" t="str">
        <x:v>05</x:v>
      </x:c>
      <x:c r="H470" s="5" t="n">
        <x:v>780</x:v>
      </x:c>
      <x:c r="I470" s="5" t="n">
        <x:v>780</x:v>
      </x:c>
      <x:c r="J470" s="5" t="str">
        <x:v>783</x:v>
      </x:c>
      <x:c r="K470" s="5" t="str">
        <x:v>동일한 페이지 제목, 버튼 이름을 지칭하기 위한 텍스트는 모든 서비스에서 동일하게 사용한다.</x:v>
      </x:c>
      <x:c r="L470" s="5" t="str">
        <x:v>원문 세부기준</x:v>
      </x:c>
      <x:c r="M470" s="5" t="str">
        <x:v>추출 후 기본 구조 검토; 원문 적용수준·전체 맥락 재확인 필요</x:v>
      </x:c>
      <x:c r="N470" s="5" t="str">
        <x:v>UI-063</x:v>
      </x:c>
      <x:c r="O470" s="5" t="str">
        <x:v>자동 추출 후보 / 공식 전수 체크리스트 아님</x:v>
      </x:c>
    </x:row>
    <x:row r="471" ht="15" hidden="0" customHeight="1">
      <x:c r="A471" s="5" t="str">
        <x:v>KRDS-SEC-064-U-06</x:v>
      </x:c>
      <x:c r="B471" s="5" t="str">
        <x:v>KRDS-SEC-064</x:v>
      </x:c>
      <x:c r="C471" s="5" t="str">
        <x:v>기본 패턴</x:v>
      </x:c>
      <x:c r="D471" s="5" t="str">
        <x:v>패턴</x:v>
      </x:c>
      <x:c r="E471" s="5" t="str">
        <x:v>도움</x:v>
      </x:c>
      <x:c r="F471" s="5" t="str">
        <x:v>사용성 가이드라인</x:v>
      </x:c>
      <x:c r="G471" s="5" t="str">
        <x:v>06</x:v>
      </x:c>
      <x:c r="H471" s="5" t="n">
        <x:v>780</x:v>
      </x:c>
      <x:c r="I471" s="5" t="n">
        <x:v>780</x:v>
      </x:c>
      <x:c r="J471" s="5" t="str">
        <x:v>783</x:v>
      </x:c>
      <x:c r="K471" s="5" t="str">
        <x:v>관련 화면/리소스 링크는 새 탭에서 화면이 연결되도록 제공한다.</x:v>
      </x:c>
      <x:c r="L471" s="5" t="str">
        <x:v>원문 세부기준</x:v>
      </x:c>
      <x:c r="M471" s="5" t="str">
        <x:v>추출 후 기본 구조 검토; 원문 적용수준·전체 맥락 재확인 필요</x:v>
      </x:c>
      <x:c r="N471" s="5" t="str">
        <x:v>UI-063</x:v>
      </x:c>
      <x:c r="O471" s="5" t="str">
        <x:v>자동 추출 후보 / 공식 전수 체크리스트 아님</x:v>
      </x:c>
    </x:row>
    <x:row r="472" ht="15" hidden="0" customHeight="1">
      <x:c r="A472" s="5" t="str">
        <x:v>KRDS-SEC-065-U-01</x:v>
      </x:c>
      <x:c r="B472" s="5" t="str">
        <x:v>KRDS-SEC-065</x:v>
      </x:c>
      <x:c r="C472" s="5" t="str">
        <x:v>기본 패턴</x:v>
      </x:c>
      <x:c r="D472" s="5" t="str">
        <x:v>패턴</x:v>
      </x:c>
      <x:c r="E472" s="5" t="str">
        <x:v>동의</x:v>
      </x:c>
      <x:c r="F472" s="5" t="str">
        <x:v>사용성 가이드라인</x:v>
      </x:c>
      <x:c r="G472" s="5" t="str">
        <x:v>01</x:v>
      </x:c>
      <x:c r="H472" s="5" t="n">
        <x:v>793</x:v>
      </x:c>
      <x:c r="I472" s="5" t="n">
        <x:v>793</x:v>
      </x:c>
      <x:c r="J472" s="5" t="str">
        <x:v>794</x:v>
      </x:c>
      <x:c r="K472" s="5" t="str">
        <x:v>동의하지 않음 옵션을 제공한다.</x:v>
      </x:c>
      <x:c r="L472" s="5" t="str">
        <x:v>원문 세부기준</x:v>
      </x:c>
      <x:c r="M472" s="5" t="str">
        <x:v>추출 후 기본 구조 검토; 원문 적용수준·전체 맥락 재확인 필요</x:v>
      </x:c>
      <x:c r="N472" s="5" t="str">
        <x:v>UI-064</x:v>
      </x:c>
      <x:c r="O472" s="5" t="str">
        <x:v>자동 추출 후보 / 공식 전수 체크리스트 아님</x:v>
      </x:c>
    </x:row>
    <x:row r="473" ht="15" hidden="0" customHeight="1">
      <x:c r="A473" s="5" t="str">
        <x:v>KRDS-SEC-065-U-02</x:v>
      </x:c>
      <x:c r="B473" s="5" t="str">
        <x:v>KRDS-SEC-065</x:v>
      </x:c>
      <x:c r="C473" s="5" t="str">
        <x:v>기본 패턴</x:v>
      </x:c>
      <x:c r="D473" s="5" t="str">
        <x:v>패턴</x:v>
      </x:c>
      <x:c r="E473" s="5" t="str">
        <x:v>동의</x:v>
      </x:c>
      <x:c r="F473" s="5" t="str">
        <x:v>사용성 가이드라인</x:v>
      </x:c>
      <x:c r="G473" s="5" t="str">
        <x:v>02</x:v>
      </x:c>
      <x:c r="H473" s="5" t="n">
        <x:v>793</x:v>
      </x:c>
      <x:c r="I473" s="5" t="n">
        <x:v>793</x:v>
      </x:c>
      <x:c r="J473" s="5" t="str">
        <x:v>794</x:v>
      </x:c>
      <x:c r="K473" s="5" t="str">
        <x:v>동의함/동의하지 않음 옵션은 구분하기 쉽게 표현한다.</x:v>
      </x:c>
      <x:c r="L473" s="5" t="str">
        <x:v>원문 세부기준</x:v>
      </x:c>
      <x:c r="M473" s="5" t="str">
        <x:v>추출 후 기본 구조 검토; 원문 적용수준·전체 맥락 재확인 필요</x:v>
      </x:c>
      <x:c r="N473" s="5" t="str">
        <x:v>UI-064</x:v>
      </x:c>
      <x:c r="O473" s="5" t="str">
        <x:v>자동 추출 후보 / 공식 전수 체크리스트 아님</x:v>
      </x:c>
    </x:row>
    <x:row r="474" ht="15" hidden="0" customHeight="1">
      <x:c r="A474" s="5" t="str">
        <x:v>KRDS-SEC-065-U-03</x:v>
      </x:c>
      <x:c r="B474" s="5" t="str">
        <x:v>KRDS-SEC-065</x:v>
      </x:c>
      <x:c r="C474" s="5" t="str">
        <x:v>기본 패턴</x:v>
      </x:c>
      <x:c r="D474" s="5" t="str">
        <x:v>패턴</x:v>
      </x:c>
      <x:c r="E474" s="5" t="str">
        <x:v>동의</x:v>
      </x:c>
      <x:c r="F474" s="5" t="str">
        <x:v>사용성 가이드라인</x:v>
      </x:c>
      <x:c r="G474" s="5" t="str">
        <x:v>03</x:v>
      </x:c>
      <x:c r="H474" s="5" t="n">
        <x:v>793</x:v>
      </x:c>
      <x:c r="I474" s="5" t="n">
        <x:v>793</x:v>
      </x:c>
      <x:c r="J474" s="5" t="str">
        <x:v>794</x:v>
      </x:c>
      <x:c r="K474" s="5" t="str">
        <x:v>필수 항목과 선택 항목 정보를 제공하고 명확하게 구분될 수 있도록 표현한다.</x:v>
      </x:c>
      <x:c r="L474" s="5" t="str">
        <x:v>원문 세부기준</x:v>
      </x:c>
      <x:c r="M474" s="5" t="str">
        <x:v>추출 후 기본 구조 검토; 원문 적용수준·전체 맥락 재확인 필요</x:v>
      </x:c>
      <x:c r="N474" s="5" t="str">
        <x:v>UI-064</x:v>
      </x:c>
      <x:c r="O474" s="5" t="str">
        <x:v>자동 추출 후보 / 공식 전수 체크리스트 아님</x:v>
      </x:c>
    </x:row>
    <x:row r="475" ht="15" hidden="0" customHeight="1">
      <x:c r="A475" s="5" t="str">
        <x:v>KRDS-SEC-065-A-01</x:v>
      </x:c>
      <x:c r="B475" s="5" t="str">
        <x:v>KRDS-SEC-065</x:v>
      </x:c>
      <x:c r="C475" s="5" t="str">
        <x:v>기본 패턴</x:v>
      </x:c>
      <x:c r="D475" s="5" t="str">
        <x:v>패턴</x:v>
      </x:c>
      <x:c r="E475" s="5" t="str">
        <x:v>동의</x:v>
      </x:c>
      <x:c r="F475" s="5" t="str">
        <x:v>접근성 가이드라인</x:v>
      </x:c>
      <x:c r="G475" s="5" t="str">
        <x:v>01</x:v>
      </x:c>
      <x:c r="H475" s="5" t="n">
        <x:v>795</x:v>
      </x:c>
      <x:c r="I475" s="5" t="n">
        <x:v>795</x:v>
      </x:c>
      <x:c r="J475" s="5" t="str"/>
      <x:c r="K475" s="5" t="str">
        <x:v>키보드를 이용하여 약관 내용을 확인할 수 있도록 제공한다.</x:v>
      </x:c>
      <x:c r="L475" s="5" t="str">
        <x:v>원문 세부기준</x:v>
      </x:c>
      <x:c r="M475" s="5" t="str">
        <x:v>추출 후 기본 구조 검토; 원문 적용수준·전체 맥락 재확인 필요</x:v>
      </x:c>
      <x:c r="N475" s="5" t="str">
        <x:v>UI-064</x:v>
      </x:c>
      <x:c r="O475" s="5" t="str">
        <x:v>자동 추출 후보 / 공식 전수 체크리스트 아님</x:v>
      </x:c>
    </x:row>
    <x:row r="476" ht="15" hidden="0" customHeight="1">
      <x:c r="A476" s="5" t="str">
        <x:v>KRDS-SEC-065-A-02</x:v>
      </x:c>
      <x:c r="B476" s="5" t="str">
        <x:v>KRDS-SEC-065</x:v>
      </x:c>
      <x:c r="C476" s="5" t="str">
        <x:v>기본 패턴</x:v>
      </x:c>
      <x:c r="D476" s="5" t="str">
        <x:v>패턴</x:v>
      </x:c>
      <x:c r="E476" s="5" t="str">
        <x:v>동의</x:v>
      </x:c>
      <x:c r="F476" s="5" t="str">
        <x:v>접근성 가이드라인</x:v>
      </x:c>
      <x:c r="G476" s="5" t="str">
        <x:v>02</x:v>
      </x:c>
      <x:c r="H476" s="5" t="n">
        <x:v>795</x:v>
      </x:c>
      <x:c r="I476" s="5" t="n">
        <x:v>795</x:v>
      </x:c>
      <x:c r="J476" s="5" t="str"/>
      <x:c r="K476" s="5" t="str">
        <x:v>약관 내용을 적절하게 구조화하여 제공한다.</x:v>
      </x:c>
      <x:c r="L476" s="5" t="str">
        <x:v>원문 세부기준</x:v>
      </x:c>
      <x:c r="M476" s="5" t="str">
        <x:v>추출 후 기본 구조 검토; 원문 적용수준·전체 맥락 재확인 필요</x:v>
      </x:c>
      <x:c r="N476" s="5" t="str">
        <x:v>UI-064</x:v>
      </x:c>
      <x:c r="O476" s="5" t="str">
        <x:v>자동 추출 후보 / 공식 전수 체크리스트 아님</x:v>
      </x:c>
    </x:row>
    <x:row r="477" ht="15" hidden="0" customHeight="1">
      <x:c r="A477" s="5" t="str">
        <x:v>KRDS-SEC-065-A-03</x:v>
      </x:c>
      <x:c r="B477" s="5" t="str">
        <x:v>KRDS-SEC-065</x:v>
      </x:c>
      <x:c r="C477" s="5" t="str">
        <x:v>기본 패턴</x:v>
      </x:c>
      <x:c r="D477" s="5" t="str">
        <x:v>패턴</x:v>
      </x:c>
      <x:c r="E477" s="5" t="str">
        <x:v>동의</x:v>
      </x:c>
      <x:c r="F477" s="5" t="str">
        <x:v>접근성 가이드라인</x:v>
      </x:c>
      <x:c r="G477" s="5" t="str">
        <x:v>03</x:v>
      </x:c>
      <x:c r="H477" s="5" t="n">
        <x:v>795</x:v>
      </x:c>
      <x:c r="I477" s="5" t="n">
        <x:v>795</x:v>
      </x:c>
      <x:c r="J477" s="5" t="str"/>
      <x:c r="K477" s="5" t="str">
        <x:v>동의함/동의하지 않음 옵션에 설명을 제공한다.</x:v>
      </x:c>
      <x:c r="L477" s="5" t="str">
        <x:v>원문 세부기준</x:v>
      </x:c>
      <x:c r="M477" s="5" t="str">
        <x:v>추출 후 기본 구조 검토; 원문 적용수준·전체 맥락 재확인 필요</x:v>
      </x:c>
      <x:c r="N477" s="5" t="str">
        <x:v>UI-064</x:v>
      </x:c>
      <x:c r="O477" s="5" t="str">
        <x:v>자동 추출 후보 / 공식 전수 체크리스트 아님</x:v>
      </x:c>
    </x:row>
    <x:row r="478" ht="15" hidden="0" customHeight="1">
      <x:c r="A478" s="5" t="str">
        <x:v>KRDS-SEC-066-U-01</x:v>
      </x:c>
      <x:c r="B478" s="5" t="str">
        <x:v>KRDS-SEC-066</x:v>
      </x:c>
      <x:c r="C478" s="5" t="str">
        <x:v>기본 패턴</x:v>
      </x:c>
      <x:c r="D478" s="5" t="str">
        <x:v>패턴</x:v>
      </x:c>
      <x:c r="E478" s="5" t="str">
        <x:v>목록 탐색</x:v>
      </x:c>
      <x:c r="F478" s="5" t="str">
        <x:v>사용성 가이드라인</x:v>
      </x:c>
      <x:c r="G478" s="5" t="str">
        <x:v>01</x:v>
      </x:c>
      <x:c r="H478" s="5" t="n">
        <x:v>799</x:v>
      </x:c>
      <x:c r="I478" s="5" t="n">
        <x:v>799</x:v>
      </x:c>
      <x:c r="J478" s="5" t="str">
        <x:v>800</x:v>
      </x:c>
      <x:c r="K478" s="5" t="str">
        <x:v>중요한 항목은 목록의 상단에 배치한다.</x:v>
      </x:c>
      <x:c r="L478" s="5" t="str">
        <x:v>원문 세부기준</x:v>
      </x:c>
      <x:c r="M478" s="5" t="str">
        <x:v>추출 후 기본 구조 검토; 원문 적용수준·전체 맥락 재확인 필요</x:v>
      </x:c>
      <x:c r="N478" s="5" t="str">
        <x:v>UI-065</x:v>
      </x:c>
      <x:c r="O478" s="5" t="str">
        <x:v>자동 추출 후보 / 공식 전수 체크리스트 아님</x:v>
      </x:c>
    </x:row>
    <x:row r="479" ht="15" hidden="0" customHeight="1">
      <x:c r="A479" s="5" t="str">
        <x:v>KRDS-SEC-066-U-02</x:v>
      </x:c>
      <x:c r="B479" s="5" t="str">
        <x:v>KRDS-SEC-066</x:v>
      </x:c>
      <x:c r="C479" s="5" t="str">
        <x:v>기본 패턴</x:v>
      </x:c>
      <x:c r="D479" s="5" t="str">
        <x:v>패턴</x:v>
      </x:c>
      <x:c r="E479" s="5" t="str">
        <x:v>목록 탐색</x:v>
      </x:c>
      <x:c r="F479" s="5" t="str">
        <x:v>사용성 가이드라인</x:v>
      </x:c>
      <x:c r="G479" s="5" t="str">
        <x:v>02</x:v>
      </x:c>
      <x:c r="H479" s="5" t="n">
        <x:v>799</x:v>
      </x:c>
      <x:c r="I479" s="5" t="n">
        <x:v>799</x:v>
      </x:c>
      <x:c r="J479" s="5" t="str">
        <x:v>800</x:v>
      </x:c>
      <x:c r="K479" s="5" t="str">
        <x:v>항목을 의미 있는 단위로 구분하고 논리적인 순서에 따라 정렬한다.</x:v>
      </x:c>
      <x:c r="L479" s="5" t="str">
        <x:v>원문 세부기준</x:v>
      </x:c>
      <x:c r="M479" s="5" t="str">
        <x:v>추출 후 기본 구조 검토; 원문 적용수준·전체 맥락 재확인 필요</x:v>
      </x:c>
      <x:c r="N479" s="5" t="str">
        <x:v>UI-065</x:v>
      </x:c>
      <x:c r="O479" s="5" t="str">
        <x:v>자동 추출 후보 / 공식 전수 체크리스트 아님</x:v>
      </x:c>
    </x:row>
    <x:row r="480" ht="15" hidden="0" customHeight="1">
      <x:c r="A480" s="5" t="str">
        <x:v>KRDS-SEC-066-U-03</x:v>
      </x:c>
      <x:c r="B480" s="5" t="str">
        <x:v>KRDS-SEC-066</x:v>
      </x:c>
      <x:c r="C480" s="5" t="str">
        <x:v>기본 패턴</x:v>
      </x:c>
      <x:c r="D480" s="5" t="str">
        <x:v>패턴</x:v>
      </x:c>
      <x:c r="E480" s="5" t="str">
        <x:v>목록 탐색</x:v>
      </x:c>
      <x:c r="F480" s="5" t="str">
        <x:v>사용성 가이드라인</x:v>
      </x:c>
      <x:c r="G480" s="5" t="str">
        <x:v>03</x:v>
      </x:c>
      <x:c r="H480" s="5" t="n">
        <x:v>799</x:v>
      </x:c>
      <x:c r="I480" s="5" t="n">
        <x:v>799</x:v>
      </x:c>
      <x:c r="J480" s="5" t="str">
        <x:v>800</x:v>
      </x:c>
      <x:c r="K480" s="5" t="str">
        <x:v>항목을 명확하게 구분한다.</x:v>
      </x:c>
      <x:c r="L480" s="5" t="str">
        <x:v>원문 세부기준</x:v>
      </x:c>
      <x:c r="M480" s="5" t="str">
        <x:v>추출 후 기본 구조 검토; 원문 적용수준·전체 맥락 재확인 필요</x:v>
      </x:c>
      <x:c r="N480" s="5" t="str">
        <x:v>UI-065</x:v>
      </x:c>
      <x:c r="O480" s="5" t="str">
        <x:v>자동 추출 후보 / 공식 전수 체크리스트 아님</x:v>
      </x:c>
    </x:row>
    <x:row r="481" ht="15" hidden="0" customHeight="1">
      <x:c r="A481" s="5" t="str">
        <x:v>KRDS-SEC-066-U-04</x:v>
      </x:c>
      <x:c r="B481" s="5" t="str">
        <x:v>KRDS-SEC-066</x:v>
      </x:c>
      <x:c r="C481" s="5" t="str">
        <x:v>기본 패턴</x:v>
      </x:c>
      <x:c r="D481" s="5" t="str">
        <x:v>패턴</x:v>
      </x:c>
      <x:c r="E481" s="5" t="str">
        <x:v>목록 탐색</x:v>
      </x:c>
      <x:c r="F481" s="5" t="str">
        <x:v>사용성 가이드라인</x:v>
      </x:c>
      <x:c r="G481" s="5" t="str">
        <x:v>04</x:v>
      </x:c>
      <x:c r="H481" s="5" t="n">
        <x:v>799</x:v>
      </x:c>
      <x:c r="I481" s="5" t="n">
        <x:v>799</x:v>
      </x:c>
      <x:c r="J481" s="5" t="str">
        <x:v>801</x:v>
      </x:c>
      <x:c r="K481" s="5" t="str">
        <x:v>강조를 위한 시각적 표현을 과도하게 사용하지 않는다.</x:v>
      </x:c>
      <x:c r="L481" s="5" t="str">
        <x:v>원문 세부기준</x:v>
      </x:c>
      <x:c r="M481" s="5" t="str">
        <x:v>추출 후 기본 구조 검토; 원문 적용수준·전체 맥락 재확인 필요</x:v>
      </x:c>
      <x:c r="N481" s="5" t="str">
        <x:v>UI-065</x:v>
      </x:c>
      <x:c r="O481" s="5" t="str">
        <x:v>자동 추출 후보 / 공식 전수 체크리스트 아님</x:v>
      </x:c>
    </x:row>
    <x:row r="482" ht="15" hidden="0" customHeight="1">
      <x:c r="A482" s="5" t="str">
        <x:v>KRDS-SEC-066-U-05</x:v>
      </x:c>
      <x:c r="B482" s="5" t="str">
        <x:v>KRDS-SEC-066</x:v>
      </x:c>
      <x:c r="C482" s="5" t="str">
        <x:v>기본 패턴</x:v>
      </x:c>
      <x:c r="D482" s="5" t="str">
        <x:v>패턴</x:v>
      </x:c>
      <x:c r="E482" s="5" t="str">
        <x:v>목록 탐색</x:v>
      </x:c>
      <x:c r="F482" s="5" t="str">
        <x:v>사용성 가이드라인</x:v>
      </x:c>
      <x:c r="G482" s="5" t="str">
        <x:v>05</x:v>
      </x:c>
      <x:c r="H482" s="5" t="n">
        <x:v>799</x:v>
      </x:c>
      <x:c r="I482" s="5" t="n">
        <x:v>799</x:v>
      </x:c>
      <x:c r="J482" s="5" t="str">
        <x:v>801</x:v>
      </x:c>
      <x:c r="K482" s="5" t="str">
        <x:v>긴 목록은 페이지 등으로 단위를 나누어 제공한다.</x:v>
      </x:c>
      <x:c r="L482" s="5" t="str">
        <x:v>원문 세부기준</x:v>
      </x:c>
      <x:c r="M482" s="5" t="str">
        <x:v>추출 후 기본 구조 검토; 원문 적용수준·전체 맥락 재확인 필요</x:v>
      </x:c>
      <x:c r="N482" s="5" t="str">
        <x:v>UI-065</x:v>
      </x:c>
      <x:c r="O482" s="5" t="str">
        <x:v>자동 추출 후보 / 공식 전수 체크리스트 아님</x:v>
      </x:c>
    </x:row>
    <x:row r="483" ht="15" hidden="0" customHeight="1">
      <x:c r="A483" s="5" t="str">
        <x:v>KRDS-SEC-066-U-06</x:v>
      </x:c>
      <x:c r="B483" s="5" t="str">
        <x:v>KRDS-SEC-066</x:v>
      </x:c>
      <x:c r="C483" s="5" t="str">
        <x:v>기본 패턴</x:v>
      </x:c>
      <x:c r="D483" s="5" t="str">
        <x:v>패턴</x:v>
      </x:c>
      <x:c r="E483" s="5" t="str">
        <x:v>목록 탐색</x:v>
      </x:c>
      <x:c r="F483" s="5" t="str">
        <x:v>사용성 가이드라인</x:v>
      </x:c>
      <x:c r="G483" s="5" t="str">
        <x:v>06</x:v>
      </x:c>
      <x:c r="H483" s="5" t="n">
        <x:v>799</x:v>
      </x:c>
      <x:c r="I483" s="5" t="n">
        <x:v>799</x:v>
      </x:c>
      <x:c r="J483" s="5" t="str">
        <x:v>801</x:v>
      </x:c>
      <x:c r="K483" s="5" t="str">
        <x:v>필터링 또는 검색 기능을 제공한다.</x:v>
      </x:c>
      <x:c r="L483" s="5" t="str">
        <x:v>원문 세부기준</x:v>
      </x:c>
      <x:c r="M483" s="5" t="str">
        <x:v>추출 후 기본 구조 검토; 원문 적용수준·전체 맥락 재확인 필요</x:v>
      </x:c>
      <x:c r="N483" s="5" t="str">
        <x:v>UI-065</x:v>
      </x:c>
      <x:c r="O483" s="5" t="str">
        <x:v>자동 추출 후보 / 공식 전수 체크리스트 아님</x:v>
      </x:c>
    </x:row>
    <x:row r="484" ht="15" hidden="0" customHeight="1">
      <x:c r="A484" s="5" t="str">
        <x:v>KRDS-SEC-066-A-01</x:v>
      </x:c>
      <x:c r="B484" s="5" t="str">
        <x:v>KRDS-SEC-066</x:v>
      </x:c>
      <x:c r="C484" s="5" t="str">
        <x:v>기본 패턴</x:v>
      </x:c>
      <x:c r="D484" s="5" t="str">
        <x:v>패턴</x:v>
      </x:c>
      <x:c r="E484" s="5" t="str">
        <x:v>목록 탐색</x:v>
      </x:c>
      <x:c r="F484" s="5" t="str">
        <x:v>접근성 가이드라인</x:v>
      </x:c>
      <x:c r="G484" s="5" t="str">
        <x:v>01</x:v>
      </x:c>
      <x:c r="H484" s="5" t="n">
        <x:v>802</x:v>
      </x:c>
      <x:c r="I484" s="5" t="n">
        <x:v>802</x:v>
      </x:c>
      <x:c r="J484" s="5" t="str"/>
      <x:c r="K484" s="5" t="str">
        <x:v>정보 전달을 위해 아이콘 이미지를 사용하는 경우 대체 텍스트를 제공한다.</x:v>
      </x:c>
      <x:c r="L484" s="5" t="str">
        <x:v>원문 세부기준</x:v>
      </x:c>
      <x:c r="M484" s="5" t="str">
        <x:v>추출 후 기본 구조 검토; 원문 적용수준·전체 맥락 재확인 필요</x:v>
      </x:c>
      <x:c r="N484" s="5" t="str">
        <x:v>UI-065</x:v>
      </x:c>
      <x:c r="O484" s="5" t="str">
        <x:v>자동 추출 후보 / 공식 전수 체크리스트 아님</x:v>
      </x:c>
    </x:row>
    <x:row r="485" ht="15" hidden="0" customHeight="1">
      <x:c r="A485" s="5" t="str">
        <x:v>KRDS-SEC-066-A-02</x:v>
      </x:c>
      <x:c r="B485" s="5" t="str">
        <x:v>KRDS-SEC-066</x:v>
      </x:c>
      <x:c r="C485" s="5" t="str">
        <x:v>기본 패턴</x:v>
      </x:c>
      <x:c r="D485" s="5" t="str">
        <x:v>패턴</x:v>
      </x:c>
      <x:c r="E485" s="5" t="str">
        <x:v>목록 탐색</x:v>
      </x:c>
      <x:c r="F485" s="5" t="str">
        <x:v>접근성 가이드라인</x:v>
      </x:c>
      <x:c r="G485" s="5" t="str">
        <x:v>02</x:v>
      </x:c>
      <x:c r="H485" s="5" t="n">
        <x:v>802</x:v>
      </x:c>
      <x:c r="I485" s="5" t="n">
        <x:v>802</x:v>
      </x:c>
      <x:c r="J485" s="5" t="str"/>
      <x:c r="K485" s="5" t="str">
        <x:v>첨부파일 아이콘 이미지에 적절한 대체 텍스트를 제공한다.</x:v>
      </x:c>
      <x:c r="L485" s="5" t="str">
        <x:v>원문 세부기준</x:v>
      </x:c>
      <x:c r="M485" s="5" t="str">
        <x:v>추출 후 기본 구조 검토; 원문 적용수준·전체 맥락 재확인 필요</x:v>
      </x:c>
      <x:c r="N485" s="5" t="str">
        <x:v>UI-065</x:v>
      </x:c>
      <x:c r="O485" s="5" t="str">
        <x:v>자동 추출 후보 / 공식 전수 체크리스트 아님</x:v>
      </x:c>
    </x:row>
    <x:row r="486" ht="15" hidden="0" customHeight="1">
      <x:c r="A486" s="5" t="str">
        <x:v>KRDS-SEC-066-A-03</x:v>
      </x:c>
      <x:c r="B486" s="5" t="str">
        <x:v>KRDS-SEC-066</x:v>
      </x:c>
      <x:c r="C486" s="5" t="str">
        <x:v>기본 패턴</x:v>
      </x:c>
      <x:c r="D486" s="5" t="str">
        <x:v>패턴</x:v>
      </x:c>
      <x:c r="E486" s="5" t="str">
        <x:v>목록 탐색</x:v>
      </x:c>
      <x:c r="F486" s="5" t="str">
        <x:v>접근성 가이드라인</x:v>
      </x:c>
      <x:c r="G486" s="5" t="str">
        <x:v>03</x:v>
      </x:c>
      <x:c r="H486" s="5" t="n">
        <x:v>802</x:v>
      </x:c>
      <x:c r="I486" s="5" t="n">
        <x:v>802</x:v>
      </x:c>
      <x:c r="J486" s="5" t="str"/>
      <x:c r="K486" s="5" t="str">
        <x:v>시각적으로 표현된 데이터의 구조 정보가 프로그램적으로 전달되도록 한다.</x:v>
      </x:c>
      <x:c r="L486" s="5" t="str">
        <x:v>원문 세부기준</x:v>
      </x:c>
      <x:c r="M486" s="5" t="str">
        <x:v>추출 후 기본 구조 검토; 원문 적용수준·전체 맥락 재확인 필요</x:v>
      </x:c>
      <x:c r="N486" s="5" t="str">
        <x:v>UI-065</x:v>
      </x:c>
      <x:c r="O486" s="5" t="str">
        <x:v>자동 추출 후보 / 공식 전수 체크리스트 아님</x:v>
      </x:c>
    </x:row>
    <x:row r="487" ht="15" hidden="0" customHeight="1">
      <x:c r="A487" s="5" t="str">
        <x:v>KRDS-SEC-067-U-01</x:v>
      </x:c>
      <x:c r="B487" s="5" t="str">
        <x:v>KRDS-SEC-067</x:v>
      </x:c>
      <x:c r="C487" s="5" t="str">
        <x:v>기본 패턴</x:v>
      </x:c>
      <x:c r="D487" s="5" t="str">
        <x:v>패턴</x:v>
      </x:c>
      <x:c r="E487" s="5" t="str">
        <x:v>사용자 피드백</x:v>
      </x:c>
      <x:c r="F487" s="5" t="str">
        <x:v>사용성 가이드라인</x:v>
      </x:c>
      <x:c r="G487" s="5" t="str">
        <x:v>01</x:v>
      </x:c>
      <x:c r="H487" s="5" t="n">
        <x:v>806</x:v>
      </x:c>
      <x:c r="I487" s="5" t="n">
        <x:v>806</x:v>
      </x:c>
      <x:c r="J487" s="5" t="str">
        <x:v>807</x:v>
      </x:c>
      <x:c r="K487" s="5" t="str">
        <x:v>사용자 피드백은 화면 하단 또는 본문의 사이드 영역에 배치한다.</x:v>
      </x:c>
      <x:c r="L487" s="5" t="str">
        <x:v>원문 세부기준</x:v>
      </x:c>
      <x:c r="M487" s="5" t="str">
        <x:v>추출 후 기본 구조 검토; 원문 적용수준·전체 맥락 재확인 필요</x:v>
      </x:c>
      <x:c r="N487" s="5" t="str">
        <x:v>UI-066</x:v>
      </x:c>
      <x:c r="O487" s="5" t="str">
        <x:v>자동 추출 후보 / 공식 전수 체크리스트 아님</x:v>
      </x:c>
    </x:row>
    <x:row r="488" ht="15" hidden="0" customHeight="1">
      <x:c r="A488" s="5" t="str">
        <x:v>KRDS-SEC-067-U-02</x:v>
      </x:c>
      <x:c r="B488" s="5" t="str">
        <x:v>KRDS-SEC-067</x:v>
      </x:c>
      <x:c r="C488" s="5" t="str">
        <x:v>기본 패턴</x:v>
      </x:c>
      <x:c r="D488" s="5" t="str">
        <x:v>패턴</x:v>
      </x:c>
      <x:c r="E488" s="5" t="str">
        <x:v>사용자 피드백</x:v>
      </x:c>
      <x:c r="F488" s="5" t="str">
        <x:v>사용성 가이드라인</x:v>
      </x:c>
      <x:c r="G488" s="5" t="str">
        <x:v>02</x:v>
      </x:c>
      <x:c r="H488" s="5" t="n">
        <x:v>806</x:v>
      </x:c>
      <x:c r="I488" s="5" t="n">
        <x:v>806</x:v>
      </x:c>
      <x:c r="J488" s="5" t="str">
        <x:v>807</x:v>
      </x:c>
      <x:c r="K488" s="5" t="str">
        <x:v>사용자 피드백을 시의적으로 사용하는 경우 사용자의 작업이 완료된 후에 유도 메시지를 제공한다.</x:v>
      </x:c>
      <x:c r="L488" s="5" t="str">
        <x:v>원문 세부기준</x:v>
      </x:c>
      <x:c r="M488" s="5" t="str">
        <x:v>추출 후 기본 구조 검토; 원문 적용수준·전체 맥락 재확인 필요</x:v>
      </x:c>
      <x:c r="N488" s="5" t="str">
        <x:v>UI-066</x:v>
      </x:c>
      <x:c r="O488" s="5" t="str">
        <x:v>자동 추출 후보 / 공식 전수 체크리스트 아님</x:v>
      </x:c>
    </x:row>
    <x:row r="489" ht="15" hidden="0" customHeight="1">
      <x:c r="A489" s="5" t="str">
        <x:v>KRDS-SEC-067-U-03</x:v>
      </x:c>
      <x:c r="B489" s="5" t="str">
        <x:v>KRDS-SEC-067</x:v>
      </x:c>
      <x:c r="C489" s="5" t="str">
        <x:v>기본 패턴</x:v>
      </x:c>
      <x:c r="D489" s="5" t="str">
        <x:v>패턴</x:v>
      </x:c>
      <x:c r="E489" s="5" t="str">
        <x:v>사용자 피드백</x:v>
      </x:c>
      <x:c r="F489" s="5" t="str">
        <x:v>사용성 가이드라인</x:v>
      </x:c>
      <x:c r="G489" s="5" t="str">
        <x:v>03</x:v>
      </x:c>
      <x:c r="H489" s="5" t="n">
        <x:v>806</x:v>
      </x:c>
      <x:c r="I489" s="5" t="n">
        <x:v>806</x:v>
      </x:c>
      <x:c r="J489" s="5" t="str">
        <x:v>807</x:v>
      </x:c>
      <x:c r="K489" s="5" t="str">
        <x:v>사용자 피드백은 폐쇄형 질문으로 시작한다.</x:v>
      </x:c>
      <x:c r="L489" s="5" t="str">
        <x:v>원문 세부기준</x:v>
      </x:c>
      <x:c r="M489" s="5" t="str">
        <x:v>추출 후 기본 구조 검토; 원문 적용수준·전체 맥락 재확인 필요</x:v>
      </x:c>
      <x:c r="N489" s="5" t="str">
        <x:v>UI-066</x:v>
      </x:c>
      <x:c r="O489" s="5" t="str">
        <x:v>자동 추출 후보 / 공식 전수 체크리스트 아님</x:v>
      </x:c>
    </x:row>
    <x:row r="490" ht="15" hidden="0" customHeight="1">
      <x:c r="A490" s="5" t="str">
        <x:v>KRDS-SEC-067-U-04</x:v>
      </x:c>
      <x:c r="B490" s="5" t="str">
        <x:v>KRDS-SEC-067</x:v>
      </x:c>
      <x:c r="C490" s="5" t="str">
        <x:v>기본 패턴</x:v>
      </x:c>
      <x:c r="D490" s="5" t="str">
        <x:v>패턴</x:v>
      </x:c>
      <x:c r="E490" s="5" t="str">
        <x:v>사용자 피드백</x:v>
      </x:c>
      <x:c r="F490" s="5" t="str">
        <x:v>사용성 가이드라인</x:v>
      </x:c>
      <x:c r="G490" s="5" t="str">
        <x:v>04</x:v>
      </x:c>
      <x:c r="H490" s="5" t="n">
        <x:v>806</x:v>
      </x:c>
      <x:c r="I490" s="5" t="n">
        <x:v>806</x:v>
      </x:c>
      <x:c r="J490" s="5" t="str">
        <x:v>808</x:v>
      </x:c>
      <x:c r="K490" s="5" t="str">
        <x:v>평가의 선택지를 최소화한다.</x:v>
      </x:c>
      <x:c r="L490" s="5" t="str">
        <x:v>원문 세부기준</x:v>
      </x:c>
      <x:c r="M490" s="5" t="str">
        <x:v>추출 후 기본 구조 검토; 원문 적용수준·전체 맥락 재확인 필요</x:v>
      </x:c>
      <x:c r="N490" s="5" t="str">
        <x:v>UI-066</x:v>
      </x:c>
      <x:c r="O490" s="5" t="str">
        <x:v>자동 추출 후보 / 공식 전수 체크리스트 아님</x:v>
      </x:c>
    </x:row>
    <x:row r="491" ht="15" hidden="0" customHeight="1">
      <x:c r="A491" s="5" t="str">
        <x:v>KRDS-SEC-067-U-05</x:v>
      </x:c>
      <x:c r="B491" s="5" t="str">
        <x:v>KRDS-SEC-067</x:v>
      </x:c>
      <x:c r="C491" s="5" t="str">
        <x:v>기본 패턴</x:v>
      </x:c>
      <x:c r="D491" s="5" t="str">
        <x:v>패턴</x:v>
      </x:c>
      <x:c r="E491" s="5" t="str">
        <x:v>사용자 피드백</x:v>
      </x:c>
      <x:c r="F491" s="5" t="str">
        <x:v>사용성 가이드라인</x:v>
      </x:c>
      <x:c r="G491" s="5" t="str">
        <x:v>05</x:v>
      </x:c>
      <x:c r="H491" s="5" t="n">
        <x:v>806</x:v>
      </x:c>
      <x:c r="I491" s="5" t="n">
        <x:v>806</x:v>
      </x:c>
      <x:c r="J491" s="5" t="str">
        <x:v>808</x:v>
      </x:c>
      <x:c r="K491" s="5" t="str">
        <x:v>맞춤 영역의 질문을 간결하게 구성한다.</x:v>
      </x:c>
      <x:c r="L491" s="5" t="str">
        <x:v>원문 세부기준</x:v>
      </x:c>
      <x:c r="M491" s="5" t="str">
        <x:v>추출 후 기본 구조 검토; 원문 적용수준·전체 맥락 재확인 필요</x:v>
      </x:c>
      <x:c r="N491" s="5" t="str">
        <x:v>UI-066</x:v>
      </x:c>
      <x:c r="O491" s="5" t="str">
        <x:v>자동 추출 후보 / 공식 전수 체크리스트 아님</x:v>
      </x:c>
    </x:row>
    <x:row r="492" ht="15" hidden="0" customHeight="1">
      <x:c r="A492" s="5" t="str">
        <x:v>KRDS-SEC-067-U-06</x:v>
      </x:c>
      <x:c r="B492" s="5" t="str">
        <x:v>KRDS-SEC-067</x:v>
      </x:c>
      <x:c r="C492" s="5" t="str">
        <x:v>기본 패턴</x:v>
      </x:c>
      <x:c r="D492" s="5" t="str">
        <x:v>패턴</x:v>
      </x:c>
      <x:c r="E492" s="5" t="str">
        <x:v>사용자 피드백</x:v>
      </x:c>
      <x:c r="F492" s="5" t="str">
        <x:v>사용성 가이드라인</x:v>
      </x:c>
      <x:c r="G492" s="5" t="str">
        <x:v>06</x:v>
      </x:c>
      <x:c r="H492" s="5" t="n">
        <x:v>806</x:v>
      </x:c>
      <x:c r="I492" s="5" t="n">
        <x:v>806</x:v>
      </x:c>
      <x:c r="J492" s="5" t="str">
        <x:v>808</x:v>
      </x:c>
      <x:c r="K492" s="5" t="str">
        <x:v>맞춤 영역의 질문에 대한 응답 방식을 유연하게 구성한다.</x:v>
      </x:c>
      <x:c r="L492" s="5" t="str">
        <x:v>원문 세부기준</x:v>
      </x:c>
      <x:c r="M492" s="5" t="str">
        <x:v>추출 후 기본 구조 검토; 원문 적용수준·전체 맥락 재확인 필요</x:v>
      </x:c>
      <x:c r="N492" s="5" t="str">
        <x:v>UI-066</x:v>
      </x:c>
      <x:c r="O492" s="5" t="str">
        <x:v>자동 추출 후보 / 공식 전수 체크리스트 아님</x:v>
      </x:c>
    </x:row>
    <x:row r="493" ht="15" hidden="0" customHeight="1">
      <x:c r="A493" s="5" t="str">
        <x:v>KRDS-SEC-067-P-01</x:v>
      </x:c>
      <x:c r="B493" s="5" t="str">
        <x:v>KRDS-SEC-067</x:v>
      </x:c>
      <x:c r="C493" s="5" t="str">
        <x:v>기본 패턴</x:v>
      </x:c>
      <x:c r="D493" s="5" t="str">
        <x:v>패턴</x:v>
      </x:c>
      <x:c r="E493" s="5" t="str">
        <x:v>사용자 피드백</x:v>
      </x:c>
      <x:c r="F493" s="5" t="str">
        <x:v>플랫폼에 대한 고려 사항</x:v>
      </x:c>
      <x:c r="G493" s="5" t="str">
        <x:v>01</x:v>
      </x:c>
      <x:c r="H493" s="5" t="n">
        <x:v>809</x:v>
      </x:c>
      <x:c r="I493" s="5" t="n">
        <x:v>809</x:v>
      </x:c>
      <x:c r="J493" s="5" t="str"/>
      <x:c r="K493" s="5" t="str">
        <x:v>화면 너비가 충분하지 않은 경우, 어사이드에 배치된 사용자 피드백은 화면 하단에 배치한다.</x:v>
      </x:c>
      <x:c r="L493" s="5" t="str">
        <x:v>원문 세부기준</x:v>
      </x:c>
      <x:c r="M493" s="5" t="str">
        <x:v>추출 후 기본 구조 검토; 원문 적용수준·전체 맥락 재확인 필요</x:v>
      </x:c>
      <x:c r="N493" s="5" t="str">
        <x:v>UI-066</x:v>
      </x:c>
      <x:c r="O493" s="5" t="str">
        <x:v>자동 추출 후보 / 공식 전수 체크리스트 아님</x:v>
      </x:c>
    </x:row>
    <x:row r="494" ht="15" hidden="0" customHeight="1">
      <x:c r="A494" s="5" t="str">
        <x:v>KRDS-SEC-067-A-01</x:v>
      </x:c>
      <x:c r="B494" s="5" t="str">
        <x:v>KRDS-SEC-067</x:v>
      </x:c>
      <x:c r="C494" s="5" t="str">
        <x:v>기본 패턴</x:v>
      </x:c>
      <x:c r="D494" s="5" t="str">
        <x:v>패턴</x:v>
      </x:c>
      <x:c r="E494" s="5" t="str">
        <x:v>사용자 피드백</x:v>
      </x:c>
      <x:c r="F494" s="5" t="str">
        <x:v>접근성 가이드라인</x:v>
      </x:c>
      <x:c r="G494" s="5" t="str">
        <x:v>01</x:v>
      </x:c>
      <x:c r="H494" s="5" t="n">
        <x:v>810</x:v>
      </x:c>
      <x:c r="I494" s="5" t="n">
        <x:v>810</x:v>
      </x:c>
      <x:c r="J494" s="5" t="str"/>
      <x:c r="K494" s="5" t="str">
        <x:v>각 입력 필드와 입력폼에 이름을 제공한다.</x:v>
      </x:c>
      <x:c r="L494" s="5" t="str">
        <x:v>원문 세부기준</x:v>
      </x:c>
      <x:c r="M494" s="5" t="str">
        <x:v>추출 후 기본 구조 검토; 원문 적용수준·전체 맥락 재확인 필요</x:v>
      </x:c>
      <x:c r="N494" s="5" t="str">
        <x:v>UI-066</x:v>
      </x:c>
      <x:c r="O494" s="5" t="str">
        <x:v>자동 추출 후보 / 공식 전수 체크리스트 아님</x:v>
      </x:c>
    </x:row>
    <x:row r="495" ht="15" hidden="0" customHeight="1">
      <x:c r="A495" s="5" t="str">
        <x:v>KRDS-SEC-067-A-02</x:v>
      </x:c>
      <x:c r="B495" s="5" t="str">
        <x:v>KRDS-SEC-067</x:v>
      </x:c>
      <x:c r="C495" s="5" t="str">
        <x:v>기본 패턴</x:v>
      </x:c>
      <x:c r="D495" s="5" t="str">
        <x:v>패턴</x:v>
      </x:c>
      <x:c r="E495" s="5" t="str">
        <x:v>사용자 피드백</x:v>
      </x:c>
      <x:c r="F495" s="5" t="str">
        <x:v>접근성 가이드라인</x:v>
      </x:c>
      <x:c r="G495" s="5" t="str">
        <x:v>02</x:v>
      </x:c>
      <x:c r="H495" s="5" t="n">
        <x:v>810</x:v>
      </x:c>
      <x:c r="I495" s="5" t="n">
        <x:v>810</x:v>
      </x:c>
      <x:c r="J495" s="5" t="str"/>
      <x:c r="K495" s="5" t="str">
        <x:v>맞춤 영역, 완료 메시지에 live-region을 적용한다.</x:v>
      </x:c>
      <x:c r="L495" s="5" t="str">
        <x:v>원문 세부기준</x:v>
      </x:c>
      <x:c r="M495" s="5" t="str">
        <x:v>추출 후 기본 구조 검토; 원문 적용수준·전체 맥락 재확인 필요</x:v>
      </x:c>
      <x:c r="N495" s="5" t="str">
        <x:v>UI-066</x:v>
      </x:c>
      <x:c r="O495" s="5" t="str">
        <x:v>자동 추출 후보 / 공식 전수 체크리스트 아님</x:v>
      </x:c>
    </x:row>
    <x:row r="496" ht="15" hidden="0" customHeight="1">
      <x:c r="A496" s="5" t="str">
        <x:v>KRDS-SEC-068-U-01</x:v>
      </x:c>
      <x:c r="B496" s="5" t="str">
        <x:v>KRDS-SEC-068</x:v>
      </x:c>
      <x:c r="C496" s="5" t="str">
        <x:v>기본 패턴</x:v>
      </x:c>
      <x:c r="D496" s="5" t="str">
        <x:v>패턴</x:v>
      </x:c>
      <x:c r="E496" s="5" t="str">
        <x:v>상세 정보 확인</x:v>
      </x:c>
      <x:c r="F496" s="5" t="str">
        <x:v>사용성 가이드라인</x:v>
      </x:c>
      <x:c r="G496" s="5" t="str">
        <x:v>01</x:v>
      </x:c>
      <x:c r="H496" s="5" t="n">
        <x:v>816</x:v>
      </x:c>
      <x:c r="I496" s="5" t="n">
        <x:v>816</x:v>
      </x:c>
      <x:c r="J496" s="5" t="str">
        <x:v>817</x:v>
      </x:c>
      <x:c r="K496" s="5" t="str">
        <x:v>콘텐츠의 작성자, 출처, 저작권을 표시한다.</x:v>
      </x:c>
      <x:c r="L496" s="5" t="str">
        <x:v>원문 세부기준</x:v>
      </x:c>
      <x:c r="M496" s="5" t="str">
        <x:v>추출 후 기본 구조 검토; 원문 적용수준·전체 맥락 재확인 필요</x:v>
      </x:c>
      <x:c r="N496" s="5" t="str">
        <x:v>UI-067</x:v>
      </x:c>
      <x:c r="O496" s="5" t="str">
        <x:v>자동 추출 후보 / 공식 전수 체크리스트 아님</x:v>
      </x:c>
    </x:row>
    <x:row r="497" ht="15" hidden="0" customHeight="1">
      <x:c r="A497" s="5" t="str">
        <x:v>KRDS-SEC-068-U-02</x:v>
      </x:c>
      <x:c r="B497" s="5" t="str">
        <x:v>KRDS-SEC-068</x:v>
      </x:c>
      <x:c r="C497" s="5" t="str">
        <x:v>기본 패턴</x:v>
      </x:c>
      <x:c r="D497" s="5" t="str">
        <x:v>패턴</x:v>
      </x:c>
      <x:c r="E497" s="5" t="str">
        <x:v>상세 정보 확인</x:v>
      </x:c>
      <x:c r="F497" s="5" t="str">
        <x:v>사용성 가이드라인</x:v>
      </x:c>
      <x:c r="G497" s="5" t="str">
        <x:v>02</x:v>
      </x:c>
      <x:c r="H497" s="5" t="n">
        <x:v>816</x:v>
      </x:c>
      <x:c r="I497" s="5" t="n">
        <x:v>816</x:v>
      </x:c>
      <x:c r="J497" s="5" t="str">
        <x:v>818</x:v>
      </x:c>
      <x:c r="K497" s="5" t="str">
        <x:v>정보 등록, 변경 일자와 변경 내역을 제공한다.</x:v>
      </x:c>
      <x:c r="L497" s="5" t="str">
        <x:v>원문 세부기준</x:v>
      </x:c>
      <x:c r="M497" s="5" t="str">
        <x:v>추출 후 기본 구조 검토; 원문 적용수준·전체 맥락 재확인 필요</x:v>
      </x:c>
      <x:c r="N497" s="5" t="str">
        <x:v>UI-067</x:v>
      </x:c>
      <x:c r="O497" s="5" t="str">
        <x:v>자동 추출 후보 / 공식 전수 체크리스트 아님</x:v>
      </x:c>
    </x:row>
    <x:row r="498" ht="15" hidden="0" customHeight="1">
      <x:c r="A498" s="5" t="str">
        <x:v>KRDS-SEC-068-U-03</x:v>
      </x:c>
      <x:c r="B498" s="5" t="str">
        <x:v>KRDS-SEC-068</x:v>
      </x:c>
      <x:c r="C498" s="5" t="str">
        <x:v>기본 패턴</x:v>
      </x:c>
      <x:c r="D498" s="5" t="str">
        <x:v>패턴</x:v>
      </x:c>
      <x:c r="E498" s="5" t="str">
        <x:v>상세 정보 확인</x:v>
      </x:c>
      <x:c r="F498" s="5" t="str">
        <x:v>사용성 가이드라인</x:v>
      </x:c>
      <x:c r="G498" s="5" t="str">
        <x:v>03</x:v>
      </x:c>
      <x:c r="H498" s="5" t="n">
        <x:v>816</x:v>
      </x:c>
      <x:c r="I498" s="5" t="n">
        <x:v>816</x:v>
      </x:c>
      <x:c r="J498" s="5" t="str">
        <x:v>819</x:v>
      </x:c>
      <x:c r="K498" s="5" t="str">
        <x:v>제목은 다른 요소들과 구분되도록 표현한다.</x:v>
      </x:c>
      <x:c r="L498" s="5" t="str">
        <x:v>원문 세부기준</x:v>
      </x:c>
      <x:c r="M498" s="5" t="str">
        <x:v>추출 후 기본 구조 검토; 원문 적용수준·전체 맥락 재확인 필요</x:v>
      </x:c>
      <x:c r="N498" s="5" t="str">
        <x:v>UI-067</x:v>
      </x:c>
      <x:c r="O498" s="5" t="str">
        <x:v>자동 추출 후보 / 공식 전수 체크리스트 아님</x:v>
      </x:c>
    </x:row>
    <x:row r="499" ht="15" hidden="0" customHeight="1">
      <x:c r="A499" s="5" t="str">
        <x:v>KRDS-SEC-068-U-04</x:v>
      </x:c>
      <x:c r="B499" s="5" t="str">
        <x:v>KRDS-SEC-068</x:v>
      </x:c>
      <x:c r="C499" s="5" t="str">
        <x:v>기본 패턴</x:v>
      </x:c>
      <x:c r="D499" s="5" t="str">
        <x:v>패턴</x:v>
      </x:c>
      <x:c r="E499" s="5" t="str">
        <x:v>상세 정보 확인</x:v>
      </x:c>
      <x:c r="F499" s="5" t="str">
        <x:v>사용성 가이드라인</x:v>
      </x:c>
      <x:c r="G499" s="5" t="str">
        <x:v>04</x:v>
      </x:c>
      <x:c r="H499" s="5" t="n">
        <x:v>816</x:v>
      </x:c>
      <x:c r="I499" s="5" t="n">
        <x:v>816</x:v>
      </x:c>
      <x:c r="J499" s="5" t="str">
        <x:v>820</x:v>
      </x:c>
      <x:c r="K499" s="5" t="str">
        <x:v>콘텐츠 요소들 사이의 계층구조를 명확하게 구분한다.</x:v>
      </x:c>
      <x:c r="L499" s="5" t="str">
        <x:v>원문 세부기준</x:v>
      </x:c>
      <x:c r="M499" s="5" t="str">
        <x:v>추출 후 기본 구조 검토; 원문 적용수준·전체 맥락 재확인 필요</x:v>
      </x:c>
      <x:c r="N499" s="5" t="str">
        <x:v>UI-067</x:v>
      </x:c>
      <x:c r="O499" s="5" t="str">
        <x:v>자동 추출 후보 / 공식 전수 체크리스트 아님</x:v>
      </x:c>
    </x:row>
    <x:row r="500" ht="15" hidden="0" customHeight="1">
      <x:c r="A500" s="5" t="str">
        <x:v>KRDS-SEC-068-U-05</x:v>
      </x:c>
      <x:c r="B500" s="5" t="str">
        <x:v>KRDS-SEC-068</x:v>
      </x:c>
      <x:c r="C500" s="5" t="str">
        <x:v>기본 패턴</x:v>
      </x:c>
      <x:c r="D500" s="5" t="str">
        <x:v>패턴</x:v>
      </x:c>
      <x:c r="E500" s="5" t="str">
        <x:v>상세 정보 확인</x:v>
      </x:c>
      <x:c r="F500" s="5" t="str">
        <x:v>사용성 가이드라인</x:v>
      </x:c>
      <x:c r="G500" s="5" t="str">
        <x:v>05</x:v>
      </x:c>
      <x:c r="H500" s="5" t="n">
        <x:v>816</x:v>
      </x:c>
      <x:c r="I500" s="5" t="n">
        <x:v>816</x:v>
      </x:c>
      <x:c r="J500" s="5" t="str">
        <x:v>821</x:v>
      </x:c>
      <x:c r="K500" s="5" t="str">
        <x:v>문단과 문장은 최대한 간단명료하게 구성한다.</x:v>
      </x:c>
      <x:c r="L500" s="5" t="str">
        <x:v>원문 세부기준</x:v>
      </x:c>
      <x:c r="M500" s="5" t="str">
        <x:v>추출 후 기본 구조 검토; 원문 적용수준·전체 맥락 재확인 필요</x:v>
      </x:c>
      <x:c r="N500" s="5" t="str">
        <x:v>UI-067</x:v>
      </x:c>
      <x:c r="O500" s="5" t="str">
        <x:v>자동 추출 후보 / 공식 전수 체크리스트 아님</x:v>
      </x:c>
    </x:row>
    <x:row r="501" ht="15" hidden="0" customHeight="1">
      <x:c r="A501" s="5" t="str">
        <x:v>KRDS-SEC-068-U-06</x:v>
      </x:c>
      <x:c r="B501" s="5" t="str">
        <x:v>KRDS-SEC-068</x:v>
      </x:c>
      <x:c r="C501" s="5" t="str">
        <x:v>기본 패턴</x:v>
      </x:c>
      <x:c r="D501" s="5" t="str">
        <x:v>패턴</x:v>
      </x:c>
      <x:c r="E501" s="5" t="str">
        <x:v>상세 정보 확인</x:v>
      </x:c>
      <x:c r="F501" s="5" t="str">
        <x:v>사용성 가이드라인</x:v>
      </x:c>
      <x:c r="G501" s="5" t="str">
        <x:v>06</x:v>
      </x:c>
      <x:c r="H501" s="5" t="n">
        <x:v>816</x:v>
      </x:c>
      <x:c r="I501" s="5" t="n">
        <x:v>816</x:v>
      </x:c>
      <x:c r="J501" s="5" t="str">
        <x:v>821</x:v>
      </x:c>
      <x:c r="K501" s="5" t="str">
        <x:v>핵심 주제는 첫 문단, 첫 문장에 포함시킨다.</x:v>
      </x:c>
      <x:c r="L501" s="5" t="str">
        <x:v>원문 세부기준</x:v>
      </x:c>
      <x:c r="M501" s="5" t="str">
        <x:v>추출 후 기본 구조 검토; 원문 적용수준·전체 맥락 재확인 필요</x:v>
      </x:c>
      <x:c r="N501" s="5" t="str">
        <x:v>UI-067</x:v>
      </x:c>
      <x:c r="O501" s="5" t="str">
        <x:v>자동 추출 후보 / 공식 전수 체크리스트 아님</x:v>
      </x:c>
    </x:row>
    <x:row r="502" ht="15" hidden="0" customHeight="1">
      <x:c r="A502" s="5" t="str">
        <x:v>KRDS-SEC-068-U-07</x:v>
      </x:c>
      <x:c r="B502" s="5" t="str">
        <x:v>KRDS-SEC-068</x:v>
      </x:c>
      <x:c r="C502" s="5" t="str">
        <x:v>기본 패턴</x:v>
      </x:c>
      <x:c r="D502" s="5" t="str">
        <x:v>패턴</x:v>
      </x:c>
      <x:c r="E502" s="5" t="str">
        <x:v>상세 정보 확인</x:v>
      </x:c>
      <x:c r="F502" s="5" t="str">
        <x:v>사용성 가이드라인</x:v>
      </x:c>
      <x:c r="G502" s="5" t="str">
        <x:v>07</x:v>
      </x:c>
      <x:c r="H502" s="5" t="n">
        <x:v>816</x:v>
      </x:c>
      <x:c r="I502" s="5" t="n">
        <x:v>816</x:v>
      </x:c>
      <x:c r="J502" s="5" t="str">
        <x:v>821</x:v>
      </x:c>
      <x:c r="K502" s="5" t="str">
        <x:v>인포그래픽, 사진, 동영상 등의 콘텐츠를 적절하게 활용한다.</x:v>
      </x:c>
      <x:c r="L502" s="5" t="str">
        <x:v>원문 세부기준</x:v>
      </x:c>
      <x:c r="M502" s="5" t="str">
        <x:v>추출 후 기본 구조 검토; 원문 적용수준·전체 맥락 재확인 필요</x:v>
      </x:c>
      <x:c r="N502" s="5" t="str">
        <x:v>UI-067</x:v>
      </x:c>
      <x:c r="O502" s="5" t="str">
        <x:v>자동 추출 후보 / 공식 전수 체크리스트 아님</x:v>
      </x:c>
    </x:row>
    <x:row r="503" ht="15" hidden="0" customHeight="1">
      <x:c r="A503" s="5" t="str">
        <x:v>KRDS-SEC-068-U-08</x:v>
      </x:c>
      <x:c r="B503" s="5" t="str">
        <x:v>KRDS-SEC-068</x:v>
      </x:c>
      <x:c r="C503" s="5" t="str">
        <x:v>기본 패턴</x:v>
      </x:c>
      <x:c r="D503" s="5" t="str">
        <x:v>패턴</x:v>
      </x:c>
      <x:c r="E503" s="5" t="str">
        <x:v>상세 정보 확인</x:v>
      </x:c>
      <x:c r="F503" s="5" t="str">
        <x:v>사용성 가이드라인</x:v>
      </x:c>
      <x:c r="G503" s="5" t="str">
        <x:v>08</x:v>
      </x:c>
      <x:c r="H503" s="5" t="n">
        <x:v>816</x:v>
      </x:c>
      <x:c r="I503" s="5" t="n">
        <x:v>816</x:v>
      </x:c>
      <x:c r="J503" s="5" t="str">
        <x:v>821</x:v>
      </x:c>
      <x:c r="K503" s="5" t="str">
        <x:v>외부 서비스로 이동하거나 새 창을 실행하는 액션 버튼에 명확한 시각적 단서를 제공한다.</x:v>
      </x:c>
      <x:c r="L503" s="5" t="str">
        <x:v>원문 세부기준</x:v>
      </x:c>
      <x:c r="M503" s="5" t="str">
        <x:v>추출 후 기본 구조 검토; 원문 적용수준·전체 맥락 재확인 필요</x:v>
      </x:c>
      <x:c r="N503" s="5" t="str">
        <x:v>UI-067</x:v>
      </x:c>
      <x:c r="O503" s="5" t="str">
        <x:v>자동 추출 후보 / 공식 전수 체크리스트 아님</x:v>
      </x:c>
    </x:row>
    <x:row r="504" ht="15" hidden="0" customHeight="1">
      <x:c r="A504" s="5" t="str">
        <x:v>KRDS-SEC-068-U-09</x:v>
      </x:c>
      <x:c r="B504" s="5" t="str">
        <x:v>KRDS-SEC-068</x:v>
      </x:c>
      <x:c r="C504" s="5" t="str">
        <x:v>기본 패턴</x:v>
      </x:c>
      <x:c r="D504" s="5" t="str">
        <x:v>패턴</x:v>
      </x:c>
      <x:c r="E504" s="5" t="str">
        <x:v>상세 정보 확인</x:v>
      </x:c>
      <x:c r="F504" s="5" t="str">
        <x:v>사용성 가이드라인</x:v>
      </x:c>
      <x:c r="G504" s="5" t="str">
        <x:v>09</x:v>
      </x:c>
      <x:c r="H504" s="5" t="n">
        <x:v>816</x:v>
      </x:c>
      <x:c r="I504" s="5" t="n">
        <x:v>816</x:v>
      </x:c>
      <x:c r="J504" s="5" t="str">
        <x:v>822</x:v>
      </x:c>
      <x:c r="K504" s="5" t="str">
        <x:v>화면 너비가 충분한 경우 콘텐츠 내 탐색을 표시하고 본문 우측의 일관된 위치에 고정하여 제공한다.</x:v>
      </x:c>
      <x:c r="L504" s="5" t="str">
        <x:v>원문 세부기준</x:v>
      </x:c>
      <x:c r="M504" s="5" t="str">
        <x:v>추출 후 기본 구조 검토; 원문 적용수준·전체 맥락 재확인 필요</x:v>
      </x:c>
      <x:c r="N504" s="5" t="str">
        <x:v>UI-067</x:v>
      </x:c>
      <x:c r="O504" s="5" t="str">
        <x:v>자동 추출 후보 / 공식 전수 체크리스트 아님</x:v>
      </x:c>
    </x:row>
    <x:row r="505" ht="15" hidden="0" customHeight="1">
      <x:c r="A505" s="5" t="str">
        <x:v>KRDS-SEC-068-P-01</x:v>
      </x:c>
      <x:c r="B505" s="5" t="str">
        <x:v>KRDS-SEC-068</x:v>
      </x:c>
      <x:c r="C505" s="5" t="str">
        <x:v>기본 패턴</x:v>
      </x:c>
      <x:c r="D505" s="5" t="str">
        <x:v>패턴</x:v>
      </x:c>
      <x:c r="E505" s="5" t="str">
        <x:v>상세 정보 확인</x:v>
      </x:c>
      <x:c r="F505" s="5" t="str">
        <x:v>플랫폼에 대한 고려 사항</x:v>
      </x:c>
      <x:c r="G505" s="5" t="str">
        <x:v>01</x:v>
      </x:c>
      <x:c r="H505" s="5" t="n">
        <x:v>823</x:v>
      </x:c>
      <x:c r="I505" s="5" t="n">
        <x:v>823</x:v>
      </x:c>
      <x:c r="J505" s="5" t="str"/>
      <x:c r="K505" s="5" t="str">
        <x:v>모바일에서 콘텐츠 내 탐색은 제목과 본문 사이에 배치한다.</x:v>
      </x:c>
      <x:c r="L505" s="5" t="str">
        <x:v>원문 세부기준</x:v>
      </x:c>
      <x:c r="M505" s="5" t="str">
        <x:v>추출 후 기본 구조 검토; 원문 적용수준·전체 맥락 재확인 필요</x:v>
      </x:c>
      <x:c r="N505" s="5" t="str">
        <x:v>UI-067</x:v>
      </x:c>
      <x:c r="O505" s="5" t="str">
        <x:v>자동 추출 후보 / 공식 전수 체크리스트 아님</x:v>
      </x:c>
    </x:row>
    <x:row r="506" ht="15" hidden="0" customHeight="1">
      <x:c r="A506" s="5" t="str">
        <x:v>KRDS-SEC-068-A-01</x:v>
      </x:c>
      <x:c r="B506" s="5" t="str">
        <x:v>KRDS-SEC-068</x:v>
      </x:c>
      <x:c r="C506" s="5" t="str">
        <x:v>기본 패턴</x:v>
      </x:c>
      <x:c r="D506" s="5" t="str">
        <x:v>패턴</x:v>
      </x:c>
      <x:c r="E506" s="5" t="str">
        <x:v>상세 정보 확인</x:v>
      </x:c>
      <x:c r="F506" s="5" t="str">
        <x:v>접근성 가이드라인</x:v>
      </x:c>
      <x:c r="G506" s="5" t="str">
        <x:v>01</x:v>
      </x:c>
      <x:c r="H506" s="5" t="n">
        <x:v>824</x:v>
      </x:c>
      <x:c r="I506" s="5" t="n">
        <x:v>824</x:v>
      </x:c>
      <x:c r="J506" s="5" t="str"/>
      <x:c r="K506" s="5" t="str">
        <x:v>텍스트 콘텐츠와 배경 간 명도 대비를 4.5:1 이상으로 제공한다.</x:v>
      </x:c>
      <x:c r="L506" s="5" t="str">
        <x:v>원문 세부기준</x:v>
      </x:c>
      <x:c r="M506" s="5" t="str">
        <x:v>추출 후 기본 구조 검토; 원문 적용수준·전체 맥락 재확인 필요</x:v>
      </x:c>
      <x:c r="N506" s="5" t="str">
        <x:v>UI-067</x:v>
      </x:c>
      <x:c r="O506" s="5" t="str">
        <x:v>자동 추출 후보 / 공식 전수 체크리스트 아님</x:v>
      </x:c>
    </x:row>
    <x:row r="507" ht="15" hidden="0" customHeight="1">
      <x:c r="A507" s="5" t="str">
        <x:v>KRDS-SEC-068-A-02</x:v>
      </x:c>
      <x:c r="B507" s="5" t="str">
        <x:v>KRDS-SEC-068</x:v>
      </x:c>
      <x:c r="C507" s="5" t="str">
        <x:v>기본 패턴</x:v>
      </x:c>
      <x:c r="D507" s="5" t="str">
        <x:v>패턴</x:v>
      </x:c>
      <x:c r="E507" s="5" t="str">
        <x:v>상세 정보 확인</x:v>
      </x:c>
      <x:c r="F507" s="5" t="str">
        <x:v>접근성 가이드라인</x:v>
      </x:c>
      <x:c r="G507" s="5" t="str">
        <x:v>02</x:v>
      </x:c>
      <x:c r="H507" s="5" t="n">
        <x:v>824</x:v>
      </x:c>
      <x:c r="I507" s="5" t="n">
        <x:v>824</x:v>
      </x:c>
      <x:c r="J507" s="5" t="str"/>
      <x:c r="K507" s="5" t="str">
        <x:v>텍스트 이외의 콘텐츠에 대체 수단을 제공한다.</x:v>
      </x:c>
      <x:c r="L507" s="5" t="str">
        <x:v>원문 세부기준</x:v>
      </x:c>
      <x:c r="M507" s="5" t="str">
        <x:v>추출 후 기본 구조 검토; 원문 적용수준·전체 맥락 재확인 필요</x:v>
      </x:c>
      <x:c r="N507" s="5" t="str">
        <x:v>UI-067</x:v>
      </x:c>
      <x:c r="O507" s="5" t="str">
        <x:v>자동 추출 후보 / 공식 전수 체크리스트 아님</x:v>
      </x:c>
    </x:row>
    <x:row r="508" ht="15" hidden="0" customHeight="1">
      <x:c r="A508" s="5" t="str">
        <x:v>KRDS-SEC-068-A-03</x:v>
      </x:c>
      <x:c r="B508" s="5" t="str">
        <x:v>KRDS-SEC-068</x:v>
      </x:c>
      <x:c r="C508" s="5" t="str">
        <x:v>기본 패턴</x:v>
      </x:c>
      <x:c r="D508" s="5" t="str">
        <x:v>패턴</x:v>
      </x:c>
      <x:c r="E508" s="5" t="str">
        <x:v>상세 정보 확인</x:v>
      </x:c>
      <x:c r="F508" s="5" t="str">
        <x:v>접근성 가이드라인</x:v>
      </x:c>
      <x:c r="G508" s="5" t="str">
        <x:v>03</x:v>
      </x:c>
      <x:c r="H508" s="5" t="n">
        <x:v>825</x:v>
      </x:c>
      <x:c r="I508" s="5" t="n">
        <x:v>825</x:v>
      </x:c>
      <x:c r="J508" s="5" t="str"/>
      <x:c r="K508" s="5" t="str">
        <x:v>멀티미디어 콘텐츠 플레이어는 키보드로 조작할 수 있도록 제공한다.</x:v>
      </x:c>
      <x:c r="L508" s="5" t="str">
        <x:v>원문 세부기준</x:v>
      </x:c>
      <x:c r="M508" s="5" t="str">
        <x:v>추출 후 기본 구조 검토; 원문 적용수준·전체 맥락 재확인 필요</x:v>
      </x:c>
      <x:c r="N508" s="5" t="str">
        <x:v>UI-067</x:v>
      </x:c>
      <x:c r="O508" s="5" t="str">
        <x:v>자동 추출 후보 / 공식 전수 체크리스트 아님</x:v>
      </x:c>
    </x:row>
    <x:row r="509" ht="15" hidden="0" customHeight="1">
      <x:c r="A509" s="5" t="str">
        <x:v>KRDS-SEC-068-A-04</x:v>
      </x:c>
      <x:c r="B509" s="5" t="str">
        <x:v>KRDS-SEC-068</x:v>
      </x:c>
      <x:c r="C509" s="5" t="str">
        <x:v>기본 패턴</x:v>
      </x:c>
      <x:c r="D509" s="5" t="str">
        <x:v>패턴</x:v>
      </x:c>
      <x:c r="E509" s="5" t="str">
        <x:v>상세 정보 확인</x:v>
      </x:c>
      <x:c r="F509" s="5" t="str">
        <x:v>접근성 가이드라인</x:v>
      </x:c>
      <x:c r="G509" s="5" t="str">
        <x:v>04</x:v>
      </x:c>
      <x:c r="H509" s="5" t="n">
        <x:v>825</x:v>
      </x:c>
      <x:c r="I509" s="5" t="n">
        <x:v>825</x:v>
      </x:c>
      <x:c r="J509" s="5" t="str"/>
      <x:c r="K509" s="5" t="str">
        <x:v>멀티미디어 콘텐츠가 자동으로 재생되지 않도록 제공한다.</x:v>
      </x:c>
      <x:c r="L509" s="5" t="str">
        <x:v>원문 세부기준</x:v>
      </x:c>
      <x:c r="M509" s="5" t="str">
        <x:v>추출 후 기본 구조 검토; 원문 적용수준·전체 맥락 재확인 필요</x:v>
      </x:c>
      <x:c r="N509" s="5" t="str">
        <x:v>UI-067</x:v>
      </x:c>
      <x:c r="O509" s="5" t="str">
        <x:v>자동 추출 후보 / 공식 전수 체크리스트 아님</x:v>
      </x:c>
    </x:row>
    <x:row r="510" ht="15" hidden="0" customHeight="1">
      <x:c r="A510" s="5" t="str">
        <x:v>KRDS-SEC-068-A-05</x:v>
      </x:c>
      <x:c r="B510" s="5" t="str">
        <x:v>KRDS-SEC-068</x:v>
      </x:c>
      <x:c r="C510" s="5" t="str">
        <x:v>기본 패턴</x:v>
      </x:c>
      <x:c r="D510" s="5" t="str">
        <x:v>패턴</x:v>
      </x:c>
      <x:c r="E510" s="5" t="str">
        <x:v>상세 정보 확인</x:v>
      </x:c>
      <x:c r="F510" s="5" t="str">
        <x:v>접근성 가이드라인</x:v>
      </x:c>
      <x:c r="G510" s="5" t="str">
        <x:v>05</x:v>
      </x:c>
      <x:c r="H510" s="5" t="n">
        <x:v>826</x:v>
      </x:c>
      <x:c r="I510" s="5" t="n">
        <x:v>826</x:v>
      </x:c>
      <x:c r="J510" s="5" t="str"/>
      <x:c r="K510" s="5" t="str">
        <x:v>가능한 한 이미지 텍스트를 사용하지 않는다.</x:v>
      </x:c>
      <x:c r="L510" s="5" t="str">
        <x:v>원문 세부기준</x:v>
      </x:c>
      <x:c r="M510" s="5" t="str">
        <x:v>추출 후 기본 구조 검토; 원문 적용수준·전체 맥락 재확인 필요</x:v>
      </x:c>
      <x:c r="N510" s="5" t="str">
        <x:v>UI-067</x:v>
      </x:c>
      <x:c r="O510" s="5" t="str">
        <x:v>자동 추출 후보 / 공식 전수 체크리스트 아님</x:v>
      </x:c>
    </x:row>
    <x:row r="511" ht="15" hidden="0" customHeight="1">
      <x:c r="A511" s="5" t="str">
        <x:v>KRDS-SEC-068-A-06</x:v>
      </x:c>
      <x:c r="B511" s="5" t="str">
        <x:v>KRDS-SEC-068</x:v>
      </x:c>
      <x:c r="C511" s="5" t="str">
        <x:v>기본 패턴</x:v>
      </x:c>
      <x:c r="D511" s="5" t="str">
        <x:v>패턴</x:v>
      </x:c>
      <x:c r="E511" s="5" t="str">
        <x:v>상세 정보 확인</x:v>
      </x:c>
      <x:c r="F511" s="5" t="str">
        <x:v>접근성 가이드라인</x:v>
      </x:c>
      <x:c r="G511" s="5" t="str">
        <x:v>06</x:v>
      </x:c>
      <x:c r="H511" s="5" t="n">
        <x:v>826</x:v>
      </x:c>
      <x:c r="I511" s="5" t="n">
        <x:v>826</x:v>
      </x:c>
      <x:c r="J511" s="5" t="str"/>
      <x:c r="K511" s="5" t="str">
        <x:v>시각적으로 표현된 콘텐츠의 구조, 수준을 프로그램적으로 동일하게 제공한다.</x:v>
      </x:c>
      <x:c r="L511" s="5" t="str">
        <x:v>원문 세부기준</x:v>
      </x:c>
      <x:c r="M511" s="5" t="str">
        <x:v>추출 후 기본 구조 검토; 원문 적용수준·전체 맥락 재확인 필요</x:v>
      </x:c>
      <x:c r="N511" s="5" t="str">
        <x:v>UI-067</x:v>
      </x:c>
      <x:c r="O511" s="5" t="str">
        <x:v>자동 추출 후보 / 공식 전수 체크리스트 아님</x:v>
      </x:c>
    </x:row>
    <x:row r="512" ht="26.399999618530273" hidden="0" customHeight="1">
      <x:c r="A512" s="5" t="str">
        <x:v>KRDS-SEC-069-U-01</x:v>
      </x:c>
      <x:c r="B512" s="5" t="str">
        <x:v>KRDS-SEC-069</x:v>
      </x:c>
      <x:c r="C512" s="5" t="str">
        <x:v>기본 패턴</x:v>
      </x:c>
      <x:c r="D512" s="5" t="str">
        <x:v>패턴</x:v>
      </x:c>
      <x:c r="E512" s="5" t="str">
        <x:v>오류</x:v>
      </x:c>
      <x:c r="F512" s="5" t="str">
        <x:v>사용성 가이드라인</x:v>
      </x:c>
      <x:c r="G512" s="5" t="str">
        <x:v>01</x:v>
      </x:c>
      <x:c r="H512" s="5" t="n">
        <x:v>829</x:v>
      </x:c>
      <x:c r="I512" s="5" t="n">
        <x:v>829</x:v>
      </x:c>
      <x:c r="J512" s="5" t="str">
        <x:v>830</x:v>
      </x:c>
      <x:c r="K512" s="5" t="str">
        <x:v>빠르게 인지할 수 있도록 표현한다.</x:v>
      </x:c>
      <x:c r="L512" s="5" t="str">
        <x:v>원문 세부기준</x:v>
      </x:c>
      <x:c r="M512" s="5" t="str">
        <x:v>추출 후 기본 구조 검토; 원문 적용수준·전체 맥락 재확인 필요</x:v>
      </x:c>
      <x:c r="N512" s="5" t="str">
        <x:v>UI-068
UI-116</x:v>
      </x:c>
      <x:c r="O512" s="5" t="str">
        <x:v>자동 추출 후보 / 공식 전수 체크리스트 아님</x:v>
      </x:c>
    </x:row>
    <x:row r="513" ht="26.399999618530273" hidden="0" customHeight="1">
      <x:c r="A513" s="5" t="str">
        <x:v>KRDS-SEC-069-U-02</x:v>
      </x:c>
      <x:c r="B513" s="5" t="str">
        <x:v>KRDS-SEC-069</x:v>
      </x:c>
      <x:c r="C513" s="5" t="str">
        <x:v>기본 패턴</x:v>
      </x:c>
      <x:c r="D513" s="5" t="str">
        <x:v>패턴</x:v>
      </x:c>
      <x:c r="E513" s="5" t="str">
        <x:v>오류</x:v>
      </x:c>
      <x:c r="F513" s="5" t="str">
        <x:v>사용성 가이드라인</x:v>
      </x:c>
      <x:c r="G513" s="5" t="str">
        <x:v>02</x:v>
      </x:c>
      <x:c r="H513" s="5" t="n">
        <x:v>829</x:v>
      </x:c>
      <x:c r="I513" s="5" t="n">
        <x:v>829</x:v>
      </x:c>
      <x:c r="J513" s="5" t="str">
        <x:v>830</x:v>
      </x:c>
      <x:c r="K513" s="5" t="str">
        <x:v>발생한 오류 및 문제를 분명하게 설명한다.</x:v>
      </x:c>
      <x:c r="L513" s="5" t="str">
        <x:v>원문 세부기준</x:v>
      </x:c>
      <x:c r="M513" s="5" t="str">
        <x:v>추출 후 기본 구조 검토; 원문 적용수준·전체 맥락 재확인 필요</x:v>
      </x:c>
      <x:c r="N513" s="5" t="str">
        <x:v>UI-068
UI-116</x:v>
      </x:c>
      <x:c r="O513" s="5" t="str">
        <x:v>자동 추출 후보 / 공식 전수 체크리스트 아님</x:v>
      </x:c>
    </x:row>
    <x:row r="514" ht="26.399999618530273" hidden="0" customHeight="1">
      <x:c r="A514" s="5" t="str">
        <x:v>KRDS-SEC-069-U-03</x:v>
      </x:c>
      <x:c r="B514" s="5" t="str">
        <x:v>KRDS-SEC-069</x:v>
      </x:c>
      <x:c r="C514" s="5" t="str">
        <x:v>기본 패턴</x:v>
      </x:c>
      <x:c r="D514" s="5" t="str">
        <x:v>패턴</x:v>
      </x:c>
      <x:c r="E514" s="5" t="str">
        <x:v>오류</x:v>
      </x:c>
      <x:c r="F514" s="5" t="str">
        <x:v>사용성 가이드라인</x:v>
      </x:c>
      <x:c r="G514" s="5" t="str">
        <x:v>03</x:v>
      </x:c>
      <x:c r="H514" s="5" t="n">
        <x:v>829</x:v>
      </x:c>
      <x:c r="I514" s="5" t="n">
        <x:v>829</x:v>
      </x:c>
      <x:c r="J514" s="5" t="str">
        <x:v>830</x:v>
      </x:c>
      <x:c r="K514" s="5" t="str">
        <x:v>오류를 수정할 수 있는 방법을 제공한다.</x:v>
      </x:c>
      <x:c r="L514" s="5" t="str">
        <x:v>원문 세부기준</x:v>
      </x:c>
      <x:c r="M514" s="5" t="str">
        <x:v>추출 후 기본 구조 검토; 원문 적용수준·전체 맥락 재확인 필요</x:v>
      </x:c>
      <x:c r="N514" s="5" t="str">
        <x:v>UI-068
UI-116</x:v>
      </x:c>
      <x:c r="O514" s="5" t="str">
        <x:v>자동 추출 후보 / 공식 전수 체크리스트 아님</x:v>
      </x:c>
    </x:row>
    <x:row r="515" ht="26.399999618530273" hidden="0" customHeight="1">
      <x:c r="A515" s="5" t="str">
        <x:v>KRDS-SEC-069-U-04</x:v>
      </x:c>
      <x:c r="B515" s="5" t="str">
        <x:v>KRDS-SEC-069</x:v>
      </x:c>
      <x:c r="C515" s="5" t="str">
        <x:v>기본 패턴</x:v>
      </x:c>
      <x:c r="D515" s="5" t="str">
        <x:v>패턴</x:v>
      </x:c>
      <x:c r="E515" s="5" t="str">
        <x:v>오류</x:v>
      </x:c>
      <x:c r="F515" s="5" t="str">
        <x:v>사용성 가이드라인</x:v>
      </x:c>
      <x:c r="G515" s="5" t="str">
        <x:v>04</x:v>
      </x:c>
      <x:c r="H515" s="5" t="n">
        <x:v>829</x:v>
      </x:c>
      <x:c r="I515" s="5" t="n">
        <x:v>829</x:v>
      </x:c>
      <x:c r="J515" s="5" t="str">
        <x:v>830</x:v>
      </x:c>
      <x:c r="K515" s="5" t="str">
        <x:v>정중한 문체를 사용한다.</x:v>
      </x:c>
      <x:c r="L515" s="5" t="str">
        <x:v>원문 세부기준</x:v>
      </x:c>
      <x:c r="M515" s="5" t="str">
        <x:v>추출 후 기본 구조 검토; 원문 적용수준·전체 맥락 재확인 필요</x:v>
      </x:c>
      <x:c r="N515" s="5" t="str">
        <x:v>UI-068
UI-116</x:v>
      </x:c>
      <x:c r="O515" s="5" t="str">
        <x:v>자동 추출 후보 / 공식 전수 체크리스트 아님</x:v>
      </x:c>
    </x:row>
    <x:row r="516" ht="26.399999618530273" hidden="0" customHeight="1">
      <x:c r="A516" s="5" t="str">
        <x:v>KRDS-SEC-069-A-01</x:v>
      </x:c>
      <x:c r="B516" s="5" t="str">
        <x:v>KRDS-SEC-069</x:v>
      </x:c>
      <x:c r="C516" s="5" t="str">
        <x:v>기본 패턴</x:v>
      </x:c>
      <x:c r="D516" s="5" t="str">
        <x:v>패턴</x:v>
      </x:c>
      <x:c r="E516" s="5" t="str">
        <x:v>오류</x:v>
      </x:c>
      <x:c r="F516" s="5" t="str">
        <x:v>접근성 가이드라인</x:v>
      </x:c>
      <x:c r="G516" s="5" t="str">
        <x:v>01</x:v>
      </x:c>
      <x:c r="H516" s="5" t="n">
        <x:v>831</x:v>
      </x:c>
      <x:c r="I516" s="5" t="n">
        <x:v>831</x:v>
      </x:c>
      <x:c r="J516" s="5" t="str"/>
      <x:c r="K516" s="5" t="str">
        <x:v>오류가 발생한 요소로 초점이 자동으로 이동되도록 제공한다.</x:v>
      </x:c>
      <x:c r="L516" s="5" t="str">
        <x:v>원문 세부기준</x:v>
      </x:c>
      <x:c r="M516" s="5" t="str">
        <x:v>추출 후 기본 구조 검토; 원문 적용수준·전체 맥락 재확인 필요</x:v>
      </x:c>
      <x:c r="N516" s="5" t="str">
        <x:v>UI-068
UI-116</x:v>
      </x:c>
      <x:c r="O516" s="5" t="str">
        <x:v>자동 추출 후보 / 공식 전수 체크리스트 아님</x:v>
      </x:c>
    </x:row>
    <x:row r="517" ht="26.399999618530273" hidden="0" customHeight="1">
      <x:c r="A517" s="5" t="str">
        <x:v>KRDS-SEC-069-A-02</x:v>
      </x:c>
      <x:c r="B517" s="5" t="str">
        <x:v>KRDS-SEC-069</x:v>
      </x:c>
      <x:c r="C517" s="5" t="str">
        <x:v>기본 패턴</x:v>
      </x:c>
      <x:c r="D517" s="5" t="str">
        <x:v>패턴</x:v>
      </x:c>
      <x:c r="E517" s="5" t="str">
        <x:v>오류</x:v>
      </x:c>
      <x:c r="F517" s="5" t="str">
        <x:v>접근성 가이드라인</x:v>
      </x:c>
      <x:c r="G517" s="5" t="str">
        <x:v>02</x:v>
      </x:c>
      <x:c r="H517" s="5" t="n">
        <x:v>831</x:v>
      </x:c>
      <x:c r="I517" s="5" t="n">
        <x:v>831</x:v>
      </x:c>
      <x:c r="J517" s="5" t="str"/>
      <x:c r="K517" s="5" t="str">
        <x:v>사용자의 입력 값이 유지되도록 한다.</x:v>
      </x:c>
      <x:c r="L517" s="5" t="str">
        <x:v>원문 세부기준</x:v>
      </x:c>
      <x:c r="M517" s="5" t="str">
        <x:v>추출 후 기본 구조 검토; 원문 적용수준·전체 맥락 재확인 필요</x:v>
      </x:c>
      <x:c r="N517" s="5" t="str">
        <x:v>UI-068
UI-116</x:v>
      </x:c>
      <x:c r="O517" s="5" t="str">
        <x:v>자동 추출 후보 / 공식 전수 체크리스트 아님</x:v>
      </x:c>
    </x:row>
    <x:row r="518" ht="52.79999923706055" hidden="0" customHeight="1">
      <x:c r="A518" s="5" t="str">
        <x:v>KRDS-SEC-070-U-01</x:v>
      </x:c>
      <x:c r="B518" s="5" t="str">
        <x:v>KRDS-SEC-070</x:v>
      </x:c>
      <x:c r="C518" s="5" t="str">
        <x:v>기본 패턴</x:v>
      </x:c>
      <x:c r="D518" s="5" t="str">
        <x:v>패턴</x:v>
      </x:c>
      <x:c r="E518" s="5" t="str">
        <x:v>입력폼</x:v>
      </x:c>
      <x:c r="F518" s="5" t="str">
        <x:v>사용성 가이드라인</x:v>
      </x:c>
      <x:c r="G518" s="5" t="str">
        <x:v>01</x:v>
      </x:c>
      <x:c r="H518" s="5" t="n">
        <x:v>835</x:v>
      </x:c>
      <x:c r="I518" s="5" t="n">
        <x:v>835</x:v>
      </x:c>
      <x:c r="J518" s="5" t="str">
        <x:v>836</x:v>
      </x:c>
      <x:c r="K518" s="5" t="str">
        <x:v>콘텐츠는 가능한 한 하나의 열에 수직으로 정렬한다</x:v>
      </x:c>
      <x:c r="L518" s="5" t="str">
        <x:v>원문 세부기준</x:v>
      </x:c>
      <x:c r="M518" s="5" t="str">
        <x:v>추출 후 기본 구조 검토; 원문 적용수준·전체 맥락 재확인 필요</x:v>
      </x:c>
      <x:c r="N518" s="5" t="str">
        <x:v>UI-069
UI-117
UI-118
UI-119</x:v>
      </x:c>
      <x:c r="O518" s="5" t="str">
        <x:v>자동 추출 후보 / 공식 전수 체크리스트 아님</x:v>
      </x:c>
    </x:row>
    <x:row r="519" ht="52.79999923706055" hidden="0" customHeight="1">
      <x:c r="A519" s="5" t="str">
        <x:v>KRDS-SEC-070-U-02</x:v>
      </x:c>
      <x:c r="B519" s="5" t="str">
        <x:v>KRDS-SEC-070</x:v>
      </x:c>
      <x:c r="C519" s="5" t="str">
        <x:v>기본 패턴</x:v>
      </x:c>
      <x:c r="D519" s="5" t="str">
        <x:v>패턴</x:v>
      </x:c>
      <x:c r="E519" s="5" t="str">
        <x:v>입력폼</x:v>
      </x:c>
      <x:c r="F519" s="5" t="str">
        <x:v>사용성 가이드라인</x:v>
      </x:c>
      <x:c r="G519" s="5" t="str">
        <x:v>02</x:v>
      </x:c>
      <x:c r="H519" s="5" t="n">
        <x:v>835</x:v>
      </x:c>
      <x:c r="I519" s="5" t="n">
        <x:v>835</x:v>
      </x:c>
      <x:c r="J519" s="5" t="str">
        <x:v>836</x:v>
      </x:c>
      <x:c r="K519" s="5" t="str">
        <x:v>입력폼과 입력폼, 콘텐츠와 콘텐츠 사이에 충분한 간격을 제공한다.</x:v>
      </x:c>
      <x:c r="L519" s="5" t="str">
        <x:v>원문 세부기준</x:v>
      </x:c>
      <x:c r="M519" s="5" t="str">
        <x:v>추출 후 기본 구조 검토; 원문 적용수준·전체 맥락 재확인 필요</x:v>
      </x:c>
      <x:c r="N519" s="5" t="str">
        <x:v>UI-069
UI-117
UI-118
UI-119</x:v>
      </x:c>
      <x:c r="O519" s="5" t="str">
        <x:v>자동 추출 후보 / 공식 전수 체크리스트 아님</x:v>
      </x:c>
    </x:row>
    <x:row r="520" ht="52.79999923706055" hidden="0" customHeight="1">
      <x:c r="A520" s="5" t="str">
        <x:v>KRDS-SEC-070-U-03</x:v>
      </x:c>
      <x:c r="B520" s="5" t="str">
        <x:v>KRDS-SEC-070</x:v>
      </x:c>
      <x:c r="C520" s="5" t="str">
        <x:v>기본 패턴</x:v>
      </x:c>
      <x:c r="D520" s="5" t="str">
        <x:v>패턴</x:v>
      </x:c>
      <x:c r="E520" s="5" t="str">
        <x:v>입력폼</x:v>
      </x:c>
      <x:c r="F520" s="5" t="str">
        <x:v>사용성 가이드라인</x:v>
      </x:c>
      <x:c r="G520" s="5" t="str">
        <x:v>03</x:v>
      </x:c>
      <x:c r="H520" s="5" t="n">
        <x:v>835</x:v>
      </x:c>
      <x:c r="I520" s="5" t="n">
        <x:v>835</x:v>
      </x:c>
      <x:c r="J520" s="5" t="str">
        <x:v>837</x:v>
      </x:c>
      <x:c r="K520" s="5" t="str">
        <x:v>액션 버튼은 일관된 위치에 배치하고 정렬한다.</x:v>
      </x:c>
      <x:c r="L520" s="5" t="str">
        <x:v>원문 세부기준</x:v>
      </x:c>
      <x:c r="M520" s="5" t="str">
        <x:v>추출 후 기본 구조 검토; 원문 적용수준·전체 맥락 재확인 필요</x:v>
      </x:c>
      <x:c r="N520" s="5" t="str">
        <x:v>UI-069
UI-117
UI-118
UI-119</x:v>
      </x:c>
      <x:c r="O520" s="5" t="str">
        <x:v>자동 추출 후보 / 공식 전수 체크리스트 아님</x:v>
      </x:c>
    </x:row>
    <x:row r="521" ht="52.79999923706055" hidden="0" customHeight="1">
      <x:c r="A521" s="5" t="str">
        <x:v>KRDS-SEC-070-U-04</x:v>
      </x:c>
      <x:c r="B521" s="5" t="str">
        <x:v>KRDS-SEC-070</x:v>
      </x:c>
      <x:c r="C521" s="5" t="str">
        <x:v>기본 패턴</x:v>
      </x:c>
      <x:c r="D521" s="5" t="str">
        <x:v>패턴</x:v>
      </x:c>
      <x:c r="E521" s="5" t="str">
        <x:v>입력폼</x:v>
      </x:c>
      <x:c r="F521" s="5" t="str">
        <x:v>사용성 가이드라인</x:v>
      </x:c>
      <x:c r="G521" s="5" t="str">
        <x:v>04</x:v>
      </x:c>
      <x:c r="H521" s="5" t="n">
        <x:v>835</x:v>
      </x:c>
      <x:c r="I521" s="5" t="n">
        <x:v>835</x:v>
      </x:c>
      <x:c r="J521" s="5" t="str">
        <x:v>838</x:v>
      </x:c>
      <x:c r="K521" s="5" t="str">
        <x:v>비활성화 상태의 입력폼 제출 버튼 사용을 고려한다.</x:v>
      </x:c>
      <x:c r="L521" s="5" t="str">
        <x:v>원문 세부기준</x:v>
      </x:c>
      <x:c r="M521" s="5" t="str">
        <x:v>추출 후 기본 구조 검토; 원문 적용수준·전체 맥락 재확인 필요</x:v>
      </x:c>
      <x:c r="N521" s="5" t="str">
        <x:v>UI-069
UI-117
UI-118
UI-119</x:v>
      </x:c>
      <x:c r="O521" s="5" t="str">
        <x:v>자동 추출 후보 / 공식 전수 체크리스트 아님</x:v>
      </x:c>
    </x:row>
    <x:row r="522" ht="52.79999923706055" hidden="0" customHeight="1">
      <x:c r="A522" s="5" t="str">
        <x:v>KRDS-SEC-070-U-05</x:v>
      </x:c>
      <x:c r="B522" s="5" t="str">
        <x:v>KRDS-SEC-070</x:v>
      </x:c>
      <x:c r="C522" s="5" t="str">
        <x:v>기본 패턴</x:v>
      </x:c>
      <x:c r="D522" s="5" t="str">
        <x:v>패턴</x:v>
      </x:c>
      <x:c r="E522" s="5" t="str">
        <x:v>입력폼</x:v>
      </x:c>
      <x:c r="F522" s="5" t="str">
        <x:v>사용성 가이드라인</x:v>
      </x:c>
      <x:c r="G522" s="5" t="str">
        <x:v>05</x:v>
      </x:c>
      <x:c r="H522" s="5" t="n">
        <x:v>835</x:v>
      </x:c>
      <x:c r="I522" s="5" t="n">
        <x:v>835</x:v>
      </x:c>
      <x:c r="J522" s="5" t="str">
        <x:v>839</x:v>
      </x:c>
      <x:c r="K522" s="5" t="str">
        <x:v>입력 필드 주변에 레이블과 설명을 제공한다.</x:v>
      </x:c>
      <x:c r="L522" s="5" t="str">
        <x:v>원문 세부기준</x:v>
      </x:c>
      <x:c r="M522" s="5" t="str">
        <x:v>추출 후 기본 구조 검토; 원문 적용수준·전체 맥락 재확인 필요</x:v>
      </x:c>
      <x:c r="N522" s="5" t="str">
        <x:v>UI-069
UI-117
UI-118
UI-119</x:v>
      </x:c>
      <x:c r="O522" s="5" t="str">
        <x:v>자동 추출 후보 / 공식 전수 체크리스트 아님</x:v>
      </x:c>
    </x:row>
    <x:row r="523" ht="52.79999923706055" hidden="0" customHeight="1">
      <x:c r="A523" s="5" t="str">
        <x:v>KRDS-SEC-070-U-06</x:v>
      </x:c>
      <x:c r="B523" s="5" t="str">
        <x:v>KRDS-SEC-070</x:v>
      </x:c>
      <x:c r="C523" s="5" t="str">
        <x:v>기본 패턴</x:v>
      </x:c>
      <x:c r="D523" s="5" t="str">
        <x:v>패턴</x:v>
      </x:c>
      <x:c r="E523" s="5" t="str">
        <x:v>입력폼</x:v>
      </x:c>
      <x:c r="F523" s="5" t="str">
        <x:v>사용성 가이드라인</x:v>
      </x:c>
      <x:c r="G523" s="5" t="str">
        <x:v>06</x:v>
      </x:c>
      <x:c r="H523" s="5" t="n">
        <x:v>835</x:v>
      </x:c>
      <x:c r="I523" s="5" t="n">
        <x:v>835</x:v>
      </x:c>
      <x:c r="J523" s="5" t="str">
        <x:v>839</x:v>
      </x:c>
      <x:c r="K523" s="5" t="str">
        <x:v>입력값의 단위를 표시한다.</x:v>
      </x:c>
      <x:c r="L523" s="5" t="str">
        <x:v>원문 세부기준</x:v>
      </x:c>
      <x:c r="M523" s="5" t="str">
        <x:v>추출 후 기본 구조 검토; 원문 적용수준·전체 맥락 재확인 필요</x:v>
      </x:c>
      <x:c r="N523" s="5" t="str">
        <x:v>UI-069
UI-117
UI-118
UI-119</x:v>
      </x:c>
      <x:c r="O523" s="5" t="str">
        <x:v>자동 추출 후보 / 공식 전수 체크리스트 아님</x:v>
      </x:c>
    </x:row>
    <x:row r="524" ht="52.79999923706055" hidden="0" customHeight="1">
      <x:c r="A524" s="5" t="str">
        <x:v>KRDS-SEC-070-U-07</x:v>
      </x:c>
      <x:c r="B524" s="5" t="str">
        <x:v>KRDS-SEC-070</x:v>
      </x:c>
      <x:c r="C524" s="5" t="str">
        <x:v>기본 패턴</x:v>
      </x:c>
      <x:c r="D524" s="5" t="str">
        <x:v>패턴</x:v>
      </x:c>
      <x:c r="E524" s="5" t="str">
        <x:v>입력폼</x:v>
      </x:c>
      <x:c r="F524" s="5" t="str">
        <x:v>사용성 가이드라인</x:v>
      </x:c>
      <x:c r="G524" s="5" t="str">
        <x:v>07</x:v>
      </x:c>
      <x:c r="H524" s="5" t="n">
        <x:v>835</x:v>
      </x:c>
      <x:c r="I524" s="5" t="n">
        <x:v>835</x:v>
      </x:c>
      <x:c r="J524" s="5" t="str">
        <x:v>840</x:v>
      </x:c>
      <x:c r="K524" s="5" t="str">
        <x:v>필수 입력 항목과 선택 입력 항목을 명확하게 구분한다.</x:v>
      </x:c>
      <x:c r="L524" s="5" t="str">
        <x:v>원문 세부기준</x:v>
      </x:c>
      <x:c r="M524" s="5" t="str">
        <x:v>추출 후 기본 구조 검토; 원문 적용수준·전체 맥락 재확인 필요</x:v>
      </x:c>
      <x:c r="N524" s="5" t="str">
        <x:v>UI-069
UI-117
UI-118
UI-119</x:v>
      </x:c>
      <x:c r="O524" s="5" t="str">
        <x:v>자동 추출 후보 / 공식 전수 체크리스트 아님</x:v>
      </x:c>
    </x:row>
    <x:row r="525" ht="52.79999923706055" hidden="0" customHeight="1">
      <x:c r="A525" s="5" t="str">
        <x:v>KRDS-SEC-070-U-08</x:v>
      </x:c>
      <x:c r="B525" s="5" t="str">
        <x:v>KRDS-SEC-070</x:v>
      </x:c>
      <x:c r="C525" s="5" t="str">
        <x:v>기본 패턴</x:v>
      </x:c>
      <x:c r="D525" s="5" t="str">
        <x:v>패턴</x:v>
      </x:c>
      <x:c r="E525" s="5" t="str">
        <x:v>입력폼</x:v>
      </x:c>
      <x:c r="F525" s="5" t="str">
        <x:v>사용성 가이드라인</x:v>
      </x:c>
      <x:c r="G525" s="5" t="str">
        <x:v>08</x:v>
      </x:c>
      <x:c r="H525" s="5" t="n">
        <x:v>835</x:v>
      </x:c>
      <x:c r="I525" s="5" t="n">
        <x:v>835</x:v>
      </x:c>
      <x:c r="J525" s="5" t="str">
        <x:v>842</x:v>
      </x:c>
      <x:c r="K525" s="5" t="str">
        <x:v>필수 또는 선택 입력 항목은 일관성 있는 방식으로 구분한다.</x:v>
      </x:c>
      <x:c r="L525" s="5" t="str">
        <x:v>원문 세부기준</x:v>
      </x:c>
      <x:c r="M525" s="5" t="str">
        <x:v>추출 후 기본 구조 검토; 원문 적용수준·전체 맥락 재확인 필요</x:v>
      </x:c>
      <x:c r="N525" s="5" t="str">
        <x:v>UI-069
UI-117
UI-118
UI-119</x:v>
      </x:c>
      <x:c r="O525" s="5" t="str">
        <x:v>자동 추출 후보 / 공식 전수 체크리스트 아님</x:v>
      </x:c>
    </x:row>
    <x:row r="526" ht="52.79999923706055" hidden="0" customHeight="1">
      <x:c r="A526" s="5" t="str">
        <x:v>KRDS-SEC-070-U-09</x:v>
      </x:c>
      <x:c r="B526" s="5" t="str">
        <x:v>KRDS-SEC-070</x:v>
      </x:c>
      <x:c r="C526" s="5" t="str">
        <x:v>기본 패턴</x:v>
      </x:c>
      <x:c r="D526" s="5" t="str">
        <x:v>패턴</x:v>
      </x:c>
      <x:c r="E526" s="5" t="str">
        <x:v>입력폼</x:v>
      </x:c>
      <x:c r="F526" s="5" t="str">
        <x:v>사용성 가이드라인</x:v>
      </x:c>
      <x:c r="G526" s="5" t="str">
        <x:v>09</x:v>
      </x:c>
      <x:c r="H526" s="5" t="n">
        <x:v>835</x:v>
      </x:c>
      <x:c r="I526" s="5" t="n">
        <x:v>835</x:v>
      </x:c>
      <x:c r="J526" s="5" t="str">
        <x:v>844</x:v>
      </x:c>
      <x:c r="K526" s="5" t="str">
        <x:v>사용자로부터 최소한의 데이터만 입력받는다.</x:v>
      </x:c>
      <x:c r="L526" s="5" t="str">
        <x:v>원문 세부기준</x:v>
      </x:c>
      <x:c r="M526" s="5" t="str">
        <x:v>추출 후 기본 구조 검토; 원문 적용수준·전체 맥락 재확인 필요</x:v>
      </x:c>
      <x:c r="N526" s="5" t="str">
        <x:v>UI-069
UI-117
UI-118
UI-119</x:v>
      </x:c>
      <x:c r="O526" s="5" t="str">
        <x:v>자동 추출 후보 / 공식 전수 체크리스트 아님</x:v>
      </x:c>
    </x:row>
    <x:row r="527" ht="52.79999923706055" hidden="0" customHeight="1">
      <x:c r="A527" s="5" t="str">
        <x:v>KRDS-SEC-070-U-10</x:v>
      </x:c>
      <x:c r="B527" s="5" t="str">
        <x:v>KRDS-SEC-070</x:v>
      </x:c>
      <x:c r="C527" s="5" t="str">
        <x:v>기본 패턴</x:v>
      </x:c>
      <x:c r="D527" s="5" t="str">
        <x:v>패턴</x:v>
      </x:c>
      <x:c r="E527" s="5" t="str">
        <x:v>입력폼</x:v>
      </x:c>
      <x:c r="F527" s="5" t="str">
        <x:v>사용성 가이드라인</x:v>
      </x:c>
      <x:c r="G527" s="5" t="str">
        <x:v>10</x:v>
      </x:c>
      <x:c r="H527" s="5" t="n">
        <x:v>835</x:v>
      </x:c>
      <x:c r="I527" s="5" t="n">
        <x:v>835</x:v>
      </x:c>
      <x:c r="J527" s="5" t="str">
        <x:v>844</x:v>
      </x:c>
      <x:c r="K527" s="5" t="str">
        <x:v>사용자가 자주 입력하는 데이터에 자동 완성 기능을 제공하는 방안을 고려한다.</x:v>
      </x:c>
      <x:c r="L527" s="5" t="str">
        <x:v>원문 세부기준</x:v>
      </x:c>
      <x:c r="M527" s="5" t="str">
        <x:v>추출 후 기본 구조 검토; 원문 적용수준·전체 맥락 재확인 필요</x:v>
      </x:c>
      <x:c r="N527" s="5" t="str">
        <x:v>UI-069
UI-117
UI-118
UI-119</x:v>
      </x:c>
      <x:c r="O527" s="5" t="str">
        <x:v>자동 추출 후보 / 공식 전수 체크리스트 아님</x:v>
      </x:c>
    </x:row>
    <x:row r="528" ht="52.79999923706055" hidden="0" customHeight="1">
      <x:c r="A528" s="5" t="str">
        <x:v>KRDS-SEC-070-U-11</x:v>
      </x:c>
      <x:c r="B528" s="5" t="str">
        <x:v>KRDS-SEC-070</x:v>
      </x:c>
      <x:c r="C528" s="5" t="str">
        <x:v>기본 패턴</x:v>
      </x:c>
      <x:c r="D528" s="5" t="str">
        <x:v>패턴</x:v>
      </x:c>
      <x:c r="E528" s="5" t="str">
        <x:v>입력폼</x:v>
      </x:c>
      <x:c r="F528" s="5" t="str">
        <x:v>사용성 가이드라인</x:v>
      </x:c>
      <x:c r="G528" s="5" t="str">
        <x:v>11</x:v>
      </x:c>
      <x:c r="H528" s="5" t="n">
        <x:v>835</x:v>
      </x:c>
      <x:c r="I528" s="5" t="n">
        <x:v>835</x:v>
      </x:c>
      <x:c r="J528" s="5" t="str">
        <x:v>845</x:v>
      </x:c>
      <x:c r="K528" s="5" t="str">
        <x:v>사용자가 잘못 입력/선택한 값을 자동으로 삭제하지 않는다.</x:v>
      </x:c>
      <x:c r="L528" s="5" t="str">
        <x:v>원문 세부기준</x:v>
      </x:c>
      <x:c r="M528" s="5" t="str">
        <x:v>추출 후 기본 구조 검토; 원문 적용수준·전체 맥락 재확인 필요</x:v>
      </x:c>
      <x:c r="N528" s="5" t="str">
        <x:v>UI-069
UI-117
UI-118
UI-119</x:v>
      </x:c>
      <x:c r="O528" s="5" t="str">
        <x:v>자동 추출 후보 / 공식 전수 체크리스트 아님</x:v>
      </x:c>
    </x:row>
    <x:row r="529" ht="52.79999923706055" hidden="0" customHeight="1">
      <x:c r="A529" s="5" t="str">
        <x:v>KRDS-SEC-070-P-01</x:v>
      </x:c>
      <x:c r="B529" s="5" t="str">
        <x:v>KRDS-SEC-070</x:v>
      </x:c>
      <x:c r="C529" s="5" t="str">
        <x:v>기본 패턴</x:v>
      </x:c>
      <x:c r="D529" s="5" t="str">
        <x:v>패턴</x:v>
      </x:c>
      <x:c r="E529" s="5" t="str">
        <x:v>입력폼</x:v>
      </x:c>
      <x:c r="F529" s="5" t="str">
        <x:v>플랫폼에 대한 고려 사항</x:v>
      </x:c>
      <x:c r="G529" s="5" t="str">
        <x:v>01</x:v>
      </x:c>
      <x:c r="H529" s="5" t="n">
        <x:v>846</x:v>
      </x:c>
      <x:c r="I529" s="5" t="n">
        <x:v>846</x:v>
      </x:c>
      <x:c r="J529" s="5" t="str"/>
      <x:c r="K529" s="5" t="str">
        <x:v>모바일을 염두에 두고 디자인해야 한다.</x:v>
      </x:c>
      <x:c r="L529" s="5" t="str">
        <x:v>원문 세부기준</x:v>
      </x:c>
      <x:c r="M529" s="5" t="str">
        <x:v>추출 후 기본 구조 검토; 원문 적용수준·전체 맥락 재확인 필요</x:v>
      </x:c>
      <x:c r="N529" s="5" t="str">
        <x:v>UI-069
UI-117
UI-118
UI-119</x:v>
      </x:c>
      <x:c r="O529" s="5" t="str">
        <x:v>자동 추출 후보 / 공식 전수 체크리스트 아님</x:v>
      </x:c>
    </x:row>
    <x:row r="530" ht="52.79999923706055" hidden="0" customHeight="1">
      <x:c r="A530" s="5" t="str">
        <x:v>KRDS-SEC-070-A-01</x:v>
      </x:c>
      <x:c r="B530" s="5" t="str">
        <x:v>KRDS-SEC-070</x:v>
      </x:c>
      <x:c r="C530" s="5" t="str">
        <x:v>기본 패턴</x:v>
      </x:c>
      <x:c r="D530" s="5" t="str">
        <x:v>패턴</x:v>
      </x:c>
      <x:c r="E530" s="5" t="str">
        <x:v>입력폼</x:v>
      </x:c>
      <x:c r="F530" s="5" t="str">
        <x:v>접근성 가이드라인</x:v>
      </x:c>
      <x:c r="G530" s="5" t="str">
        <x:v>01</x:v>
      </x:c>
      <x:c r="H530" s="5" t="n">
        <x:v>847</x:v>
      </x:c>
      <x:c r="I530" s="5" t="n">
        <x:v>847</x:v>
      </x:c>
      <x:c r="J530" s="5" t="str"/>
      <x:c r="K530" s="5" t="str">
        <x:v>각 입력 필드와 입력폼에 이름을 제공한다.</x:v>
      </x:c>
      <x:c r="L530" s="5" t="str">
        <x:v>원문 세부기준</x:v>
      </x:c>
      <x:c r="M530" s="5" t="str">
        <x:v>추출 후 기본 구조 검토; 원문 적용수준·전체 맥락 재확인 필요</x:v>
      </x:c>
      <x:c r="N530" s="5" t="str">
        <x:v>UI-069
UI-117
UI-118
UI-119</x:v>
      </x:c>
      <x:c r="O530" s="5" t="str">
        <x:v>자동 추출 후보 / 공식 전수 체크리스트 아님</x:v>
      </x:c>
    </x:row>
    <x:row r="531" ht="52.79999923706055" hidden="0" customHeight="1">
      <x:c r="A531" s="5" t="str">
        <x:v>KRDS-SEC-070-A-02</x:v>
      </x:c>
      <x:c r="B531" s="5" t="str">
        <x:v>KRDS-SEC-070</x:v>
      </x:c>
      <x:c r="C531" s="5" t="str">
        <x:v>기본 패턴</x:v>
      </x:c>
      <x:c r="D531" s="5" t="str">
        <x:v>패턴</x:v>
      </x:c>
      <x:c r="E531" s="5" t="str">
        <x:v>입력폼</x:v>
      </x:c>
      <x:c r="F531" s="5" t="str">
        <x:v>접근성 가이드라인</x:v>
      </x:c>
      <x:c r="G531" s="5" t="str">
        <x:v>02</x:v>
      </x:c>
      <x:c r="H531" s="5" t="n">
        <x:v>847</x:v>
      </x:c>
      <x:c r="I531" s="5" t="n">
        <x:v>847</x:v>
      </x:c>
      <x:c r="J531" s="5" t="str"/>
      <x:c r="K531" s="5" t="str">
        <x:v>입력폼 각 섹션에 제목을 제공한다.</x:v>
      </x:c>
      <x:c r="L531" s="5" t="str">
        <x:v>원문 세부기준</x:v>
      </x:c>
      <x:c r="M531" s="5" t="str">
        <x:v>추출 후 기본 구조 검토; 원문 적용수준·전체 맥락 재확인 필요</x:v>
      </x:c>
      <x:c r="N531" s="5" t="str">
        <x:v>UI-069
UI-117
UI-118
UI-119</x:v>
      </x:c>
      <x:c r="O531" s="5" t="str">
        <x:v>자동 추출 후보 / 공식 전수 체크리스트 아님</x:v>
      </x:c>
    </x:row>
    <x:row r="532" ht="52.79999923706055" hidden="0" customHeight="1">
      <x:c r="A532" s="5" t="str">
        <x:v>KRDS-SEC-070-A-03</x:v>
      </x:c>
      <x:c r="B532" s="5" t="str">
        <x:v>KRDS-SEC-070</x:v>
      </x:c>
      <x:c r="C532" s="5" t="str">
        <x:v>기본 패턴</x:v>
      </x:c>
      <x:c r="D532" s="5" t="str">
        <x:v>패턴</x:v>
      </x:c>
      <x:c r="E532" s="5" t="str">
        <x:v>입력폼</x:v>
      </x:c>
      <x:c r="F532" s="5" t="str">
        <x:v>접근성 가이드라인</x:v>
      </x:c>
      <x:c r="G532" s="5" t="str">
        <x:v>03</x:v>
      </x:c>
      <x:c r="H532" s="5" t="n">
        <x:v>848</x:v>
      </x:c>
      <x:c r="I532" s="5" t="n">
        <x:v>848</x:v>
      </x:c>
      <x:c r="J532" s="5" t="str"/>
      <x:c r="K532" s="5" t="str">
        <x:v>어떤 항목에서 오류가 발생했는지에 관한 정확한 정보를 오류 메시지로 알려주어야 한다.</x:v>
      </x:c>
      <x:c r="L532" s="5" t="str">
        <x:v>원문 세부기준</x:v>
      </x:c>
      <x:c r="M532" s="5" t="str">
        <x:v>추출 후 기본 구조 검토; 원문 적용수준·전체 맥락 재확인 필요</x:v>
      </x:c>
      <x:c r="N532" s="5" t="str">
        <x:v>UI-069
UI-117
UI-118
UI-119</x:v>
      </x:c>
      <x:c r="O532" s="5" t="str">
        <x:v>자동 추출 후보 / 공식 전수 체크리스트 아님</x:v>
      </x:c>
    </x:row>
    <x:row r="533" ht="52.79999923706055" hidden="0" customHeight="1">
      <x:c r="A533" s="5" t="str">
        <x:v>KRDS-SEC-070-A-04</x:v>
      </x:c>
      <x:c r="B533" s="5" t="str">
        <x:v>KRDS-SEC-070</x:v>
      </x:c>
      <x:c r="C533" s="5" t="str">
        <x:v>기본 패턴</x:v>
      </x:c>
      <x:c r="D533" s="5" t="str">
        <x:v>패턴</x:v>
      </x:c>
      <x:c r="E533" s="5" t="str">
        <x:v>입력폼</x:v>
      </x:c>
      <x:c r="F533" s="5" t="str">
        <x:v>접근성 가이드라인</x:v>
      </x:c>
      <x:c r="G533" s="5" t="str">
        <x:v>04</x:v>
      </x:c>
      <x:c r="H533" s="5" t="n">
        <x:v>848</x:v>
      </x:c>
      <x:c r="I533" s="5" t="n">
        <x:v>848</x:v>
      </x:c>
      <x:c r="J533" s="5" t="str"/>
      <x:c r="K533" s="5" t="str">
        <x:v>사용자가 입력 필드의 초점을 자유롭게 이동시킬 수 있도록 제공한다.</x:v>
      </x:c>
      <x:c r="L533" s="5" t="str">
        <x:v>원문 세부기준</x:v>
      </x:c>
      <x:c r="M533" s="5" t="str">
        <x:v>추출 후 기본 구조 검토; 원문 적용수준·전체 맥락 재확인 필요</x:v>
      </x:c>
      <x:c r="N533" s="5" t="str">
        <x:v>UI-069
UI-117
UI-118
UI-119</x:v>
      </x:c>
      <x:c r="O533" s="5" t="str">
        <x:v>자동 추출 후보 / 공식 전수 체크리스트 아님</x:v>
      </x:c>
    </x:row>
    <x:row r="534" ht="52.79999923706055" hidden="0" customHeight="1">
      <x:c r="A534" s="5" t="str">
        <x:v>KRDS-SEC-070-A-05</x:v>
      </x:c>
      <x:c r="B534" s="5" t="str">
        <x:v>KRDS-SEC-070</x:v>
      </x:c>
      <x:c r="C534" s="5" t="str">
        <x:v>기본 패턴</x:v>
      </x:c>
      <x:c r="D534" s="5" t="str">
        <x:v>패턴</x:v>
      </x:c>
      <x:c r="E534" s="5" t="str">
        <x:v>입력폼</x:v>
      </x:c>
      <x:c r="F534" s="5" t="str">
        <x:v>접근성 가이드라인</x:v>
      </x:c>
      <x:c r="G534" s="5" t="str">
        <x:v>05</x:v>
      </x:c>
      <x:c r="H534" s="5" t="n">
        <x:v>849</x:v>
      </x:c>
      <x:c r="I534" s="5" t="n">
        <x:v>849</x:v>
      </x:c>
      <x:c r="J534" s="5" t="str"/>
      <x:c r="K534" s="5" t="str">
        <x:v>필수 입력 항목 정보는 보조 기술이 확인할 수 있는 형태로 제공한다.</x:v>
      </x:c>
      <x:c r="L534" s="5" t="str">
        <x:v>원문 세부기준</x:v>
      </x:c>
      <x:c r="M534" s="5" t="str">
        <x:v>추출 후 기본 구조 검토; 원문 적용수준·전체 맥락 재확인 필요</x:v>
      </x:c>
      <x:c r="N534" s="5" t="str">
        <x:v>UI-069
UI-117
UI-118
UI-119</x:v>
      </x:c>
      <x:c r="O534" s="5" t="str">
        <x:v>자동 추출 후보 / 공식 전수 체크리스트 아님</x:v>
      </x:c>
    </x:row>
    <x:row r="535" ht="52.79999923706055" hidden="0" customHeight="1">
      <x:c r="A535" s="5" t="str">
        <x:v>KRDS-SEC-070-A-06</x:v>
      </x:c>
      <x:c r="B535" s="5" t="str">
        <x:v>KRDS-SEC-070</x:v>
      </x:c>
      <x:c r="C535" s="5" t="str">
        <x:v>기본 패턴</x:v>
      </x:c>
      <x:c r="D535" s="5" t="str">
        <x:v>패턴</x:v>
      </x:c>
      <x:c r="E535" s="5" t="str">
        <x:v>입력폼</x:v>
      </x:c>
      <x:c r="F535" s="5" t="str">
        <x:v>접근성 가이드라인</x:v>
      </x:c>
      <x:c r="G535" s="5" t="str">
        <x:v>06</x:v>
      </x:c>
      <x:c r="H535" s="5" t="n">
        <x:v>849</x:v>
      </x:c>
      <x:c r="I535" s="5" t="n">
        <x:v>849</x:v>
      </x:c>
      <x:c r="J535" s="5" t="str"/>
      <x:c r="K535" s="5" t="str">
        <x:v>단계가 있는 입력폼에서 반복적으로 입력해야 하는 정보를 자동 입력하거나 동일하게 입력할 수 있는 수단을 제공한다.</x:v>
      </x:c>
      <x:c r="L535" s="5" t="str">
        <x:v>원문 세부기준</x:v>
      </x:c>
      <x:c r="M535" s="5" t="str">
        <x:v>추출 후 기본 구조 검토; 원문 적용수준·전체 맥락 재확인 필요</x:v>
      </x:c>
      <x:c r="N535" s="5" t="str">
        <x:v>UI-069
UI-117
UI-118
UI-119</x:v>
      </x:c>
      <x:c r="O535" s="5" t="str">
        <x:v>자동 추출 후보 / 공식 전수 체크리스트 아님</x:v>
      </x:c>
    </x:row>
    <x:row r="536" ht="15" hidden="0" customHeight="1">
      <x:c r="A536" s="5" t="str">
        <x:v>KRDS-SEC-071-U-01</x:v>
      </x:c>
      <x:c r="B536" s="5" t="str">
        <x:v>KRDS-SEC-071</x:v>
      </x:c>
      <x:c r="C536" s="5" t="str">
        <x:v>기본 패턴</x:v>
      </x:c>
      <x:c r="D536" s="5" t="str">
        <x:v>패턴</x:v>
      </x:c>
      <x:c r="E536" s="5" t="str">
        <x:v>첨부파일</x:v>
      </x:c>
      <x:c r="F536" s="5" t="str">
        <x:v>사용성 가이드라인</x:v>
      </x:c>
      <x:c r="G536" s="5" t="str">
        <x:v>01</x:v>
      </x:c>
      <x:c r="H536" s="5" t="n">
        <x:v>854</x:v>
      </x:c>
      <x:c r="I536" s="5" t="n">
        <x:v>854</x:v>
      </x:c>
      <x:c r="J536" s="5" t="str">
        <x:v>855</x:v>
      </x:c>
      <x:c r="K536" s="5" t="str">
        <x:v>링크가 파일 다운로드를 유발할 수 있음을 사용자에게 사전에 안내한다.</x:v>
      </x:c>
      <x:c r="L536" s="5" t="str">
        <x:v>원문 세부기준</x:v>
      </x:c>
      <x:c r="M536" s="5" t="str">
        <x:v>추출 후 기본 구조 검토; 원문 적용수준·전체 맥락 재확인 필요</x:v>
      </x:c>
      <x:c r="N536" s="5" t="str">
        <x:v>UI-070</x:v>
      </x:c>
      <x:c r="O536" s="5" t="str">
        <x:v>자동 추출 후보 / 공식 전수 체크리스트 아님</x:v>
      </x:c>
    </x:row>
    <x:row r="537" ht="15" hidden="0" customHeight="1">
      <x:c r="A537" s="5" t="str">
        <x:v>KRDS-SEC-071-U-02</x:v>
      </x:c>
      <x:c r="B537" s="5" t="str">
        <x:v>KRDS-SEC-071</x:v>
      </x:c>
      <x:c r="C537" s="5" t="str">
        <x:v>기본 패턴</x:v>
      </x:c>
      <x:c r="D537" s="5" t="str">
        <x:v>패턴</x:v>
      </x:c>
      <x:c r="E537" s="5" t="str">
        <x:v>첨부파일</x:v>
      </x:c>
      <x:c r="F537" s="5" t="str">
        <x:v>사용성 가이드라인</x:v>
      </x:c>
      <x:c r="G537" s="5" t="str">
        <x:v>02</x:v>
      </x:c>
      <x:c r="H537" s="5" t="n">
        <x:v>854</x:v>
      </x:c>
      <x:c r="I537" s="5" t="n">
        <x:v>854</x:v>
      </x:c>
      <x:c r="J537" s="5" t="str">
        <x:v>855</x:v>
      </x:c>
      <x:c r="K537" s="5" t="str">
        <x:v>파일의 크기와 형식 정보를 표시한다.</x:v>
      </x:c>
      <x:c r="L537" s="5" t="str">
        <x:v>원문 세부기준</x:v>
      </x:c>
      <x:c r="M537" s="5" t="str">
        <x:v>추출 후 기본 구조 검토; 원문 적용수준·전체 맥락 재확인 필요</x:v>
      </x:c>
      <x:c r="N537" s="5" t="str">
        <x:v>UI-070</x:v>
      </x:c>
      <x:c r="O537" s="5" t="str">
        <x:v>자동 추출 후보 / 공식 전수 체크리스트 아님</x:v>
      </x:c>
    </x:row>
    <x:row r="538" ht="15" hidden="0" customHeight="1">
      <x:c r="A538" s="5" t="str">
        <x:v>KRDS-SEC-071-U-03</x:v>
      </x:c>
      <x:c r="B538" s="5" t="str">
        <x:v>KRDS-SEC-071</x:v>
      </x:c>
      <x:c r="C538" s="5" t="str">
        <x:v>기본 패턴</x:v>
      </x:c>
      <x:c r="D538" s="5" t="str">
        <x:v>패턴</x:v>
      </x:c>
      <x:c r="E538" s="5" t="str">
        <x:v>첨부파일</x:v>
      </x:c>
      <x:c r="F538" s="5" t="str">
        <x:v>사용성 가이드라인</x:v>
      </x:c>
      <x:c r="G538" s="5" t="str">
        <x:v>03</x:v>
      </x:c>
      <x:c r="H538" s="5" t="n">
        <x:v>854</x:v>
      </x:c>
      <x:c r="I538" s="5" t="n">
        <x:v>854</x:v>
      </x:c>
      <x:c r="J538" s="5" t="str">
        <x:v>855</x:v>
      </x:c>
      <x:c r="K538" s="5" t="str">
        <x:v>인라인 링크 유형의 첨부파일 텍스트는 주변 콘텐츠와 비슷한 크기로 제공한다.</x:v>
      </x:c>
      <x:c r="L538" s="5" t="str">
        <x:v>원문 세부기준</x:v>
      </x:c>
      <x:c r="M538" s="5" t="str">
        <x:v>추출 후 기본 구조 검토; 원문 적용수준·전체 맥락 재확인 필요</x:v>
      </x:c>
      <x:c r="N538" s="5" t="str">
        <x:v>UI-070</x:v>
      </x:c>
      <x:c r="O538" s="5" t="str">
        <x:v>자동 추출 후보 / 공식 전수 체크리스트 아님</x:v>
      </x:c>
    </x:row>
    <x:row r="539" ht="15" hidden="0" customHeight="1">
      <x:c r="A539" s="5" t="str">
        <x:v>KRDS-SEC-071-A-01</x:v>
      </x:c>
      <x:c r="B539" s="5" t="str">
        <x:v>KRDS-SEC-071</x:v>
      </x:c>
      <x:c r="C539" s="5" t="str">
        <x:v>기본 패턴</x:v>
      </x:c>
      <x:c r="D539" s="5" t="str">
        <x:v>패턴</x:v>
      </x:c>
      <x:c r="E539" s="5" t="str">
        <x:v>첨부파일</x:v>
      </x:c>
      <x:c r="F539" s="5" t="str">
        <x:v>접근성 가이드라인</x:v>
      </x:c>
      <x:c r="G539" s="5" t="str">
        <x:v>01</x:v>
      </x:c>
      <x:c r="H539" s="5" t="n">
        <x:v>856</x:v>
      </x:c>
      <x:c r="I539" s="5" t="n">
        <x:v>856</x:v>
      </x:c>
      <x:c r="J539" s="5" t="str"/>
      <x:c r="K539" s="5" t="str">
        <x:v>첨부파일 아이콘 이미지에 적절한 대체 텍스트를 제공한다.</x:v>
      </x:c>
      <x:c r="L539" s="5" t="str">
        <x:v>원문 세부기준</x:v>
      </x:c>
      <x:c r="M539" s="5" t="str">
        <x:v>추출 후 기본 구조 검토; 원문 적용수준·전체 맥락 재확인 필요</x:v>
      </x:c>
      <x:c r="N539" s="5" t="str">
        <x:v>UI-070</x:v>
      </x:c>
      <x:c r="O539" s="5" t="str">
        <x:v>자동 추출 후보 / 공식 전수 체크리스트 아님</x:v>
      </x:c>
    </x:row>
    <x:row r="540" ht="15" hidden="0" customHeight="1">
      <x:c r="A540" s="5" t="str">
        <x:v>KRDS-SEC-071-A-02</x:v>
      </x:c>
      <x:c r="B540" s="5" t="str">
        <x:v>KRDS-SEC-071</x:v>
      </x:c>
      <x:c r="C540" s="5" t="str">
        <x:v>기본 패턴</x:v>
      </x:c>
      <x:c r="D540" s="5" t="str">
        <x:v>패턴</x:v>
      </x:c>
      <x:c r="E540" s="5" t="str">
        <x:v>첨부파일</x:v>
      </x:c>
      <x:c r="F540" s="5" t="str">
        <x:v>접근성 가이드라인</x:v>
      </x:c>
      <x:c r="G540" s="5" t="str">
        <x:v>02</x:v>
      </x:c>
      <x:c r="H540" s="5" t="n">
        <x:v>856</x:v>
      </x:c>
      <x:c r="I540" s="5" t="n">
        <x:v>856</x:v>
      </x:c>
      <x:c r="J540" s="5" t="str"/>
      <x:c r="K540" s="5" t="str">
        <x:v>첨부파일은 스크린 리더가 접근할 수 있는 형식으로 제공한다.</x:v>
      </x:c>
      <x:c r="L540" s="5" t="str">
        <x:v>원문 세부기준</x:v>
      </x:c>
      <x:c r="M540" s="5" t="str">
        <x:v>추출 후 기본 구조 검토; 원문 적용수준·전체 맥락 재확인 필요</x:v>
      </x:c>
      <x:c r="N540" s="5" t="str">
        <x:v>UI-070</x:v>
      </x:c>
      <x:c r="O540" s="5" t="str">
        <x:v>자동 추출 후보 / 공식 전수 체크리스트 아님</x:v>
      </x:c>
    </x:row>
    <x:row r="541" ht="15" hidden="0" customHeight="1">
      <x:c r="A541" s="5" t="str">
        <x:v>KRDS-SEC-072-U-01</x:v>
      </x:c>
      <x:c r="B541" s="5" t="str">
        <x:v>KRDS-SEC-072</x:v>
      </x:c>
      <x:c r="C541" s="5" t="str">
        <x:v>기본 패턴</x:v>
      </x:c>
      <x:c r="D541" s="5" t="str">
        <x:v>패턴</x:v>
      </x:c>
      <x:c r="E541" s="5" t="str">
        <x:v>필터링·정렬</x:v>
      </x:c>
      <x:c r="F541" s="5" t="str">
        <x:v>사용성 가이드라인</x:v>
      </x:c>
      <x:c r="G541" s="5" t="str">
        <x:v>01</x:v>
      </x:c>
      <x:c r="H541" s="5" t="n">
        <x:v>865</x:v>
      </x:c>
      <x:c r="I541" s="5" t="n">
        <x:v>865</x:v>
      </x:c>
      <x:c r="J541" s="5" t="str">
        <x:v>866</x:v>
      </x:c>
      <x:c r="K541" s="5" t="str">
        <x:v>필터링·정렬 컨트롤을 가능한 한 숨기지 않는다.</x:v>
      </x:c>
      <x:c r="L541" s="5" t="str">
        <x:v>원문 세부기준</x:v>
      </x:c>
      <x:c r="M541" s="5" t="str">
        <x:v>추출 후 기본 구조 검토; 원문 적용수준·전체 맥락 재확인 필요</x:v>
      </x:c>
      <x:c r="N541" s="5" t="str">
        <x:v>UI-071</x:v>
      </x:c>
      <x:c r="O541" s="5" t="str">
        <x:v>자동 추출 후보 / 공식 전수 체크리스트 아님</x:v>
      </x:c>
    </x:row>
    <x:row r="542" ht="15" hidden="0" customHeight="1">
      <x:c r="A542" s="5" t="str">
        <x:v>KRDS-SEC-072-U-02</x:v>
      </x:c>
      <x:c r="B542" s="5" t="str">
        <x:v>KRDS-SEC-072</x:v>
      </x:c>
      <x:c r="C542" s="5" t="str">
        <x:v>기본 패턴</x:v>
      </x:c>
      <x:c r="D542" s="5" t="str">
        <x:v>패턴</x:v>
      </x:c>
      <x:c r="E542" s="5" t="str">
        <x:v>필터링·정렬</x:v>
      </x:c>
      <x:c r="F542" s="5" t="str">
        <x:v>사용성 가이드라인</x:v>
      </x:c>
      <x:c r="G542" s="5" t="str">
        <x:v>02</x:v>
      </x:c>
      <x:c r="H542" s="5" t="n">
        <x:v>865</x:v>
      </x:c>
      <x:c r="I542" s="5" t="n">
        <x:v>865</x:v>
      </x:c>
      <x:c r="J542" s="5" t="str">
        <x:v>866</x:v>
      </x:c>
      <x:c r="K542" s="5" t="str">
        <x:v>선택된 필터링·정렬 옵션이 명확하게 구분되도록 표현한다.</x:v>
      </x:c>
      <x:c r="L542" s="5" t="str">
        <x:v>원문 세부기준</x:v>
      </x:c>
      <x:c r="M542" s="5" t="str">
        <x:v>추출 후 기본 구조 검토; 원문 적용수준·전체 맥락 재확인 필요</x:v>
      </x:c>
      <x:c r="N542" s="5" t="str">
        <x:v>UI-071</x:v>
      </x:c>
      <x:c r="O542" s="5" t="str">
        <x:v>자동 추출 후보 / 공식 전수 체크리스트 아님</x:v>
      </x:c>
    </x:row>
    <x:row r="543" ht="15" hidden="0" customHeight="1">
      <x:c r="A543" s="5" t="str">
        <x:v>KRDS-SEC-072-U-03</x:v>
      </x:c>
      <x:c r="B543" s="5" t="str">
        <x:v>KRDS-SEC-072</x:v>
      </x:c>
      <x:c r="C543" s="5" t="str">
        <x:v>기본 패턴</x:v>
      </x:c>
      <x:c r="D543" s="5" t="str">
        <x:v>패턴</x:v>
      </x:c>
      <x:c r="E543" s="5" t="str">
        <x:v>필터링·정렬</x:v>
      </x:c>
      <x:c r="F543" s="5" t="str">
        <x:v>사용성 가이드라인</x:v>
      </x:c>
      <x:c r="G543" s="5" t="str">
        <x:v>03</x:v>
      </x:c>
      <x:c r="H543" s="5" t="n">
        <x:v>865</x:v>
      </x:c>
      <x:c r="I543" s="5" t="n">
        <x:v>865</x:v>
      </x:c>
      <x:c r="J543" s="5" t="str">
        <x:v>867</x:v>
      </x:c>
      <x:c r="K543" s="5" t="str">
        <x:v>조건이 적용되었음을 확인할 수 있는 명확한 시각적 단서를 제공한다.</x:v>
      </x:c>
      <x:c r="L543" s="5" t="str">
        <x:v>원문 세부기준</x:v>
      </x:c>
      <x:c r="M543" s="5" t="str">
        <x:v>추출 후 기본 구조 검토; 원문 적용수준·전체 맥락 재확인 필요</x:v>
      </x:c>
      <x:c r="N543" s="5" t="str">
        <x:v>UI-071</x:v>
      </x:c>
      <x:c r="O543" s="5" t="str">
        <x:v>자동 추출 후보 / 공식 전수 체크리스트 아님</x:v>
      </x:c>
    </x:row>
    <x:row r="544" ht="15" hidden="0" customHeight="1">
      <x:c r="A544" s="5" t="str">
        <x:v>KRDS-SEC-072-U-04</x:v>
      </x:c>
      <x:c r="B544" s="5" t="str">
        <x:v>KRDS-SEC-072</x:v>
      </x:c>
      <x:c r="C544" s="5" t="str">
        <x:v>기본 패턴</x:v>
      </x:c>
      <x:c r="D544" s="5" t="str">
        <x:v>패턴</x:v>
      </x:c>
      <x:c r="E544" s="5" t="str">
        <x:v>필터링·정렬</x:v>
      </x:c>
      <x:c r="F544" s="5" t="str">
        <x:v>사용성 가이드라인</x:v>
      </x:c>
      <x:c r="G544" s="5" t="str">
        <x:v>04</x:v>
      </x:c>
      <x:c r="H544" s="5" t="n">
        <x:v>865</x:v>
      </x:c>
      <x:c r="I544" s="5" t="n">
        <x:v>865</x:v>
      </x:c>
      <x:c r="J544" s="5" t="str">
        <x:v>869</x:v>
      </x:c>
      <x:c r="K544" s="5" t="str">
        <x:v>모든 필터링·정렬 컨트롤에 레이블과 그룹 헤딩을 제공한다.</x:v>
      </x:c>
      <x:c r="L544" s="5" t="str">
        <x:v>원문 세부기준</x:v>
      </x:c>
      <x:c r="M544" s="5" t="str">
        <x:v>추출 후 기본 구조 검토; 원문 적용수준·전체 맥락 재확인 필요</x:v>
      </x:c>
      <x:c r="N544" s="5" t="str">
        <x:v>UI-071</x:v>
      </x:c>
      <x:c r="O544" s="5" t="str">
        <x:v>자동 추출 후보 / 공식 전수 체크리스트 아님</x:v>
      </x:c>
    </x:row>
    <x:row r="545" ht="15" hidden="0" customHeight="1">
      <x:c r="A545" s="5" t="str">
        <x:v>KRDS-SEC-072-U-05</x:v>
      </x:c>
      <x:c r="B545" s="5" t="str">
        <x:v>KRDS-SEC-072</x:v>
      </x:c>
      <x:c r="C545" s="5" t="str">
        <x:v>기본 패턴</x:v>
      </x:c>
      <x:c r="D545" s="5" t="str">
        <x:v>패턴</x:v>
      </x:c>
      <x:c r="E545" s="5" t="str">
        <x:v>필터링·정렬</x:v>
      </x:c>
      <x:c r="F545" s="5" t="str">
        <x:v>사용성 가이드라인</x:v>
      </x:c>
      <x:c r="G545" s="5" t="str">
        <x:v>05</x:v>
      </x:c>
      <x:c r="H545" s="5" t="n">
        <x:v>865</x:v>
      </x:c>
      <x:c r="I545" s="5" t="n">
        <x:v>865</x:v>
      </x:c>
      <x:c r="J545" s="5" t="str">
        <x:v>869</x:v>
      </x:c>
      <x:c r="K545" s="5" t="str">
        <x:v>필터링·정렬 컨트롤 레이블은 이해가 쉽도록 간결하고 정확한 내용으로 제공한다.</x:v>
      </x:c>
      <x:c r="L545" s="5" t="str">
        <x:v>원문 세부기준</x:v>
      </x:c>
      <x:c r="M545" s="5" t="str">
        <x:v>추출 후 기본 구조 검토; 원문 적용수준·전체 맥락 재확인 필요</x:v>
      </x:c>
      <x:c r="N545" s="5" t="str">
        <x:v>UI-071</x:v>
      </x:c>
      <x:c r="O545" s="5" t="str">
        <x:v>자동 추출 후보 / 공식 전수 체크리스트 아님</x:v>
      </x:c>
    </x:row>
    <x:row r="546" ht="15" hidden="0" customHeight="1">
      <x:c r="A546" s="5" t="str">
        <x:v>KRDS-SEC-072-U-06</x:v>
      </x:c>
      <x:c r="B546" s="5" t="str">
        <x:v>KRDS-SEC-072</x:v>
      </x:c>
      <x:c r="C546" s="5" t="str">
        <x:v>기본 패턴</x:v>
      </x:c>
      <x:c r="D546" s="5" t="str">
        <x:v>패턴</x:v>
      </x:c>
      <x:c r="E546" s="5" t="str">
        <x:v>필터링·정렬</x:v>
      </x:c>
      <x:c r="F546" s="5" t="str">
        <x:v>사용성 가이드라인</x:v>
      </x:c>
      <x:c r="G546" s="5" t="str">
        <x:v>06</x:v>
      </x:c>
      <x:c r="H546" s="5" t="n">
        <x:v>865</x:v>
      </x:c>
      <x:c r="I546" s="5" t="n">
        <x:v>865</x:v>
      </x:c>
      <x:c r="J546" s="5" t="str">
        <x:v>869</x:v>
      </x:c>
      <x:c r="K546" s="5" t="str">
        <x:v>필터링 컨트롤은 우선 순위에 따라 좌측 또는 상단부터 순차적으로 배치한다.</x:v>
      </x:c>
      <x:c r="L546" s="5" t="str">
        <x:v>원문 세부기준</x:v>
      </x:c>
      <x:c r="M546" s="5" t="str">
        <x:v>추출 후 기본 구조 검토; 원문 적용수준·전체 맥락 재확인 필요</x:v>
      </x:c>
      <x:c r="N546" s="5" t="str">
        <x:v>UI-071</x:v>
      </x:c>
      <x:c r="O546" s="5" t="str">
        <x:v>자동 추출 후보 / 공식 전수 체크리스트 아님</x:v>
      </x:c>
    </x:row>
    <x:row r="547" ht="15" hidden="0" customHeight="1">
      <x:c r="A547" s="5" t="str">
        <x:v>KRDS-SEC-072-U-07</x:v>
      </x:c>
      <x:c r="B547" s="5" t="str">
        <x:v>KRDS-SEC-072</x:v>
      </x:c>
      <x:c r="C547" s="5" t="str">
        <x:v>기본 패턴</x:v>
      </x:c>
      <x:c r="D547" s="5" t="str">
        <x:v>패턴</x:v>
      </x:c>
      <x:c r="E547" s="5" t="str">
        <x:v>필터링·정렬</x:v>
      </x:c>
      <x:c r="F547" s="5" t="str">
        <x:v>사용성 가이드라인</x:v>
      </x:c>
      <x:c r="G547" s="5" t="str">
        <x:v>07</x:v>
      </x:c>
      <x:c r="H547" s="5" t="n">
        <x:v>865</x:v>
      </x:c>
      <x:c r="I547" s="5" t="n">
        <x:v>865</x:v>
      </x:c>
      <x:c r="J547" s="5" t="str">
        <x:v>870</x:v>
      </x:c>
      <x:c r="K547" s="5" t="str">
        <x:v>관련 있거나 유사한 필터링 컨트롤을 군집화하여 제공한다.</x:v>
      </x:c>
      <x:c r="L547" s="5" t="str">
        <x:v>원문 세부기준</x:v>
      </x:c>
      <x:c r="M547" s="5" t="str">
        <x:v>추출 후 기본 구조 검토; 원문 적용수준·전체 맥락 재확인 필요</x:v>
      </x:c>
      <x:c r="N547" s="5" t="str">
        <x:v>UI-071</x:v>
      </x:c>
      <x:c r="O547" s="5" t="str">
        <x:v>자동 추출 후보 / 공식 전수 체크리스트 아님</x:v>
      </x:c>
    </x:row>
    <x:row r="548" ht="15" hidden="0" customHeight="1">
      <x:c r="A548" s="5" t="str">
        <x:v>KRDS-SEC-072-U-08</x:v>
      </x:c>
      <x:c r="B548" s="5" t="str">
        <x:v>KRDS-SEC-072</x:v>
      </x:c>
      <x:c r="C548" s="5" t="str">
        <x:v>기본 패턴</x:v>
      </x:c>
      <x:c r="D548" s="5" t="str">
        <x:v>패턴</x:v>
      </x:c>
      <x:c r="E548" s="5" t="str">
        <x:v>필터링·정렬</x:v>
      </x:c>
      <x:c r="F548" s="5" t="str">
        <x:v>사용성 가이드라인</x:v>
      </x:c>
      <x:c r="G548" s="5" t="str">
        <x:v>08</x:v>
      </x:c>
      <x:c r="H548" s="5" t="n">
        <x:v>865</x:v>
      </x:c>
      <x:c r="I548" s="5" t="n">
        <x:v>865</x:v>
      </x:c>
      <x:c r="J548" s="5" t="str">
        <x:v>871</x:v>
      </x:c>
      <x:c r="K548" s="5" t="str">
        <x:v>인라인 형식의 정렬을 사용할 때를 제외하고 정렬 컨트롤은 대상 목록 오른쪽 상단에 배치한다.</x:v>
      </x:c>
      <x:c r="L548" s="5" t="str">
        <x:v>원문 세부기준</x:v>
      </x:c>
      <x:c r="M548" s="5" t="str">
        <x:v>추출 후 기본 구조 검토; 원문 적용수준·전체 맥락 재확인 필요</x:v>
      </x:c>
      <x:c r="N548" s="5" t="str">
        <x:v>UI-071</x:v>
      </x:c>
      <x:c r="O548" s="5" t="str">
        <x:v>자동 추출 후보 / 공식 전수 체크리스트 아님</x:v>
      </x:c>
    </x:row>
    <x:row r="549" ht="15" hidden="0" customHeight="1">
      <x:c r="A549" s="5" t="str">
        <x:v>KRDS-SEC-072-U-09</x:v>
      </x:c>
      <x:c r="B549" s="5" t="str">
        <x:v>KRDS-SEC-072</x:v>
      </x:c>
      <x:c r="C549" s="5" t="str">
        <x:v>기본 패턴</x:v>
      </x:c>
      <x:c r="D549" s="5" t="str">
        <x:v>패턴</x:v>
      </x:c>
      <x:c r="E549" s="5" t="str">
        <x:v>필터링·정렬</x:v>
      </x:c>
      <x:c r="F549" s="5" t="str">
        <x:v>사용성 가이드라인</x:v>
      </x:c>
      <x:c r="G549" s="5" t="str">
        <x:v>09</x:v>
      </x:c>
      <x:c r="H549" s="5" t="n">
        <x:v>865</x:v>
      </x:c>
      <x:c r="I549" s="5" t="n">
        <x:v>865</x:v>
      </x:c>
      <x:c r="J549" s="5" t="str">
        <x:v>871</x:v>
      </x:c>
      <x:c r="K549" s="5" t="str">
        <x:v>필터링 옵션으로 제공되는 메타 데이터가 색인화되고 검색 가능한지 확인한다.</x:v>
      </x:c>
      <x:c r="L549" s="5" t="str">
        <x:v>원문 세부기준</x:v>
      </x:c>
      <x:c r="M549" s="5" t="str">
        <x:v>추출 후 기본 구조 검토; 원문 적용수준·전체 맥락 재확인 필요</x:v>
      </x:c>
      <x:c r="N549" s="5" t="str">
        <x:v>UI-071</x:v>
      </x:c>
      <x:c r="O549" s="5" t="str">
        <x:v>자동 추출 후보 / 공식 전수 체크리스트 아님</x:v>
      </x:c>
    </x:row>
    <x:row r="550" ht="15" hidden="0" customHeight="1">
      <x:c r="A550" s="5" t="str">
        <x:v>KRDS-SEC-072-U-10</x:v>
      </x:c>
      <x:c r="B550" s="5" t="str">
        <x:v>KRDS-SEC-072</x:v>
      </x:c>
      <x:c r="C550" s="5" t="str">
        <x:v>기본 패턴</x:v>
      </x:c>
      <x:c r="D550" s="5" t="str">
        <x:v>패턴</x:v>
      </x:c>
      <x:c r="E550" s="5" t="str">
        <x:v>필터링·정렬</x:v>
      </x:c>
      <x:c r="F550" s="5" t="str">
        <x:v>사용성 가이드라인</x:v>
      </x:c>
      <x:c r="G550" s="5" t="str">
        <x:v>10</x:v>
      </x:c>
      <x:c r="H550" s="5" t="n">
        <x:v>865</x:v>
      </x:c>
      <x:c r="I550" s="5" t="n">
        <x:v>865</x:v>
      </x:c>
      <x:c r="J550" s="5" t="str">
        <x:v>871</x:v>
      </x:c>
      <x:c r="K550" s="5" t="str">
        <x:v>데이터 집합의 특성과 사용자의 요구사항에 적합한 수준의 필터링·정렬 옵션을 제공한다.</x:v>
      </x:c>
      <x:c r="L550" s="5" t="str">
        <x:v>원문 세부기준</x:v>
      </x:c>
      <x:c r="M550" s="5" t="str">
        <x:v>추출 후 기본 구조 검토; 원문 적용수준·전체 맥락 재확인 필요</x:v>
      </x:c>
      <x:c r="N550" s="5" t="str">
        <x:v>UI-071</x:v>
      </x:c>
      <x:c r="O550" s="5" t="str">
        <x:v>자동 추출 후보 / 공식 전수 체크리스트 아님</x:v>
      </x:c>
    </x:row>
    <x:row r="551" ht="15" hidden="0" customHeight="1">
      <x:c r="A551" s="5" t="str">
        <x:v>KRDS-SEC-072-U-11</x:v>
      </x:c>
      <x:c r="B551" s="5" t="str">
        <x:v>KRDS-SEC-072</x:v>
      </x:c>
      <x:c r="C551" s="5" t="str">
        <x:v>기본 패턴</x:v>
      </x:c>
      <x:c r="D551" s="5" t="str">
        <x:v>패턴</x:v>
      </x:c>
      <x:c r="E551" s="5" t="str">
        <x:v>필터링·정렬</x:v>
      </x:c>
      <x:c r="F551" s="5" t="str">
        <x:v>사용성 가이드라인</x:v>
      </x:c>
      <x:c r="G551" s="5" t="str">
        <x:v>11</x:v>
      </x:c>
      <x:c r="H551" s="5" t="n">
        <x:v>865</x:v>
      </x:c>
      <x:c r="I551" s="5" t="n">
        <x:v>865</x:v>
      </x:c>
      <x:c r="J551" s="5" t="str">
        <x:v>872</x:v>
      </x:c>
      <x:c r="K551" s="5" t="str">
        <x:v>날짜, 시간을 기준으로 한 필터링은 범위를 입력할 수 있도록 제공한다.</x:v>
      </x:c>
      <x:c r="L551" s="5" t="str">
        <x:v>원문 세부기준</x:v>
      </x:c>
      <x:c r="M551" s="5" t="str">
        <x:v>추출 후 기본 구조 검토; 원문 적용수준·전체 맥락 재확인 필요</x:v>
      </x:c>
      <x:c r="N551" s="5" t="str">
        <x:v>UI-071</x:v>
      </x:c>
      <x:c r="O551" s="5" t="str">
        <x:v>자동 추출 후보 / 공식 전수 체크리스트 아님</x:v>
      </x:c>
    </x:row>
    <x:row r="552" ht="15" hidden="0" customHeight="1">
      <x:c r="A552" s="5" t="str">
        <x:v>KRDS-SEC-072-U-12</x:v>
      </x:c>
      <x:c r="B552" s="5" t="str">
        <x:v>KRDS-SEC-072</x:v>
      </x:c>
      <x:c r="C552" s="5" t="str">
        <x:v>기본 패턴</x:v>
      </x:c>
      <x:c r="D552" s="5" t="str">
        <x:v>패턴</x:v>
      </x:c>
      <x:c r="E552" s="5" t="str">
        <x:v>필터링·정렬</x:v>
      </x:c>
      <x:c r="F552" s="5" t="str">
        <x:v>사용성 가이드라인</x:v>
      </x:c>
      <x:c r="G552" s="5" t="str">
        <x:v>12</x:v>
      </x:c>
      <x:c r="H552" s="5" t="n">
        <x:v>865</x:v>
      </x:c>
      <x:c r="I552" s="5" t="n">
        <x:v>865</x:v>
      </x:c>
      <x:c r="J552" s="5" t="str">
        <x:v>874</x:v>
      </x:c>
      <x:c r="K552" s="5" t="str">
        <x:v>적용된 필터링·정렬 옵션을 한 번에 해제할 수 있는 기능을 제공한다.</x:v>
      </x:c>
      <x:c r="L552" s="5" t="str">
        <x:v>원문 세부기준</x:v>
      </x:c>
      <x:c r="M552" s="5" t="str">
        <x:v>추출 후 기본 구조 검토; 원문 적용수준·전체 맥락 재확인 필요</x:v>
      </x:c>
      <x:c r="N552" s="5" t="str">
        <x:v>UI-071</x:v>
      </x:c>
      <x:c r="O552" s="5" t="str">
        <x:v>자동 추출 후보 / 공식 전수 체크리스트 아님</x:v>
      </x:c>
    </x:row>
    <x:row r="553" ht="15" hidden="0" customHeight="1">
      <x:c r="A553" s="5" t="str">
        <x:v>KRDS-SEC-072-P-01</x:v>
      </x:c>
      <x:c r="B553" s="5" t="str">
        <x:v>KRDS-SEC-072</x:v>
      </x:c>
      <x:c r="C553" s="5" t="str">
        <x:v>기본 패턴</x:v>
      </x:c>
      <x:c r="D553" s="5" t="str">
        <x:v>패턴</x:v>
      </x:c>
      <x:c r="E553" s="5" t="str">
        <x:v>필터링·정렬</x:v>
      </x:c>
      <x:c r="F553" s="5" t="str">
        <x:v>플랫폼에 대한 고려 사항</x:v>
      </x:c>
      <x:c r="G553" s="5" t="str">
        <x:v>01</x:v>
      </x:c>
      <x:c r="H553" s="5" t="n">
        <x:v>875</x:v>
      </x:c>
      <x:c r="I553" s="5" t="n">
        <x:v>875</x:v>
      </x:c>
      <x:c r="J553" s="5" t="str"/>
      <x:c r="K553" s="5" t="str">
        <x:v>모든 필터링·정렬 컨트롤을 표시하기에 화면 너비가 충분하지 않은 경우, 필터링 및 정렬 컨트롤 버튼을 축약하여 제공한다.</x:v>
      </x:c>
      <x:c r="L553" s="5" t="str">
        <x:v>원문 세부기준</x:v>
      </x:c>
      <x:c r="M553" s="5" t="str">
        <x:v>추출 후 기본 구조 검토; 원문 적용수준·전체 맥락 재확인 필요</x:v>
      </x:c>
      <x:c r="N553" s="5" t="str">
        <x:v>UI-071</x:v>
      </x:c>
      <x:c r="O553" s="5" t="str">
        <x:v>자동 추출 후보 / 공식 전수 체크리스트 아님</x:v>
      </x:c>
    </x:row>
    <x:row r="554" ht="15" hidden="0" customHeight="1">
      <x:c r="A554" s="5" t="str">
        <x:v>KRDS-SEC-072-A-01</x:v>
      </x:c>
      <x:c r="B554" s="5" t="str">
        <x:v>KRDS-SEC-072</x:v>
      </x:c>
      <x:c r="C554" s="5" t="str">
        <x:v>기본 패턴</x:v>
      </x:c>
      <x:c r="D554" s="5" t="str">
        <x:v>패턴</x:v>
      </x:c>
      <x:c r="E554" s="5" t="str">
        <x:v>필터링·정렬</x:v>
      </x:c>
      <x:c r="F554" s="5" t="str">
        <x:v>접근성 가이드라인</x:v>
      </x:c>
      <x:c r="G554" s="5" t="str">
        <x:v>01</x:v>
      </x:c>
      <x:c r="H554" s="5" t="n">
        <x:v>876</x:v>
      </x:c>
      <x:c r="I554" s="5" t="n">
        <x:v>876</x:v>
      </x:c>
      <x:c r="J554" s="5" t="str"/>
      <x:c r="K554" s="5" t="str">
        <x:v>조건이 적용되었음을 확인할 수 있는 명확한 프로그램적 단서를 제공한다.</x:v>
      </x:c>
      <x:c r="L554" s="5" t="str">
        <x:v>원문 세부기준</x:v>
      </x:c>
      <x:c r="M554" s="5" t="str">
        <x:v>추출 후 기본 구조 검토; 원문 적용수준·전체 맥락 재확인 필요</x:v>
      </x:c>
      <x:c r="N554" s="5" t="str">
        <x:v>UI-071</x:v>
      </x:c>
      <x:c r="O554" s="5" t="str">
        <x:v>자동 추출 후보 / 공식 전수 체크리스트 아님</x:v>
      </x:c>
    </x:row>
    <x:row r="555" ht="15" hidden="0" customHeight="1">
      <x:c r="A555" s="5" t="str">
        <x:v>KRDS-SEC-072-A-02</x:v>
      </x:c>
      <x:c r="B555" s="5" t="str">
        <x:v>KRDS-SEC-072</x:v>
      </x:c>
      <x:c r="C555" s="5" t="str">
        <x:v>기본 패턴</x:v>
      </x:c>
      <x:c r="D555" s="5" t="str">
        <x:v>패턴</x:v>
      </x:c>
      <x:c r="E555" s="5" t="str">
        <x:v>필터링·정렬</x:v>
      </x:c>
      <x:c r="F555" s="5" t="str">
        <x:v>접근성 가이드라인</x:v>
      </x:c>
      <x:c r="G555" s="5" t="str">
        <x:v>02</x:v>
      </x:c>
      <x:c r="H555" s="5" t="n">
        <x:v>876</x:v>
      </x:c>
      <x:c r="I555" s="5" t="n">
        <x:v>876</x:v>
      </x:c>
      <x:c r="J555" s="5" t="str"/>
      <x:c r="K555" s="5" t="str">
        <x:v>정보 조회가 완료된 이후 키보드 초점이 적절한 요소에 유지되도록 한다.</x:v>
      </x:c>
      <x:c r="L555" s="5" t="str">
        <x:v>원문 세부기준</x:v>
      </x:c>
      <x:c r="M555" s="5" t="str">
        <x:v>추출 후 기본 구조 검토; 원문 적용수준·전체 맥락 재확인 필요</x:v>
      </x:c>
      <x:c r="N555" s="5" t="str">
        <x:v>UI-071</x:v>
      </x:c>
      <x:c r="O555" s="5" t="str">
        <x:v>자동 추출 후보 / 공식 전수 체크리스트 아님</x:v>
      </x:c>
    </x:row>
    <x:row r="556" ht="15" hidden="0" customHeight="1">
      <x:c r="A556" s="5" t="str">
        <x:v>KRDS-SEC-073-U-01</x:v>
      </x:c>
      <x:c r="B556" s="5" t="str">
        <x:v>KRDS-SEC-073</x:v>
      </x:c>
      <x:c r="C556" s="5" t="str">
        <x:v>기본 패턴</x:v>
      </x:c>
      <x:c r="D556" s="5" t="str">
        <x:v>패턴</x:v>
      </x:c>
      <x:c r="E556" s="5" t="str">
        <x:v>확인</x:v>
      </x:c>
      <x:c r="F556" s="5" t="str">
        <x:v>사용성 가이드라인</x:v>
      </x:c>
      <x:c r="G556" s="5" t="str">
        <x:v>01</x:v>
      </x:c>
      <x:c r="H556" s="5" t="n">
        <x:v>879</x:v>
      </x:c>
      <x:c r="I556" s="5" t="n">
        <x:v>879</x:v>
      </x:c>
      <x:c r="J556" s="5" t="str">
        <x:v>880</x:v>
      </x:c>
      <x:c r="K556" s="5" t="str">
        <x:v>심각하거나 취소가 어려운 행동에 확인을 요청한다.</x:v>
      </x:c>
      <x:c r="L556" s="5" t="str">
        <x:v>원문 세부기준</x:v>
      </x:c>
      <x:c r="M556" s="5" t="str">
        <x:v>추출 후 기본 구조 검토; 원문 적용수준·전체 맥락 재확인 필요</x:v>
      </x:c>
      <x:c r="N556" s="5" t="str">
        <x:v>UI-072</x:v>
      </x:c>
      <x:c r="O556" s="5" t="str">
        <x:v>자동 추출 후보 / 공식 전수 체크리스트 아님</x:v>
      </x:c>
    </x:row>
    <x:row r="557" ht="15" hidden="0" customHeight="1">
      <x:c r="A557" s="5" t="str">
        <x:v>KRDS-SEC-073-U-02</x:v>
      </x:c>
      <x:c r="B557" s="5" t="str">
        <x:v>KRDS-SEC-073</x:v>
      </x:c>
      <x:c r="C557" s="5" t="str">
        <x:v>기본 패턴</x:v>
      </x:c>
      <x:c r="D557" s="5" t="str">
        <x:v>패턴</x:v>
      </x:c>
      <x:c r="E557" s="5" t="str">
        <x:v>확인</x:v>
      </x:c>
      <x:c r="F557" s="5" t="str">
        <x:v>사용성 가이드라인</x:v>
      </x:c>
      <x:c r="G557" s="5" t="str">
        <x:v>02</x:v>
      </x:c>
      <x:c r="H557" s="5" t="n">
        <x:v>879</x:v>
      </x:c>
      <x:c r="I557" s="5" t="n">
        <x:v>879</x:v>
      </x:c>
      <x:c r="J557" s="5" t="str">
        <x:v>880</x:v>
      </x:c>
      <x:c r="K557" s="5" t="str">
        <x:v>상황에 대한 명확하고 간결한 설명을 제공한다.</x:v>
      </x:c>
      <x:c r="L557" s="5" t="str">
        <x:v>원문 세부기준</x:v>
      </x:c>
      <x:c r="M557" s="5" t="str">
        <x:v>추출 후 기본 구조 검토; 원문 적용수준·전체 맥락 재확인 필요</x:v>
      </x:c>
      <x:c r="N557" s="5" t="str">
        <x:v>UI-072</x:v>
      </x:c>
      <x:c r="O557" s="5" t="str">
        <x:v>자동 추출 후보 / 공식 전수 체크리스트 아님</x:v>
      </x:c>
    </x:row>
    <x:row r="558" ht="15" hidden="0" customHeight="1">
      <x:c r="A558" s="5" t="str">
        <x:v>KRDS-SEC-073-U-03</x:v>
      </x:c>
      <x:c r="B558" s="5" t="str">
        <x:v>KRDS-SEC-073</x:v>
      </x:c>
      <x:c r="C558" s="5" t="str">
        <x:v>기본 패턴</x:v>
      </x:c>
      <x:c r="D558" s="5" t="str">
        <x:v>패턴</x:v>
      </x:c>
      <x:c r="E558" s="5" t="str">
        <x:v>확인</x:v>
      </x:c>
      <x:c r="F558" s="5" t="str">
        <x:v>사용성 가이드라인</x:v>
      </x:c>
      <x:c r="G558" s="5" t="str">
        <x:v>03</x:v>
      </x:c>
      <x:c r="H558" s="5" t="n">
        <x:v>879</x:v>
      </x:c>
      <x:c r="I558" s="5" t="n">
        <x:v>879</x:v>
      </x:c>
      <x:c r="J558" s="5" t="str">
        <x:v>881</x:v>
      </x:c>
      <x:c r="K558" s="5" t="str">
        <x:v>행동을 확정, 취소할 수 있는 버튼을 모두 제공한다.</x:v>
      </x:c>
      <x:c r="L558" s="5" t="str">
        <x:v>원문 세부기준</x:v>
      </x:c>
      <x:c r="M558" s="5" t="str">
        <x:v>추출 후 기본 구조 검토; 원문 적용수준·전체 맥락 재확인 필요</x:v>
      </x:c>
      <x:c r="N558" s="5" t="str">
        <x:v>UI-072</x:v>
      </x:c>
      <x:c r="O558" s="5" t="str">
        <x:v>자동 추출 후보 / 공식 전수 체크리스트 아님</x:v>
      </x:c>
    </x:row>
    <x:row r="559" ht="15" hidden="0" customHeight="1">
      <x:c r="A559" s="5" t="str">
        <x:v>KRDS-SEC-073-U-04</x:v>
      </x:c>
      <x:c r="B559" s="5" t="str">
        <x:v>KRDS-SEC-073</x:v>
      </x:c>
      <x:c r="C559" s="5" t="str">
        <x:v>기본 패턴</x:v>
      </x:c>
      <x:c r="D559" s="5" t="str">
        <x:v>패턴</x:v>
      </x:c>
      <x:c r="E559" s="5" t="str">
        <x:v>확인</x:v>
      </x:c>
      <x:c r="F559" s="5" t="str">
        <x:v>사용성 가이드라인</x:v>
      </x:c>
      <x:c r="G559" s="5" t="str">
        <x:v>04</x:v>
      </x:c>
      <x:c r="H559" s="5" t="n">
        <x:v>879</x:v>
      </x:c>
      <x:c r="I559" s="5" t="n">
        <x:v>879</x:v>
      </x:c>
      <x:c r="J559" s="5" t="str">
        <x:v>881</x:v>
      </x:c>
      <x:c r="K559" s="5" t="str">
        <x:v>버튼의 레이블에 행동을 구체적으로 설명한다.</x:v>
      </x:c>
      <x:c r="L559" s="5" t="str">
        <x:v>원문 세부기준</x:v>
      </x:c>
      <x:c r="M559" s="5" t="str">
        <x:v>추출 후 기본 구조 검토; 원문 적용수준·전체 맥락 재확인 필요</x:v>
      </x:c>
      <x:c r="N559" s="5" t="str">
        <x:v>UI-072</x:v>
      </x:c>
      <x:c r="O559" s="5" t="str">
        <x:v>자동 추출 후보 / 공식 전수 체크리스트 아님</x:v>
      </x:c>
    </x:row>
    <x:row r="560" ht="15" hidden="0" customHeight="1">
      <x:c r="A560" s="5" t="str">
        <x:v>KRDS-SEC-075-U-01</x:v>
      </x:c>
      <x:c r="B560" s="5" t="str">
        <x:v>KRDS-SEC-075</x:v>
      </x:c>
      <x:c r="C560" s="5" t="str">
        <x:v>서비스 패턴</x:v>
      </x:c>
      <x:c r="D560" s="5" t="str">
        <x:v>방문</x:v>
      </x:c>
      <x:c r="E560" s="5" t="str">
        <x:v>방문</x:v>
      </x:c>
      <x:c r="F560" s="5" t="str">
        <x:v>사용성 가이드라인</x:v>
      </x:c>
      <x:c r="G560" s="5" t="str">
        <x:v>01</x:v>
      </x:c>
      <x:c r="H560" s="5" t="n">
        <x:v>888</x:v>
      </x:c>
      <x:c r="I560" s="5" t="n">
        <x:v>888</x:v>
      </x:c>
      <x:c r="J560" s="5" t="str">
        <x:v>889</x:v>
      </x:c>
      <x:c r="K560" s="5" t="str">
        <x:v>다양한 콘텐츠의 구성 요소를 일관성 있게 구성한다.</x:v>
      </x:c>
      <x:c r="L560" s="5" t="str">
        <x:v>수준 확인 필요</x:v>
      </x:c>
      <x:c r="M560" s="5" t="str">
        <x:v>추출 후 기본 구조 검토; 원문 적용수준·전체 맥락 재확인 필요</x:v>
      </x:c>
      <x:c r="N560" s="5" t="str">
        <x:v>UI-073</x:v>
      </x:c>
      <x:c r="O560" s="5" t="str">
        <x:v>자동 추출 후보 / 공식 전수 체크리스트 아님</x:v>
      </x:c>
    </x:row>
    <x:row r="561" ht="15" hidden="0" customHeight="1">
      <x:c r="A561" s="5" t="str">
        <x:v>KRDS-SEC-075-U-02</x:v>
      </x:c>
      <x:c r="B561" s="5" t="str">
        <x:v>KRDS-SEC-075</x:v>
      </x:c>
      <x:c r="C561" s="5" t="str">
        <x:v>서비스 패턴</x:v>
      </x:c>
      <x:c r="D561" s="5" t="str">
        <x:v>방문</x:v>
      </x:c>
      <x:c r="E561" s="5" t="str">
        <x:v>방문</x:v>
      </x:c>
      <x:c r="F561" s="5" t="str">
        <x:v>사용성 가이드라인</x:v>
      </x:c>
      <x:c r="G561" s="5" t="str">
        <x:v>02</x:v>
      </x:c>
      <x:c r="H561" s="5" t="n">
        <x:v>888</x:v>
      </x:c>
      <x:c r="I561" s="5" t="n">
        <x:v>888</x:v>
      </x:c>
      <x:c r="J561" s="5" t="str">
        <x:v>890</x:v>
      </x:c>
      <x:c r="K561" s="5" t="str">
        <x:v>시급하거나 중요한 정보를 사용자가 빠르게 인지할 수 있도록 제공한다.</x:v>
      </x:c>
      <x:c r="L561" s="5" t="str">
        <x:v>수준 확인 필요</x:v>
      </x:c>
      <x:c r="M561" s="5" t="str">
        <x:v>추출 후 기본 구조 검토; 원문 적용수준·전체 맥락 재확인 필요</x:v>
      </x:c>
      <x:c r="N561" s="5" t="str">
        <x:v>UI-073</x:v>
      </x:c>
      <x:c r="O561" s="5" t="str">
        <x:v>자동 추출 후보 / 공식 전수 체크리스트 아님</x:v>
      </x:c>
    </x:row>
    <x:row r="562" ht="15" hidden="0" customHeight="1">
      <x:c r="A562" s="5" t="str">
        <x:v>KRDS-SEC-075-U-03</x:v>
      </x:c>
      <x:c r="B562" s="5" t="str">
        <x:v>KRDS-SEC-075</x:v>
      </x:c>
      <x:c r="C562" s="5" t="str">
        <x:v>서비스 패턴</x:v>
      </x:c>
      <x:c r="D562" s="5" t="str">
        <x:v>방문</x:v>
      </x:c>
      <x:c r="E562" s="5" t="str">
        <x:v>방문</x:v>
      </x:c>
      <x:c r="F562" s="5" t="str">
        <x:v>사용성 가이드라인</x:v>
      </x:c>
      <x:c r="G562" s="5" t="str">
        <x:v>03</x:v>
      </x:c>
      <x:c r="H562" s="5" t="n">
        <x:v>888</x:v>
      </x:c>
      <x:c r="I562" s="5" t="n">
        <x:v>888</x:v>
      </x:c>
      <x:c r="J562" s="5" t="str">
        <x:v>891</x:v>
      </x:c>
      <x:c r="K562" s="5" t="str">
        <x:v>사용자 데이터를 기반으로 한 우선순위에 따라 콘텐츠를 배치한다.</x:v>
      </x:c>
      <x:c r="L562" s="5" t="str">
        <x:v>수준 확인 필요</x:v>
      </x:c>
      <x:c r="M562" s="5" t="str">
        <x:v>추출 후 기본 구조 검토; 원문 적용수준·전체 맥락 재확인 필요</x:v>
      </x:c>
      <x:c r="N562" s="5" t="str">
        <x:v>UI-073</x:v>
      </x:c>
      <x:c r="O562" s="5" t="str">
        <x:v>자동 추출 후보 / 공식 전수 체크리스트 아님</x:v>
      </x:c>
    </x:row>
    <x:row r="563" ht="15" hidden="0" customHeight="1">
      <x:c r="A563" s="5" t="str">
        <x:v>KRDS-SEC-075-U-04</x:v>
      </x:c>
      <x:c r="B563" s="5" t="str">
        <x:v>KRDS-SEC-075</x:v>
      </x:c>
      <x:c r="C563" s="5" t="str">
        <x:v>서비스 패턴</x:v>
      </x:c>
      <x:c r="D563" s="5" t="str">
        <x:v>방문</x:v>
      </x:c>
      <x:c r="E563" s="5" t="str">
        <x:v>방문</x:v>
      </x:c>
      <x:c r="F563" s="5" t="str">
        <x:v>사용성 가이드라인</x:v>
      </x:c>
      <x:c r="G563" s="5" t="str">
        <x:v>04</x:v>
      </x:c>
      <x:c r="H563" s="5" t="n">
        <x:v>888</x:v>
      </x:c>
      <x:c r="I563" s="5" t="n">
        <x:v>888</x:v>
      </x:c>
      <x:c r="J563" s="5" t="str">
        <x:v>892</x:v>
      </x:c>
      <x:c r="K563" s="5" t="str">
        <x:v>사용자 관점에서 같은 목적의 콘텐츠들은 섹션으로 모아서 구성한다.</x:v>
      </x:c>
      <x:c r="L563" s="5" t="str">
        <x:v>수준 확인 필요</x:v>
      </x:c>
      <x:c r="M563" s="5" t="str">
        <x:v>추출 후 기본 구조 검토; 원문 적용수준·전체 맥락 재확인 필요</x:v>
      </x:c>
      <x:c r="N563" s="5" t="str">
        <x:v>UI-073</x:v>
      </x:c>
      <x:c r="O563" s="5" t="str">
        <x:v>자동 추출 후보 / 공식 전수 체크리스트 아님</x:v>
      </x:c>
    </x:row>
    <x:row r="564" ht="15" hidden="0" customHeight="1">
      <x:c r="A564" s="5" t="str">
        <x:v>KRDS-SEC-075-U-05</x:v>
      </x:c>
      <x:c r="B564" s="5" t="str">
        <x:v>KRDS-SEC-075</x:v>
      </x:c>
      <x:c r="C564" s="5" t="str">
        <x:v>서비스 패턴</x:v>
      </x:c>
      <x:c r="D564" s="5" t="str">
        <x:v>방문</x:v>
      </x:c>
      <x:c r="E564" s="5" t="str">
        <x:v>방문</x:v>
      </x:c>
      <x:c r="F564" s="5" t="str">
        <x:v>사용성 가이드라인</x:v>
      </x:c>
      <x:c r="G564" s="5" t="str">
        <x:v>05</x:v>
      </x:c>
      <x:c r="H564" s="5" t="n">
        <x:v>888</x:v>
      </x:c>
      <x:c r="I564" s="5" t="n">
        <x:v>888</x:v>
      </x:c>
      <x:c r="J564" s="5" t="str">
        <x:v>893</x:v>
      </x:c>
      <x:c r="K564" s="5" t="str">
        <x:v>방문 목적 및 사용자 유형별로 핵심적인 정보와 서비스를 탐색할 수 있는 영역을 구성한다.</x:v>
      </x:c>
      <x:c r="L564" s="5" t="str">
        <x:v>수준 확인 필요</x:v>
      </x:c>
      <x:c r="M564" s="5" t="str">
        <x:v>추출 후 기본 구조 검토; 원문 적용수준·전체 맥락 재확인 필요</x:v>
      </x:c>
      <x:c r="N564" s="5" t="str">
        <x:v>UI-073</x:v>
      </x:c>
      <x:c r="O564" s="5" t="str">
        <x:v>자동 추출 후보 / 공식 전수 체크리스트 아님</x:v>
      </x:c>
    </x:row>
    <x:row r="565" ht="15" hidden="0" customHeight="1">
      <x:c r="A565" s="5" t="str">
        <x:v>KRDS-SEC-075-U-06</x:v>
      </x:c>
      <x:c r="B565" s="5" t="str">
        <x:v>KRDS-SEC-075</x:v>
      </x:c>
      <x:c r="C565" s="5" t="str">
        <x:v>서비스 패턴</x:v>
      </x:c>
      <x:c r="D565" s="5" t="str">
        <x:v>방문</x:v>
      </x:c>
      <x:c r="E565" s="5" t="str">
        <x:v>방문</x:v>
      </x:c>
      <x:c r="F565" s="5" t="str">
        <x:v>사용성 가이드라인</x:v>
      </x:c>
      <x:c r="G565" s="5" t="str">
        <x:v>06</x:v>
      </x:c>
      <x:c r="H565" s="5" t="n">
        <x:v>888</x:v>
      </x:c>
      <x:c r="I565" s="5" t="n">
        <x:v>888</x:v>
      </x:c>
      <x:c r="J565" s="5" t="str">
        <x:v>894</x:v>
      </x:c>
      <x:c r="K565" s="5" t="str">
        <x:v>로그인 기반의 개인화된 바로가기 영역을 배치한다.</x:v>
      </x:c>
      <x:c r="L565" s="5" t="str">
        <x:v>수준 확인 필요</x:v>
      </x:c>
      <x:c r="M565" s="5" t="str">
        <x:v>추출 후 기본 구조 검토; 원문 적용수준·전체 맥락 재확인 필요</x:v>
      </x:c>
      <x:c r="N565" s="5" t="str">
        <x:v>UI-073</x:v>
      </x:c>
      <x:c r="O565" s="5" t="str">
        <x:v>자동 추출 후보 / 공식 전수 체크리스트 아님</x:v>
      </x:c>
    </x:row>
    <x:row r="566" ht="15" hidden="0" customHeight="1">
      <x:c r="A566" s="5" t="str">
        <x:v>KRDS-SEC-075-U-07</x:v>
      </x:c>
      <x:c r="B566" s="5" t="str">
        <x:v>KRDS-SEC-075</x:v>
      </x:c>
      <x:c r="C566" s="5" t="str">
        <x:v>서비스 패턴</x:v>
      </x:c>
      <x:c r="D566" s="5" t="str">
        <x:v>방문</x:v>
      </x:c>
      <x:c r="E566" s="5" t="str">
        <x:v>방문</x:v>
      </x:c>
      <x:c r="F566" s="5" t="str">
        <x:v>사용성 가이드라인</x:v>
      </x:c>
      <x:c r="G566" s="5" t="str">
        <x:v>07</x:v>
      </x:c>
      <x:c r="H566" s="5" t="n">
        <x:v>888</x:v>
      </x:c>
      <x:c r="I566" s="5" t="n">
        <x:v>888</x:v>
      </x:c>
      <x:c r="J566" s="5" t="str">
        <x:v>895</x:v>
      </x:c>
      <x:c r="K566" s="5" t="str">
        <x:v>사용자가 정보를 빠르게 구분하고 정확하게 이동할 수 있는 방법을 제시한다.</x:v>
      </x:c>
      <x:c r="L566" s="5" t="str">
        <x:v>수준 확인 필요</x:v>
      </x:c>
      <x:c r="M566" s="5" t="str">
        <x:v>추출 후 기본 구조 검토; 원문 적용수준·전체 맥락 재확인 필요</x:v>
      </x:c>
      <x:c r="N566" s="5" t="str">
        <x:v>UI-073</x:v>
      </x:c>
      <x:c r="O566" s="5" t="str">
        <x:v>자동 추출 후보 / 공식 전수 체크리스트 아님</x:v>
      </x:c>
    </x:row>
    <x:row r="567" ht="15" hidden="0" customHeight="1">
      <x:c r="A567" s="5" t="str">
        <x:v>KRDS-SEC-075-U-08</x:v>
      </x:c>
      <x:c r="B567" s="5" t="str">
        <x:v>KRDS-SEC-075</x:v>
      </x:c>
      <x:c r="C567" s="5" t="str">
        <x:v>서비스 패턴</x:v>
      </x:c>
      <x:c r="D567" s="5" t="str">
        <x:v>방문</x:v>
      </x:c>
      <x:c r="E567" s="5" t="str">
        <x:v>방문</x:v>
      </x:c>
      <x:c r="F567" s="5" t="str">
        <x:v>사용성 가이드라인</x:v>
      </x:c>
      <x:c r="G567" s="5" t="str">
        <x:v>08</x:v>
      </x:c>
      <x:c r="H567" s="5" t="n">
        <x:v>888</x:v>
      </x:c>
      <x:c r="I567" s="5" t="n">
        <x:v>888</x:v>
      </x:c>
      <x:c r="J567" s="5" t="str">
        <x:v>896</x:v>
      </x:c>
      <x:c r="K567" s="5" t="str">
        <x:v>최신의 정확한 정보를 제공한다.</x:v>
      </x:c>
      <x:c r="L567" s="5" t="str">
        <x:v>수준 확인 필요</x:v>
      </x:c>
      <x:c r="M567" s="5" t="str">
        <x:v>추출 후 기본 구조 검토; 원문 적용수준·전체 맥락 재확인 필요</x:v>
      </x:c>
      <x:c r="N567" s="5" t="str">
        <x:v>UI-073</x:v>
      </x:c>
      <x:c r="O567" s="5" t="str">
        <x:v>자동 추출 후보 / 공식 전수 체크리스트 아님</x:v>
      </x:c>
    </x:row>
    <x:row r="568" ht="15" hidden="0" customHeight="1">
      <x:c r="A568" s="5" t="str">
        <x:v>KRDS-SEC-075-U-09</x:v>
      </x:c>
      <x:c r="B568" s="5" t="str">
        <x:v>KRDS-SEC-075</x:v>
      </x:c>
      <x:c r="C568" s="5" t="str">
        <x:v>서비스 패턴</x:v>
      </x:c>
      <x:c r="D568" s="5" t="str">
        <x:v>방문</x:v>
      </x:c>
      <x:c r="E568" s="5" t="str">
        <x:v>방문</x:v>
      </x:c>
      <x:c r="F568" s="5" t="str">
        <x:v>사용성 가이드라인</x:v>
      </x:c>
      <x:c r="G568" s="5" t="str">
        <x:v>09</x:v>
      </x:c>
      <x:c r="H568" s="5" t="n">
        <x:v>888</x:v>
      </x:c>
      <x:c r="I568" s="5" t="n">
        <x:v>888</x:v>
      </x:c>
      <x:c r="J568" s="5" t="str">
        <x:v>896</x:v>
      </x:c>
      <x:c r="K568" s="5" t="str">
        <x:v>콘텐츠 및 서비스 명칭은 친숙하고 일관성이 있어야 한다.</x:v>
      </x:c>
      <x:c r="L568" s="5" t="str">
        <x:v>수준 확인 필요</x:v>
      </x:c>
      <x:c r="M568" s="5" t="str">
        <x:v>추출 후 기본 구조 검토; 원문 적용수준·전체 맥락 재확인 필요</x:v>
      </x:c>
      <x:c r="N568" s="5" t="str">
        <x:v>UI-073</x:v>
      </x:c>
      <x:c r="O568" s="5" t="str">
        <x:v>자동 추출 후보 / 공식 전수 체크리스트 아님</x:v>
      </x:c>
    </x:row>
    <x:row r="569" ht="15" hidden="0" customHeight="1">
      <x:c r="A569" s="5" t="str">
        <x:v>KRDS-SEC-077-U-01</x:v>
      </x:c>
      <x:c r="B569" s="5" t="str">
        <x:v>KRDS-SEC-077</x:v>
      </x:c>
      <x:c r="C569" s="5" t="str">
        <x:v>서비스 패턴</x:v>
      </x:c>
      <x:c r="D569" s="5" t="str">
        <x:v>검색</x:v>
      </x:c>
      <x:c r="E569" s="5" t="str">
        <x:v>검색 기능 찾기</x:v>
      </x:c>
      <x:c r="F569" s="5" t="str">
        <x:v>사용성 가이드라인</x:v>
      </x:c>
      <x:c r="G569" s="5" t="str">
        <x:v>01</x:v>
      </x:c>
      <x:c r="H569" s="5" t="n">
        <x:v>905</x:v>
      </x:c>
      <x:c r="I569" s="5" t="n">
        <x:v>905</x:v>
      </x:c>
      <x:c r="J569" s="5" t="str">
        <x:v>906</x:v>
      </x:c>
      <x:c r="K569" s="5" t="str">
        <x:v>서비스 내 모든 화면에서 통합 검색 기능을 실행할 수 있도록 한다.</x:v>
      </x:c>
      <x:c r="L569" s="5" t="str">
        <x:v>수준 확인 필요</x:v>
      </x:c>
      <x:c r="M569" s="5" t="str">
        <x:v>추출 후 기본 구조 검토; 원문 적용수준·전체 맥락 재확인 필요</x:v>
      </x:c>
      <x:c r="N569" s="5" t="str">
        <x:v>UI-074</x:v>
      </x:c>
      <x:c r="O569" s="5" t="str">
        <x:v>자동 추출 후보 / 공식 전수 체크리스트 아님</x:v>
      </x:c>
    </x:row>
    <x:row r="570" ht="15" hidden="0" customHeight="1">
      <x:c r="A570" s="5" t="str">
        <x:v>KRDS-SEC-077-U-02</x:v>
      </x:c>
      <x:c r="B570" s="5" t="str">
        <x:v>KRDS-SEC-077</x:v>
      </x:c>
      <x:c r="C570" s="5" t="str">
        <x:v>서비스 패턴</x:v>
      </x:c>
      <x:c r="D570" s="5" t="str">
        <x:v>검색</x:v>
      </x:c>
      <x:c r="E570" s="5" t="str">
        <x:v>검색 기능 찾기</x:v>
      </x:c>
      <x:c r="F570" s="5" t="str">
        <x:v>사용성 가이드라인</x:v>
      </x:c>
      <x:c r="G570" s="5" t="str">
        <x:v>02</x:v>
      </x:c>
      <x:c r="H570" s="5" t="n">
        <x:v>905</x:v>
      </x:c>
      <x:c r="I570" s="5" t="n">
        <x:v>905</x:v>
      </x:c>
      <x:c r="J570" s="5" t="str">
        <x:v>907</x:v>
      </x:c>
      <x:c r="K570" s="5" t="str">
        <x:v>통합 검색 기능 실행 버튼은 모든 화면에서 헤더 우측에 일관성 있게 배치한다.</x:v>
      </x:c>
      <x:c r="L570" s="5" t="str">
        <x:v>수준 확인 필요</x:v>
      </x:c>
      <x:c r="M570" s="5" t="str">
        <x:v>추출 후 기본 구조 검토; 원문 적용수준·전체 맥락 재확인 필요</x:v>
      </x:c>
      <x:c r="N570" s="5" t="str">
        <x:v>UI-074</x:v>
      </x:c>
      <x:c r="O570" s="5" t="str">
        <x:v>자동 추출 후보 / 공식 전수 체크리스트 아님</x:v>
      </x:c>
    </x:row>
    <x:row r="571" ht="15" hidden="0" customHeight="1">
      <x:c r="A571" s="5" t="str">
        <x:v>KRDS-SEC-077-U-03</x:v>
      </x:c>
      <x:c r="B571" s="5" t="str">
        <x:v>KRDS-SEC-077</x:v>
      </x:c>
      <x:c r="C571" s="5" t="str">
        <x:v>서비스 패턴</x:v>
      </x:c>
      <x:c r="D571" s="5" t="str">
        <x:v>검색</x:v>
      </x:c>
      <x:c r="E571" s="5" t="str">
        <x:v>검색 기능 찾기</x:v>
      </x:c>
      <x:c r="F571" s="5" t="str">
        <x:v>사용성 가이드라인</x:v>
      </x:c>
      <x:c r="G571" s="5" t="str">
        <x:v>03</x:v>
      </x:c>
      <x:c r="H571" s="5" t="n">
        <x:v>905</x:v>
      </x:c>
      <x:c r="I571" s="5" t="n">
        <x:v>905</x:v>
      </x:c>
      <x:c r="J571" s="5" t="str">
        <x:v>908</x:v>
      </x:c>
      <x:c r="K571" s="5" t="str">
        <x:v>통합 검색 기능은 검색어 입력 필드와 돋보기 버튼의 조합 또는 돋보기 버튼 형태로 사용한다.</x:v>
      </x:c>
      <x:c r="L571" s="5" t="str">
        <x:v>수준 확인 필요</x:v>
      </x:c>
      <x:c r="M571" s="5" t="str">
        <x:v>추출 후 기본 구조 검토; 원문 적용수준·전체 맥락 재확인 필요</x:v>
      </x:c>
      <x:c r="N571" s="5" t="str">
        <x:v>UI-074</x:v>
      </x:c>
      <x:c r="O571" s="5" t="str">
        <x:v>자동 추출 후보 / 공식 전수 체크리스트 아님</x:v>
      </x:c>
    </x:row>
    <x:row r="572" ht="15" hidden="0" customHeight="1">
      <x:c r="A572" s="5" t="str">
        <x:v>KRDS-SEC-077-U-04</x:v>
      </x:c>
      <x:c r="B572" s="5" t="str">
        <x:v>KRDS-SEC-077</x:v>
      </x:c>
      <x:c r="C572" s="5" t="str">
        <x:v>서비스 패턴</x:v>
      </x:c>
      <x:c r="D572" s="5" t="str">
        <x:v>검색</x:v>
      </x:c>
      <x:c r="E572" s="5" t="str">
        <x:v>검색 기능 찾기</x:v>
      </x:c>
      <x:c r="F572" s="5" t="str">
        <x:v>사용성 가이드라인</x:v>
      </x:c>
      <x:c r="G572" s="5" t="str">
        <x:v>04</x:v>
      </x:c>
      <x:c r="H572" s="5" t="n">
        <x:v>905</x:v>
      </x:c>
      <x:c r="I572" s="5" t="n">
        <x:v>905</x:v>
      </x:c>
      <x:c r="J572" s="5" t="str">
        <x:v>909</x:v>
      </x:c>
      <x:c r="K572" s="5" t="str">
        <x:v>부분 검색 기능은 콘텐츠 목록의 수준과 맥락을 고려하여 사용자가 예측할 수 있는 영역에 배치한다.</x:v>
      </x:c>
      <x:c r="L572" s="5" t="str">
        <x:v>수준 확인 필요</x:v>
      </x:c>
      <x:c r="M572" s="5" t="str">
        <x:v>추출 후 기본 구조 검토; 원문 적용수준·전체 맥락 재확인 필요</x:v>
      </x:c>
      <x:c r="N572" s="5" t="str">
        <x:v>UI-074</x:v>
      </x:c>
      <x:c r="O572" s="5" t="str">
        <x:v>자동 추출 후보 / 공식 전수 체크리스트 아님</x:v>
      </x:c>
    </x:row>
    <x:row r="573" ht="15" hidden="0" customHeight="1">
      <x:c r="A573" s="5" t="str">
        <x:v>KRDS-SEC-077-U-05</x:v>
      </x:c>
      <x:c r="B573" s="5" t="str">
        <x:v>KRDS-SEC-077</x:v>
      </x:c>
      <x:c r="C573" s="5" t="str">
        <x:v>서비스 패턴</x:v>
      </x:c>
      <x:c r="D573" s="5" t="str">
        <x:v>검색</x:v>
      </x:c>
      <x:c r="E573" s="5" t="str">
        <x:v>검색 기능 찾기</x:v>
      </x:c>
      <x:c r="F573" s="5" t="str">
        <x:v>사용성 가이드라인</x:v>
      </x:c>
      <x:c r="G573" s="5" t="str">
        <x:v>05</x:v>
      </x:c>
      <x:c r="H573" s="5" t="n">
        <x:v>905</x:v>
      </x:c>
      <x:c r="I573" s="5" t="n">
        <x:v>905</x:v>
      </x:c>
      <x:c r="J573" s="5" t="str">
        <x:v>910</x:v>
      </x:c>
      <x:c r="K573" s="5" t="str">
        <x:v>검색 기능 주변에 불필요한 요소의 배치를 최소화한다.</x:v>
      </x:c>
      <x:c r="L573" s="5" t="str">
        <x:v>수준 확인 필요</x:v>
      </x:c>
      <x:c r="M573" s="5" t="str">
        <x:v>추출 후 기본 구조 검토; 원문 적용수준·전체 맥락 재확인 필요</x:v>
      </x:c>
      <x:c r="N573" s="5" t="str">
        <x:v>UI-074</x:v>
      </x:c>
      <x:c r="O573" s="5" t="str">
        <x:v>자동 추출 후보 / 공식 전수 체크리스트 아님</x:v>
      </x:c>
    </x:row>
    <x:row r="574" ht="15" hidden="0" customHeight="1">
      <x:c r="A574" s="5" t="str">
        <x:v>KRDS-SEC-077-A-01</x:v>
      </x:c>
      <x:c r="B574" s="5" t="str">
        <x:v>KRDS-SEC-077</x:v>
      </x:c>
      <x:c r="C574" s="5" t="str">
        <x:v>서비스 패턴</x:v>
      </x:c>
      <x:c r="D574" s="5" t="str">
        <x:v>검색</x:v>
      </x:c>
      <x:c r="E574" s="5" t="str">
        <x:v>검색 기능 찾기</x:v>
      </x:c>
      <x:c r="F574" s="5" t="str">
        <x:v>접근성 가이드라인</x:v>
      </x:c>
      <x:c r="G574" s="5" t="str">
        <x:v>01</x:v>
      </x:c>
      <x:c r="H574" s="5" t="n">
        <x:v>911</x:v>
      </x:c>
      <x:c r="I574" s="5" t="n">
        <x:v>911</x:v>
      </x:c>
      <x:c r="J574" s="5" t="str"/>
      <x:c r="K574" s="5" t="str">
        <x:v>돋보기 아이콘은 키보드 및 스크린 리더로 접근 및 조작할 수 있도록 한다.</x:v>
      </x:c>
      <x:c r="L574" s="5" t="str">
        <x:v>원문 세부기준</x:v>
      </x:c>
      <x:c r="M574" s="5" t="str">
        <x:v>추출 후 기본 구조 검토; 원문 적용수준·전체 맥락 재확인 필요</x:v>
      </x:c>
      <x:c r="N574" s="5" t="str">
        <x:v>UI-074</x:v>
      </x:c>
      <x:c r="O574" s="5" t="str">
        <x:v>자동 추출 후보 / 공식 전수 체크리스트 아님</x:v>
      </x:c>
    </x:row>
    <x:row r="575" ht="15" hidden="0" customHeight="1">
      <x:c r="A575" s="5" t="str">
        <x:v>KRDS-SEC-077-A-02</x:v>
      </x:c>
      <x:c r="B575" s="5" t="str">
        <x:v>KRDS-SEC-077</x:v>
      </x:c>
      <x:c r="C575" s="5" t="str">
        <x:v>서비스 패턴</x:v>
      </x:c>
      <x:c r="D575" s="5" t="str">
        <x:v>검색</x:v>
      </x:c>
      <x:c r="E575" s="5" t="str">
        <x:v>검색 기능 찾기</x:v>
      </x:c>
      <x:c r="F575" s="5" t="str">
        <x:v>접근성 가이드라인</x:v>
      </x:c>
      <x:c r="G575" s="5" t="str">
        <x:v>02</x:v>
      </x:c>
      <x:c r="H575" s="5" t="n">
        <x:v>911</x:v>
      </x:c>
      <x:c r="I575" s="5" t="n">
        <x:v>911</x:v>
      </x:c>
      <x:c r="J575" s="5" t="str"/>
      <x:c r="K575" s="5" t="str">
        <x:v>돋보기 아이콘에 적절한 이름을 제공한다.</x:v>
      </x:c>
      <x:c r="L575" s="5" t="str">
        <x:v>원문 세부기준</x:v>
      </x:c>
      <x:c r="M575" s="5" t="str">
        <x:v>추출 후 기본 구조 검토; 원문 적용수준·전체 맥락 재확인 필요</x:v>
      </x:c>
      <x:c r="N575" s="5" t="str">
        <x:v>UI-074</x:v>
      </x:c>
      <x:c r="O575" s="5" t="str">
        <x:v>자동 추출 후보 / 공식 전수 체크리스트 아님</x:v>
      </x:c>
    </x:row>
    <x:row r="576" ht="15" hidden="0" customHeight="1">
      <x:c r="A576" s="5" t="str">
        <x:v>KRDS-SEC-078-U-01</x:v>
      </x:c>
      <x:c r="B576" s="5" t="str">
        <x:v>KRDS-SEC-078</x:v>
      </x:c>
      <x:c r="C576" s="5" t="str">
        <x:v>서비스 패턴</x:v>
      </x:c>
      <x:c r="D576" s="5" t="str">
        <x:v>검색</x:v>
      </x:c>
      <x:c r="E576" s="5" t="str">
        <x:v>검색어 입력</x:v>
      </x:c>
      <x:c r="F576" s="5" t="str">
        <x:v>사용성 가이드라인</x:v>
      </x:c>
      <x:c r="G576" s="5" t="str">
        <x:v>01</x:v>
      </x:c>
      <x:c r="H576" s="5" t="n">
        <x:v>915</x:v>
      </x:c>
      <x:c r="I576" s="5" t="n">
        <x:v>915</x:v>
      </x:c>
      <x:c r="J576" s="5" t="str">
        <x:v>916</x:v>
      </x:c>
      <x:c r="K576" s="5" t="str">
        <x:v>사용자가 검색어 입력 행위에 집중할 수 있도록 한다.</x:v>
      </x:c>
      <x:c r="L576" s="5" t="str">
        <x:v>수준 확인 필요</x:v>
      </x:c>
      <x:c r="M576" s="5" t="str">
        <x:v>추출 후 기본 구조 검토; 원문 적용수준·전체 맥락 재확인 필요</x:v>
      </x:c>
      <x:c r="N576" s="5" t="str">
        <x:v>UI-075</x:v>
      </x:c>
      <x:c r="O576" s="5" t="str">
        <x:v>자동 추출 후보 / 공식 전수 체크리스트 아님</x:v>
      </x:c>
    </x:row>
    <x:row r="577" ht="15" hidden="0" customHeight="1">
      <x:c r="A577" s="5" t="str">
        <x:v>KRDS-SEC-078-U-02</x:v>
      </x:c>
      <x:c r="B577" s="5" t="str">
        <x:v>KRDS-SEC-078</x:v>
      </x:c>
      <x:c r="C577" s="5" t="str">
        <x:v>서비스 패턴</x:v>
      </x:c>
      <x:c r="D577" s="5" t="str">
        <x:v>검색</x:v>
      </x:c>
      <x:c r="E577" s="5" t="str">
        <x:v>검색어 입력</x:v>
      </x:c>
      <x:c r="F577" s="5" t="str">
        <x:v>사용성 가이드라인</x:v>
      </x:c>
      <x:c r="G577" s="5" t="str">
        <x:v>02</x:v>
      </x:c>
      <x:c r="H577" s="5" t="n">
        <x:v>915</x:v>
      </x:c>
      <x:c r="I577" s="5" t="n">
        <x:v>915</x:v>
      </x:c>
      <x:c r="J577" s="5" t="str">
        <x:v>917</x:v>
      </x:c>
      <x:c r="K577" s="5" t="str">
        <x:v>스코프 필터를 사용하는 경우, '전체' 옵션을 제공한다.</x:v>
      </x:c>
      <x:c r="L577" s="5" t="str">
        <x:v>수준 확인 필요</x:v>
      </x:c>
      <x:c r="M577" s="5" t="str">
        <x:v>추출 후 기본 구조 검토; 원문 적용수준·전체 맥락 재확인 필요</x:v>
      </x:c>
      <x:c r="N577" s="5" t="str">
        <x:v>UI-075</x:v>
      </x:c>
      <x:c r="O577" s="5" t="str">
        <x:v>자동 추출 후보 / 공식 전수 체크리스트 아님</x:v>
      </x:c>
    </x:row>
    <x:row r="578" ht="15" hidden="0" customHeight="1">
      <x:c r="A578" s="5" t="str">
        <x:v>KRDS-SEC-078-U-03</x:v>
      </x:c>
      <x:c r="B578" s="5" t="str">
        <x:v>KRDS-SEC-078</x:v>
      </x:c>
      <x:c r="C578" s="5" t="str">
        <x:v>서비스 패턴</x:v>
      </x:c>
      <x:c r="D578" s="5" t="str">
        <x:v>검색</x:v>
      </x:c>
      <x:c r="E578" s="5" t="str">
        <x:v>검색어 입력</x:v>
      </x:c>
      <x:c r="F578" s="5" t="str">
        <x:v>사용성 가이드라인</x:v>
      </x:c>
      <x:c r="G578" s="5" t="str">
        <x:v>03</x:v>
      </x:c>
      <x:c r="H578" s="5" t="n">
        <x:v>915</x:v>
      </x:c>
      <x:c r="I578" s="5" t="n">
        <x:v>915</x:v>
      </x:c>
      <x:c r="J578" s="5" t="str">
        <x:v>918</x:v>
      </x:c>
      <x:c r="K578" s="5" t="str">
        <x:v>검색어 입력 필드는 일반적인 검색어가 한눈에 파악될 수 있는 너비로 제공하고 줄 바꿈이나 말줄임표를 사용하지 않는다.</x:v>
      </x:c>
      <x:c r="L578" s="5" t="str">
        <x:v>수준 확인 필요</x:v>
      </x:c>
      <x:c r="M578" s="5" t="str">
        <x:v>추출 후 기본 구조 검토; 원문 적용수준·전체 맥락 재확인 필요</x:v>
      </x:c>
      <x:c r="N578" s="5" t="str">
        <x:v>UI-075</x:v>
      </x:c>
      <x:c r="O578" s="5" t="str">
        <x:v>자동 추출 후보 / 공식 전수 체크리스트 아님</x:v>
      </x:c>
    </x:row>
    <x:row r="579" ht="15" hidden="0" customHeight="1">
      <x:c r="A579" s="5" t="str">
        <x:v>KRDS-SEC-078-U-04</x:v>
      </x:c>
      <x:c r="B579" s="5" t="str">
        <x:v>KRDS-SEC-078</x:v>
      </x:c>
      <x:c r="C579" s="5" t="str">
        <x:v>서비스 패턴</x:v>
      </x:c>
      <x:c r="D579" s="5" t="str">
        <x:v>검색</x:v>
      </x:c>
      <x:c r="E579" s="5" t="str">
        <x:v>검색어 입력</x:v>
      </x:c>
      <x:c r="F579" s="5" t="str">
        <x:v>사용성 가이드라인</x:v>
      </x:c>
      <x:c r="G579" s="5" t="str">
        <x:v>04</x:v>
      </x:c>
      <x:c r="H579" s="5" t="n">
        <x:v>915</x:v>
      </x:c>
      <x:c r="I579" s="5" t="n">
        <x:v>915</x:v>
      </x:c>
      <x:c r="J579" s="5" t="str">
        <x:v>919</x:v>
      </x:c>
      <x:c r="K579" s="5" t="str">
        <x:v>통합 검색이 아닌 검색에는 입력 필드에 레이블을 제공한다.</x:v>
      </x:c>
      <x:c r="L579" s="5" t="str">
        <x:v>수준 확인 필요</x:v>
      </x:c>
      <x:c r="M579" s="5" t="str">
        <x:v>추출 후 기본 구조 검토; 원문 적용수준·전체 맥락 재확인 필요</x:v>
      </x:c>
      <x:c r="N579" s="5" t="str">
        <x:v>UI-075</x:v>
      </x:c>
      <x:c r="O579" s="5" t="str">
        <x:v>자동 추출 후보 / 공식 전수 체크리스트 아님</x:v>
      </x:c>
    </x:row>
    <x:row r="580" ht="15" hidden="0" customHeight="1">
      <x:c r="A580" s="5" t="str">
        <x:v>KRDS-SEC-078-U-05</x:v>
      </x:c>
      <x:c r="B580" s="5" t="str">
        <x:v>KRDS-SEC-078</x:v>
      </x:c>
      <x:c r="C580" s="5" t="str">
        <x:v>서비스 패턴</x:v>
      </x:c>
      <x:c r="D580" s="5" t="str">
        <x:v>검색</x:v>
      </x:c>
      <x:c r="E580" s="5" t="str">
        <x:v>검색어 입력</x:v>
      </x:c>
      <x:c r="F580" s="5" t="str">
        <x:v>사용성 가이드라인</x:v>
      </x:c>
      <x:c r="G580" s="5" t="str">
        <x:v>05</x:v>
      </x:c>
      <x:c r="H580" s="5" t="n">
        <x:v>915</x:v>
      </x:c>
      <x:c r="I580" s="5" t="n">
        <x:v>915</x:v>
      </x:c>
      <x:c r="J580" s="5" t="str">
        <x:v>920</x:v>
      </x:c>
      <x:c r="K580" s="5" t="str">
        <x:v>플레이스홀더를 사용하는 경우, 유도 문구 외에 검색에 대한 단서나 레이블을 포함해서는 안 된다.</x:v>
      </x:c>
      <x:c r="L580" s="5" t="str">
        <x:v>수준 확인 필요</x:v>
      </x:c>
      <x:c r="M580" s="5" t="str">
        <x:v>추출 후 기본 구조 검토; 원문 적용수준·전체 맥락 재확인 필요</x:v>
      </x:c>
      <x:c r="N580" s="5" t="str">
        <x:v>UI-075</x:v>
      </x:c>
      <x:c r="O580" s="5" t="str">
        <x:v>자동 추출 후보 / 공식 전수 체크리스트 아님</x:v>
      </x:c>
    </x:row>
    <x:row r="581" ht="15" hidden="0" customHeight="1">
      <x:c r="A581" s="5" t="str">
        <x:v>KRDS-SEC-078-U-06</x:v>
      </x:c>
      <x:c r="B581" s="5" t="str">
        <x:v>KRDS-SEC-078</x:v>
      </x:c>
      <x:c r="C581" s="5" t="str">
        <x:v>서비스 패턴</x:v>
      </x:c>
      <x:c r="D581" s="5" t="str">
        <x:v>검색</x:v>
      </x:c>
      <x:c r="E581" s="5" t="str">
        <x:v>검색어 입력</x:v>
      </x:c>
      <x:c r="F581" s="5" t="str">
        <x:v>사용성 가이드라인</x:v>
      </x:c>
      <x:c r="G581" s="5" t="str">
        <x:v>06</x:v>
      </x:c>
      <x:c r="H581" s="5" t="n">
        <x:v>915</x:v>
      </x:c>
      <x:c r="I581" s="5" t="n">
        <x:v>915</x:v>
      </x:c>
      <x:c r="J581" s="5" t="str">
        <x:v>921</x:v>
      </x:c>
      <x:c r="K581" s="5" t="str">
        <x:v>사용자에게 다양한 방식의 검색어 입력 도움을 제공한다.</x:v>
      </x:c>
      <x:c r="L581" s="5" t="str">
        <x:v>수준 확인 필요</x:v>
      </x:c>
      <x:c r="M581" s="5" t="str">
        <x:v>추출 후 기본 구조 검토; 원문 적용수준·전체 맥락 재확인 필요</x:v>
      </x:c>
      <x:c r="N581" s="5" t="str">
        <x:v>UI-075</x:v>
      </x:c>
      <x:c r="O581" s="5" t="str">
        <x:v>자동 추출 후보 / 공식 전수 체크리스트 아님</x:v>
      </x:c>
    </x:row>
    <x:row r="582" ht="15" hidden="0" customHeight="1">
      <x:c r="A582" s="5" t="str">
        <x:v>KRDS-SEC-078-U-07</x:v>
      </x:c>
      <x:c r="B582" s="5" t="str">
        <x:v>KRDS-SEC-078</x:v>
      </x:c>
      <x:c r="C582" s="5" t="str">
        <x:v>서비스 패턴</x:v>
      </x:c>
      <x:c r="D582" s="5" t="str">
        <x:v>검색</x:v>
      </x:c>
      <x:c r="E582" s="5" t="str">
        <x:v>검색어 입력</x:v>
      </x:c>
      <x:c r="F582" s="5" t="str">
        <x:v>사용성 가이드라인</x:v>
      </x:c>
      <x:c r="G582" s="5" t="str">
        <x:v>07</x:v>
      </x:c>
      <x:c r="H582" s="5" t="n">
        <x:v>915</x:v>
      </x:c>
      <x:c r="I582" s="5" t="n">
        <x:v>915</x:v>
      </x:c>
      <x:c r="J582" s="5" t="str">
        <x:v>922</x:v>
      </x:c>
      <x:c r="K582" s="5" t="str">
        <x:v>검색어 입력 도움은 가능한 사용자가 검색어를 입력하는 시점에 실시간으로 제공한다.</x:v>
      </x:c>
      <x:c r="L582" s="5" t="str">
        <x:v>수준 확인 필요</x:v>
      </x:c>
      <x:c r="M582" s="5" t="str">
        <x:v>추출 후 기본 구조 검토; 원문 적용수준·전체 맥락 재확인 필요</x:v>
      </x:c>
      <x:c r="N582" s="5" t="str">
        <x:v>UI-075</x:v>
      </x:c>
      <x:c r="O582" s="5" t="str">
        <x:v>자동 추출 후보 / 공식 전수 체크리스트 아님</x:v>
      </x:c>
    </x:row>
    <x:row r="583" ht="15" hidden="0" customHeight="1">
      <x:c r="A583" s="5" t="str">
        <x:v>KRDS-SEC-078-U-08</x:v>
      </x:c>
      <x:c r="B583" s="5" t="str">
        <x:v>KRDS-SEC-078</x:v>
      </x:c>
      <x:c r="C583" s="5" t="str">
        <x:v>서비스 패턴</x:v>
      </x:c>
      <x:c r="D583" s="5" t="str">
        <x:v>검색</x:v>
      </x:c>
      <x:c r="E583" s="5" t="str">
        <x:v>검색어 입력</x:v>
      </x:c>
      <x:c r="F583" s="5" t="str">
        <x:v>사용성 가이드라인</x:v>
      </x:c>
      <x:c r="G583" s="5" t="str">
        <x:v>08</x:v>
      </x:c>
      <x:c r="H583" s="5" t="n">
        <x:v>915</x:v>
      </x:c>
      <x:c r="I583" s="5" t="n">
        <x:v>915</x:v>
      </x:c>
      <x:c r="J583" s="5" t="str">
        <x:v>923</x:v>
      </x:c>
      <x:c r="K583" s="5" t="str">
        <x:v>실시간으로 검색어를 제안할 수 없는 경우, 검색 결과 화면에서 보조적인 도움 수단을 제공한다.</x:v>
      </x:c>
      <x:c r="L583" s="5" t="str">
        <x:v>수준 확인 필요</x:v>
      </x:c>
      <x:c r="M583" s="5" t="str">
        <x:v>추출 후 기본 구조 검토; 원문 적용수준·전체 맥락 재확인 필요</x:v>
      </x:c>
      <x:c r="N583" s="5" t="str">
        <x:v>UI-075</x:v>
      </x:c>
      <x:c r="O583" s="5" t="str">
        <x:v>자동 추출 후보 / 공식 전수 체크리스트 아님</x:v>
      </x:c>
    </x:row>
    <x:row r="584" ht="15" hidden="0" customHeight="1">
      <x:c r="A584" s="5" t="str">
        <x:v>KRDS-SEC-078-A-01</x:v>
      </x:c>
      <x:c r="B584" s="5" t="str">
        <x:v>KRDS-SEC-078</x:v>
      </x:c>
      <x:c r="C584" s="5" t="str">
        <x:v>서비스 패턴</x:v>
      </x:c>
      <x:c r="D584" s="5" t="str">
        <x:v>검색</x:v>
      </x:c>
      <x:c r="E584" s="5" t="str">
        <x:v>검색어 입력</x:v>
      </x:c>
      <x:c r="F584" s="5" t="str">
        <x:v>접근성 가이드라인</x:v>
      </x:c>
      <x:c r="G584" s="5" t="str">
        <x:v>01</x:v>
      </x:c>
      <x:c r="H584" s="5" t="n">
        <x:v>924</x:v>
      </x:c>
      <x:c r="I584" s="5" t="n">
        <x:v>924</x:v>
      </x:c>
      <x:c r="J584" s="5" t="str"/>
      <x:c r="K584" s="5" t="str">
        <x:v>검색어 입력/실행 관련 컨트롤 요소에 적절한 이름을 제공한다.</x:v>
      </x:c>
      <x:c r="L584" s="5" t="str">
        <x:v>원문 세부기준</x:v>
      </x:c>
      <x:c r="M584" s="5" t="str">
        <x:v>추출 후 기본 구조 검토; 원문 적용수준·전체 맥락 재확인 필요</x:v>
      </x:c>
      <x:c r="N584" s="5" t="str">
        <x:v>UI-075</x:v>
      </x:c>
      <x:c r="O584" s="5" t="str">
        <x:v>자동 추출 후보 / 공식 전수 체크리스트 아님</x:v>
      </x:c>
    </x:row>
    <x:row r="585" ht="15" hidden="0" customHeight="1">
      <x:c r="A585" s="5" t="str">
        <x:v>KRDS-SEC-078-A-02</x:v>
      </x:c>
      <x:c r="B585" s="5" t="str">
        <x:v>KRDS-SEC-078</x:v>
      </x:c>
      <x:c r="C585" s="5" t="str">
        <x:v>서비스 패턴</x:v>
      </x:c>
      <x:c r="D585" s="5" t="str">
        <x:v>검색</x:v>
      </x:c>
      <x:c r="E585" s="5" t="str">
        <x:v>검색어 입력</x:v>
      </x:c>
      <x:c r="F585" s="5" t="str">
        <x:v>접근성 가이드라인</x:v>
      </x:c>
      <x:c r="G585" s="5" t="str">
        <x:v>02</x:v>
      </x:c>
      <x:c r="H585" s="5" t="n">
        <x:v>924</x:v>
      </x:c>
      <x:c r="I585" s="5" t="n">
        <x:v>924</x:v>
      </x:c>
      <x:c r="J585" s="5" t="str"/>
      <x:c r="K585" s="5" t="str">
        <x:v>검색어 입력/실행 관련 대화형 요소는 키보드로 접근과 조작이 가능하도록 한다.</x:v>
      </x:c>
      <x:c r="L585" s="5" t="str">
        <x:v>원문 세부기준</x:v>
      </x:c>
      <x:c r="M585" s="5" t="str">
        <x:v>추출 후 기본 구조 검토; 원문 적용수준·전체 맥락 재확인 필요</x:v>
      </x:c>
      <x:c r="N585" s="5" t="str">
        <x:v>UI-075</x:v>
      </x:c>
      <x:c r="O585" s="5" t="str">
        <x:v>자동 추출 후보 / 공식 전수 체크리스트 아님</x:v>
      </x:c>
    </x:row>
    <x:row r="586" ht="15" hidden="0" customHeight="1">
      <x:c r="A586" s="5" t="str">
        <x:v>KRDS-SEC-078-A-03</x:v>
      </x:c>
      <x:c r="B586" s="5" t="str">
        <x:v>KRDS-SEC-078</x:v>
      </x:c>
      <x:c r="C586" s="5" t="str">
        <x:v>서비스 패턴</x:v>
      </x:c>
      <x:c r="D586" s="5" t="str">
        <x:v>검색</x:v>
      </x:c>
      <x:c r="E586" s="5" t="str">
        <x:v>검색어 입력</x:v>
      </x:c>
      <x:c r="F586" s="5" t="str">
        <x:v>접근성 가이드라인</x:v>
      </x:c>
      <x:c r="G586" s="5" t="str">
        <x:v>03</x:v>
      </x:c>
      <x:c r="H586" s="5" t="n">
        <x:v>924</x:v>
      </x:c>
      <x:c r="I586" s="5" t="n">
        <x:v>924</x:v>
      </x:c>
      <x:c r="J586" s="5" t="str"/>
      <x:c r="K586" s="5" t="str">
        <x:v>자동완성이나 추천 검색 정보에 보조 기술이 접근할 수 있도록 표현한다.</x:v>
      </x:c>
      <x:c r="L586" s="5" t="str">
        <x:v>원문 세부기준</x:v>
      </x:c>
      <x:c r="M586" s="5" t="str">
        <x:v>추출 후 기본 구조 검토; 원문 적용수준·전체 맥락 재확인 필요</x:v>
      </x:c>
      <x:c r="N586" s="5" t="str">
        <x:v>UI-075</x:v>
      </x:c>
      <x:c r="O586" s="5" t="str">
        <x:v>자동 추출 후보 / 공식 전수 체크리스트 아님</x:v>
      </x:c>
    </x:row>
    <x:row r="587" ht="15" hidden="0" customHeight="1">
      <x:c r="A587" s="5" t="str">
        <x:v>KRDS-SEC-078-A-04</x:v>
      </x:c>
      <x:c r="B587" s="5" t="str">
        <x:v>KRDS-SEC-078</x:v>
      </x:c>
      <x:c r="C587" s="5" t="str">
        <x:v>서비스 패턴</x:v>
      </x:c>
      <x:c r="D587" s="5" t="str">
        <x:v>검색</x:v>
      </x:c>
      <x:c r="E587" s="5" t="str">
        <x:v>검색어 입력</x:v>
      </x:c>
      <x:c r="F587" s="5" t="str">
        <x:v>접근성 가이드라인</x:v>
      </x:c>
      <x:c r="G587" s="5" t="str">
        <x:v>04</x:v>
      </x:c>
      <x:c r="H587" s="5" t="n">
        <x:v>925</x:v>
      </x:c>
      <x:c r="I587" s="5" t="n">
        <x:v>925</x:v>
      </x:c>
      <x:c r="J587" s="5" t="str"/>
      <x:c r="K587" s="5" t="str">
        <x:v>실시간 검색어 입력 도움창의 출현 여부 및 추천 검색어를 스크린 리더가 탐지할 수 있도록 한다.</x:v>
      </x:c>
      <x:c r="L587" s="5" t="str">
        <x:v>원문 세부기준</x:v>
      </x:c>
      <x:c r="M587" s="5" t="str">
        <x:v>추출 후 기본 구조 검토; 원문 적용수준·전체 맥락 재확인 필요</x:v>
      </x:c>
      <x:c r="N587" s="5" t="str">
        <x:v>UI-075</x:v>
      </x:c>
      <x:c r="O587" s="5" t="str">
        <x:v>자동 추출 후보 / 공식 전수 체크리스트 아님</x:v>
      </x:c>
    </x:row>
    <x:row r="588" ht="52.79999923706055" hidden="0" customHeight="1">
      <x:c r="A588" s="5" t="str">
        <x:v>KRDS-SEC-078-A-05</x:v>
      </x:c>
      <x:c r="B588" s="5" t="str">
        <x:v>KRDS-SEC-078</x:v>
      </x:c>
      <x:c r="C588" s="5" t="str">
        <x:v>서비스 패턴</x:v>
      </x:c>
      <x:c r="D588" s="5" t="str">
        <x:v>검색</x:v>
      </x:c>
      <x:c r="E588" s="5" t="str">
        <x:v>검색어 입력</x:v>
      </x:c>
      <x:c r="F588" s="5" t="str">
        <x:v>접근성 가이드라인</x:v>
      </x:c>
      <x:c r="G588" s="5" t="str">
        <x:v>05</x:v>
      </x:c>
      <x:c r="H588" s="5" t="n">
        <x:v>925</x:v>
      </x:c>
      <x:c r="I588" s="5" t="n">
        <x:v>925</x:v>
      </x:c>
      <x:c r="J588" s="5" t="str"/>
      <x:c r="K588" s="5" t="str">
        <x:v>시간 검색어 입력 도움창은 검색어 입력 필드의 다음 실 요소로 제공한다.
[원문 텍스트 대조 정정] 실시간 검색어 입력 도움창은 검색어 입력 필드의 다음 요소로 제공한다.
[추출 이슈] 입력색인의 실시간 중 실 문자가 뒤로 이동한 추출순서 오류. 원본문장과 다름.
[대조 증빙] evidence/source/krds-guideline.txt PDF925쪽, candidate-audit.json 텍스트불일치 기록</x:v>
      </x:c>
      <x:c r="L588" s="5" t="str">
        <x:v>원문 세부기준</x:v>
      </x:c>
      <x:c r="M588" s="5" t="str">
        <x:v>추출 후 기본 구조 검토; 원문 적용수준·전체 맥락 재확인 필요</x:v>
      </x:c>
      <x:c r="N588" s="5" t="str">
        <x:v>UI-075</x:v>
      </x:c>
      <x:c r="O588" s="5" t="str">
        <x:v>자동 추출 후보 / 공식 전수 체크리스트 아님</x:v>
      </x:c>
    </x:row>
    <x:row r="589" ht="15" hidden="0" customHeight="1">
      <x:c r="A589" s="5" t="str">
        <x:v>KRDS-SEC-078-A-06</x:v>
      </x:c>
      <x:c r="B589" s="5" t="str">
        <x:v>KRDS-SEC-078</x:v>
      </x:c>
      <x:c r="C589" s="5" t="str">
        <x:v>서비스 패턴</x:v>
      </x:c>
      <x:c r="D589" s="5" t="str">
        <x:v>검색</x:v>
      </x:c>
      <x:c r="E589" s="5" t="str">
        <x:v>검색어 입력</x:v>
      </x:c>
      <x:c r="F589" s="5" t="str">
        <x:v>접근성 가이드라인</x:v>
      </x:c>
      <x:c r="G589" s="5" t="str">
        <x:v>06</x:v>
      </x:c>
      <x:c r="H589" s="5" t="n">
        <x:v>925</x:v>
      </x:c>
      <x:c r="I589" s="5" t="n">
        <x:v>925</x:v>
      </x:c>
      <x:c r="J589" s="5" t="str"/>
      <x:c r="K589" s="5" t="str">
        <x:v>자동완성이나 추천 검색어 목록을 계층화하여 제공한다.</x:v>
      </x:c>
      <x:c r="L589" s="5" t="str">
        <x:v>원문 세부기준</x:v>
      </x:c>
      <x:c r="M589" s="5" t="str">
        <x:v>추출 후 기본 구조 검토; 원문 적용수준·전체 맥락 재확인 필요</x:v>
      </x:c>
      <x:c r="N589" s="5" t="str">
        <x:v>UI-075</x:v>
      </x:c>
      <x:c r="O589" s="5" t="str">
        <x:v>자동 추출 후보 / 공식 전수 체크리스트 아님</x:v>
      </x:c>
    </x:row>
    <x:row r="590" ht="15" hidden="0" customHeight="1">
      <x:c r="A590" s="5" t="str">
        <x:v>KRDS-SEC-079-U-01</x:v>
      </x:c>
      <x:c r="B590" s="5" t="str">
        <x:v>KRDS-SEC-079</x:v>
      </x:c>
      <x:c r="C590" s="5" t="str">
        <x:v>서비스 패턴</x:v>
      </x:c>
      <x:c r="D590" s="5" t="str">
        <x:v>검색</x:v>
      </x:c>
      <x:c r="E590" s="5" t="str">
        <x:v>검색 결과 확인</x:v>
      </x:c>
      <x:c r="F590" s="5" t="str">
        <x:v>사용성 가이드라인</x:v>
      </x:c>
      <x:c r="G590" s="5" t="str">
        <x:v>01</x:v>
      </x:c>
      <x:c r="H590" s="5" t="n">
        <x:v>931</x:v>
      </x:c>
      <x:c r="I590" s="5" t="n">
        <x:v>931</x:v>
      </x:c>
      <x:c r="J590" s="5" t="str">
        <x:v>932</x:v>
      </x:c>
      <x:c r="K590" s="5" t="str">
        <x:v>검색 결과가 표시되기 전에 로딩 상태에 대한 정보를 제공한다.</x:v>
      </x:c>
      <x:c r="L590" s="5" t="str">
        <x:v>수준 확인 필요</x:v>
      </x:c>
      <x:c r="M590" s="5" t="str">
        <x:v>추출 후 기본 구조 검토; 원문 적용수준·전체 맥락 재확인 필요</x:v>
      </x:c>
      <x:c r="N590" s="5" t="str">
        <x:v>UI-076</x:v>
      </x:c>
      <x:c r="O590" s="5" t="str">
        <x:v>자동 추출 후보 / 공식 전수 체크리스트 아님</x:v>
      </x:c>
    </x:row>
    <x:row r="591" ht="15" hidden="0" customHeight="1">
      <x:c r="A591" s="5" t="str">
        <x:v>KRDS-SEC-079-U-02</x:v>
      </x:c>
      <x:c r="B591" s="5" t="str">
        <x:v>KRDS-SEC-079</x:v>
      </x:c>
      <x:c r="C591" s="5" t="str">
        <x:v>서비스 패턴</x:v>
      </x:c>
      <x:c r="D591" s="5" t="str">
        <x:v>검색</x:v>
      </x:c>
      <x:c r="E591" s="5" t="str">
        <x:v>검색 결과 확인</x:v>
      </x:c>
      <x:c r="F591" s="5" t="str">
        <x:v>사용성 가이드라인</x:v>
      </x:c>
      <x:c r="G591" s="5" t="str">
        <x:v>02</x:v>
      </x:c>
      <x:c r="H591" s="5" t="n">
        <x:v>931</x:v>
      </x:c>
      <x:c r="I591" s="5" t="n">
        <x:v>931</x:v>
      </x:c>
      <x:c r="J591" s="5" t="str">
        <x:v>933</x:v>
      </x:c>
      <x:c r="K591" s="5" t="str">
        <x:v>검색 결과 화면에 검색어 입력 필드를 유지한다.</x:v>
      </x:c>
      <x:c r="L591" s="5" t="str">
        <x:v>수준 확인 필요</x:v>
      </x:c>
      <x:c r="M591" s="5" t="str">
        <x:v>추출 후 기본 구조 검토; 원문 적용수준·전체 맥락 재확인 필요</x:v>
      </x:c>
      <x:c r="N591" s="5" t="str">
        <x:v>UI-076</x:v>
      </x:c>
      <x:c r="O591" s="5" t="str">
        <x:v>자동 추출 후보 / 공식 전수 체크리스트 아님</x:v>
      </x:c>
    </x:row>
    <x:row r="592" ht="15" hidden="0" customHeight="1">
      <x:c r="A592" s="5" t="str">
        <x:v>KRDS-SEC-079-U-03</x:v>
      </x:c>
      <x:c r="B592" s="5" t="str">
        <x:v>KRDS-SEC-079</x:v>
      </x:c>
      <x:c r="C592" s="5" t="str">
        <x:v>서비스 패턴</x:v>
      </x:c>
      <x:c r="D592" s="5" t="str">
        <x:v>검색</x:v>
      </x:c>
      <x:c r="E592" s="5" t="str">
        <x:v>검색 결과 확인</x:v>
      </x:c>
      <x:c r="F592" s="5" t="str">
        <x:v>사용성 가이드라인</x:v>
      </x:c>
      <x:c r="G592" s="5" t="str">
        <x:v>03</x:v>
      </x:c>
      <x:c r="H592" s="5" t="n">
        <x:v>931</x:v>
      </x:c>
      <x:c r="I592" s="5" t="n">
        <x:v>931</x:v>
      </x:c>
      <x:c r="J592" s="5" t="str">
        <x:v>934</x:v>
      </x:c>
      <x:c r="K592" s="5" t="str">
        <x:v>검색 결과 화면에 여러 개의 검색어 입력 필드를 사용하지 않는다.</x:v>
      </x:c>
      <x:c r="L592" s="5" t="str">
        <x:v>수준 확인 필요</x:v>
      </x:c>
      <x:c r="M592" s="5" t="str">
        <x:v>추출 후 기본 구조 검토; 원문 적용수준·전체 맥락 재확인 필요</x:v>
      </x:c>
      <x:c r="N592" s="5" t="str">
        <x:v>UI-076</x:v>
      </x:c>
      <x:c r="O592" s="5" t="str">
        <x:v>자동 추출 후보 / 공식 전수 체크리스트 아님</x:v>
      </x:c>
    </x:row>
    <x:row r="593" ht="15" hidden="0" customHeight="1">
      <x:c r="A593" s="5" t="str">
        <x:v>KRDS-SEC-079-U-04</x:v>
      </x:c>
      <x:c r="B593" s="5" t="str">
        <x:v>KRDS-SEC-079</x:v>
      </x:c>
      <x:c r="C593" s="5" t="str">
        <x:v>서비스 패턴</x:v>
      </x:c>
      <x:c r="D593" s="5" t="str">
        <x:v>검색</x:v>
      </x:c>
      <x:c r="E593" s="5" t="str">
        <x:v>검색 결과 확인</x:v>
      </x:c>
      <x:c r="F593" s="5" t="str">
        <x:v>사용성 가이드라인</x:v>
      </x:c>
      <x:c r="G593" s="5" t="str">
        <x:v>04</x:v>
      </x:c>
      <x:c r="H593" s="5" t="n">
        <x:v>931</x:v>
      </x:c>
      <x:c r="I593" s="5" t="n">
        <x:v>931</x:v>
      </x:c>
      <x:c r="J593" s="5" t="str">
        <x:v>935</x:v>
      </x:c>
      <x:c r="K593" s="5" t="str">
        <x:v>사용자가 재검색을 시도하지 않는 한 검색어 입력 필드에 검색어를 유지한다.</x:v>
      </x:c>
      <x:c r="L593" s="5" t="str">
        <x:v>수준 확인 필요</x:v>
      </x:c>
      <x:c r="M593" s="5" t="str">
        <x:v>추출 후 기본 구조 검토; 원문 적용수준·전체 맥락 재확인 필요</x:v>
      </x:c>
      <x:c r="N593" s="5" t="str">
        <x:v>UI-076</x:v>
      </x:c>
      <x:c r="O593" s="5" t="str">
        <x:v>자동 추출 후보 / 공식 전수 체크리스트 아님</x:v>
      </x:c>
    </x:row>
    <x:row r="594" ht="15" hidden="0" customHeight="1">
      <x:c r="A594" s="5" t="str">
        <x:v>KRDS-SEC-079-U-05</x:v>
      </x:c>
      <x:c r="B594" s="5" t="str">
        <x:v>KRDS-SEC-079</x:v>
      </x:c>
      <x:c r="C594" s="5" t="str">
        <x:v>서비스 패턴</x:v>
      </x:c>
      <x:c r="D594" s="5" t="str">
        <x:v>검색</x:v>
      </x:c>
      <x:c r="E594" s="5" t="str">
        <x:v>검색 결과 확인</x:v>
      </x:c>
      <x:c r="F594" s="5" t="str">
        <x:v>사용성 가이드라인</x:v>
      </x:c>
      <x:c r="G594" s="5" t="str">
        <x:v>05</x:v>
      </x:c>
      <x:c r="H594" s="5" t="n">
        <x:v>931</x:v>
      </x:c>
      <x:c r="I594" s="5" t="n">
        <x:v>931</x:v>
      </x:c>
      <x:c r="J594" s="5" t="str">
        <x:v>936</x:v>
      </x:c>
      <x:c r="K594" s="5" t="str">
        <x:v>검색 결과 수를 표시한다.</x:v>
      </x:c>
      <x:c r="L594" s="5" t="str">
        <x:v>수준 확인 필요</x:v>
      </x:c>
      <x:c r="M594" s="5" t="str">
        <x:v>추출 후 기본 구조 검토; 원문 적용수준·전체 맥락 재확인 필요</x:v>
      </x:c>
      <x:c r="N594" s="5" t="str">
        <x:v>UI-076</x:v>
      </x:c>
      <x:c r="O594" s="5" t="str">
        <x:v>자동 추출 후보 / 공식 전수 체크리스트 아님</x:v>
      </x:c>
    </x:row>
    <x:row r="595" ht="15" hidden="0" customHeight="1">
      <x:c r="A595" s="5" t="str">
        <x:v>KRDS-SEC-079-U-06</x:v>
      </x:c>
      <x:c r="B595" s="5" t="str">
        <x:v>KRDS-SEC-079</x:v>
      </x:c>
      <x:c r="C595" s="5" t="str">
        <x:v>서비스 패턴</x:v>
      </x:c>
      <x:c r="D595" s="5" t="str">
        <x:v>검색</x:v>
      </x:c>
      <x:c r="E595" s="5" t="str">
        <x:v>검색 결과 확인</x:v>
      </x:c>
      <x:c r="F595" s="5" t="str">
        <x:v>사용성 가이드라인</x:v>
      </x:c>
      <x:c r="G595" s="5" t="str">
        <x:v>06</x:v>
      </x:c>
      <x:c r="H595" s="5" t="n">
        <x:v>931</x:v>
      </x:c>
      <x:c r="I595" s="5" t="n">
        <x:v>931</x:v>
      </x:c>
      <x:c r="J595" s="5" t="str">
        <x:v>937</x:v>
      </x:c>
      <x:c r="K595" s="5" t="str">
        <x:v>검색어와 관련된 결과가 반환되는지 확인한다.</x:v>
      </x:c>
      <x:c r="L595" s="5" t="str">
        <x:v>수준 확인 필요</x:v>
      </x:c>
      <x:c r="M595" s="5" t="str">
        <x:v>추출 후 기본 구조 검토; 원문 적용수준·전체 맥락 재확인 필요</x:v>
      </x:c>
      <x:c r="N595" s="5" t="str">
        <x:v>UI-076</x:v>
      </x:c>
      <x:c r="O595" s="5" t="str">
        <x:v>자동 추출 후보 / 공식 전수 체크리스트 아님</x:v>
      </x:c>
    </x:row>
    <x:row r="596" ht="15" hidden="0" customHeight="1">
      <x:c r="A596" s="5" t="str">
        <x:v>KRDS-SEC-079-U-07</x:v>
      </x:c>
      <x:c r="B596" s="5" t="str">
        <x:v>KRDS-SEC-079</x:v>
      </x:c>
      <x:c r="C596" s="5" t="str">
        <x:v>서비스 패턴</x:v>
      </x:c>
      <x:c r="D596" s="5" t="str">
        <x:v>검색</x:v>
      </x:c>
      <x:c r="E596" s="5" t="str">
        <x:v>검색 결과 확인</x:v>
      </x:c>
      <x:c r="F596" s="5" t="str">
        <x:v>사용성 가이드라인</x:v>
      </x:c>
      <x:c r="G596" s="5" t="str">
        <x:v>07</x:v>
      </x:c>
      <x:c r="H596" s="5" t="n">
        <x:v>931</x:v>
      </x:c>
      <x:c r="I596" s="5" t="n">
        <x:v>931</x:v>
      </x:c>
      <x:c r="J596" s="5" t="str">
        <x:v>938</x:v>
      </x:c>
      <x:c r="K596" s="5" t="str">
        <x:v>유사 검색어나 관련된 검색어에 대한 검색 결과를 함께 제공한다.</x:v>
      </x:c>
      <x:c r="L596" s="5" t="str">
        <x:v>수준 확인 필요</x:v>
      </x:c>
      <x:c r="M596" s="5" t="str">
        <x:v>추출 후 기본 구조 검토; 원문 적용수준·전체 맥락 재확인 필요</x:v>
      </x:c>
      <x:c r="N596" s="5" t="str">
        <x:v>UI-076</x:v>
      </x:c>
      <x:c r="O596" s="5" t="str">
        <x:v>자동 추출 후보 / 공식 전수 체크리스트 아님</x:v>
      </x:c>
    </x:row>
    <x:row r="597" ht="15" hidden="0" customHeight="1">
      <x:c r="A597" s="5" t="str">
        <x:v>KRDS-SEC-079-U-08</x:v>
      </x:c>
      <x:c r="B597" s="5" t="str">
        <x:v>KRDS-SEC-079</x:v>
      </x:c>
      <x:c r="C597" s="5" t="str">
        <x:v>서비스 패턴</x:v>
      </x:c>
      <x:c r="D597" s="5" t="str">
        <x:v>검색</x:v>
      </x:c>
      <x:c r="E597" s="5" t="str">
        <x:v>검색 결과 확인</x:v>
      </x:c>
      <x:c r="F597" s="5" t="str">
        <x:v>사용성 가이드라인</x:v>
      </x:c>
      <x:c r="G597" s="5" t="str">
        <x:v>08</x:v>
      </x:c>
      <x:c r="H597" s="5" t="n">
        <x:v>931</x:v>
      </x:c>
      <x:c r="I597" s="5" t="n">
        <x:v>931</x:v>
      </x:c>
      <x:c r="J597" s="5" t="str">
        <x:v>939</x:v>
      </x:c>
      <x:c r="K597" s="5" t="str">
        <x:v>초기 검색 결과 목록은 정확도 또는 관련도순으로 정렬하여 제공한다.</x:v>
      </x:c>
      <x:c r="L597" s="5" t="str">
        <x:v>수준 확인 필요</x:v>
      </x:c>
      <x:c r="M597" s="5" t="str">
        <x:v>추출 후 기본 구조 검토; 원문 적용수준·전체 맥락 재확인 필요</x:v>
      </x:c>
      <x:c r="N597" s="5" t="str">
        <x:v>UI-076</x:v>
      </x:c>
      <x:c r="O597" s="5" t="str">
        <x:v>자동 추출 후보 / 공식 전수 체크리스트 아님</x:v>
      </x:c>
    </x:row>
    <x:row r="598" ht="15" hidden="0" customHeight="1">
      <x:c r="A598" s="5" t="str">
        <x:v>KRDS-SEC-079-U-09</x:v>
      </x:c>
      <x:c r="B598" s="5" t="str">
        <x:v>KRDS-SEC-079</x:v>
      </x:c>
      <x:c r="C598" s="5" t="str">
        <x:v>서비스 패턴</x:v>
      </x:c>
      <x:c r="D598" s="5" t="str">
        <x:v>검색</x:v>
      </x:c>
      <x:c r="E598" s="5" t="str">
        <x:v>검색 결과 확인</x:v>
      </x:c>
      <x:c r="F598" s="5" t="str">
        <x:v>사용성 가이드라인</x:v>
      </x:c>
      <x:c r="G598" s="5" t="str">
        <x:v>09</x:v>
      </x:c>
      <x:c r="H598" s="5" t="n">
        <x:v>931</x:v>
      </x:c>
      <x:c r="I598" s="5" t="n">
        <x:v>931</x:v>
      </x:c>
      <x:c r="J598" s="5" t="str">
        <x:v>940</x:v>
      </x:c>
      <x:c r="K598" s="5" t="str">
        <x:v>검색 결과가 지나치게 많이 제공되는 경우 사용자에게 범위를 제한할 수 있는 방법에 대해 안내한다.</x:v>
      </x:c>
      <x:c r="L598" s="5" t="str">
        <x:v>수준 확인 필요</x:v>
      </x:c>
      <x:c r="M598" s="5" t="str">
        <x:v>추출 후 기본 구조 검토; 원문 적용수준·전체 맥락 재확인 필요</x:v>
      </x:c>
      <x:c r="N598" s="5" t="str">
        <x:v>UI-076</x:v>
      </x:c>
      <x:c r="O598" s="5" t="str">
        <x:v>자동 추출 후보 / 공식 전수 체크리스트 아님</x:v>
      </x:c>
    </x:row>
    <x:row r="599" ht="15" hidden="0" customHeight="1">
      <x:c r="A599" s="5" t="str">
        <x:v>KRDS-SEC-079-U-10</x:v>
      </x:c>
      <x:c r="B599" s="5" t="str">
        <x:v>KRDS-SEC-079</x:v>
      </x:c>
      <x:c r="C599" s="5" t="str">
        <x:v>서비스 패턴</x:v>
      </x:c>
      <x:c r="D599" s="5" t="str">
        <x:v>검색</x:v>
      </x:c>
      <x:c r="E599" s="5" t="str">
        <x:v>검색 결과 확인</x:v>
      </x:c>
      <x:c r="F599" s="5" t="str">
        <x:v>사용성 가이드라인</x:v>
      </x:c>
      <x:c r="G599" s="5" t="str">
        <x:v>10</x:v>
      </x:c>
      <x:c r="H599" s="5" t="n">
        <x:v>931</x:v>
      </x:c>
      <x:c r="I599" s="5" t="n">
        <x:v>931</x:v>
      </x:c>
      <x:c r="J599" s="5" t="str">
        <x:v>941</x:v>
      </x:c>
      <x:c r="K599" s="5" t="str">
        <x:v>검색 결과가 없는 경우, 결과를 명확하게 알리고 적절한 대안을 제공한다.</x:v>
      </x:c>
      <x:c r="L599" s="5" t="str">
        <x:v>수준 확인 필요</x:v>
      </x:c>
      <x:c r="M599" s="5" t="str">
        <x:v>추출 후 기본 구조 검토; 원문 적용수준·전체 맥락 재확인 필요</x:v>
      </x:c>
      <x:c r="N599" s="5" t="str">
        <x:v>UI-076</x:v>
      </x:c>
      <x:c r="O599" s="5" t="str">
        <x:v>자동 추출 후보 / 공식 전수 체크리스트 아님</x:v>
      </x:c>
    </x:row>
    <x:row r="600" ht="26.399999618530273" hidden="0" customHeight="1">
      <x:c r="A600" s="5" t="str">
        <x:v>KRDS-SEC-080-U-01</x:v>
      </x:c>
      <x:c r="B600" s="5" t="str">
        <x:v>KRDS-SEC-080</x:v>
      </x:c>
      <x:c r="C600" s="5" t="str">
        <x:v>서비스 패턴</x:v>
      </x:c>
      <x:c r="D600" s="5" t="str">
        <x:v>검색</x:v>
      </x:c>
      <x:c r="E600" s="5" t="str">
        <x:v>상세 검색</x:v>
      </x:c>
      <x:c r="F600" s="5" t="str">
        <x:v>사용성 가이드라인</x:v>
      </x:c>
      <x:c r="G600" s="5" t="str">
        <x:v>01</x:v>
      </x:c>
      <x:c r="H600" s="5" t="n">
        <x:v>947</x:v>
      </x:c>
      <x:c r="I600" s="5" t="n">
        <x:v>947</x:v>
      </x:c>
      <x:c r="J600" s="5" t="str">
        <x:v>948</x:v>
      </x:c>
      <x:c r="K600" s="5" t="str">
        <x:v>기본 정렬, 필터 컨트롤을 제공한다.</x:v>
      </x:c>
      <x:c r="L600" s="5" t="str">
        <x:v>수준 확인 필요</x:v>
      </x:c>
      <x:c r="M600" s="5" t="str">
        <x:v>추출 후 기본 구조 검토; 원문 적용수준·전체 맥락 재확인 필요</x:v>
      </x:c>
      <x:c r="N600" s="5" t="str">
        <x:v>UI-077
UI-120</x:v>
      </x:c>
      <x:c r="O600" s="5" t="str">
        <x:v>자동 추출 후보 / 공식 전수 체크리스트 아님</x:v>
      </x:c>
    </x:row>
    <x:row r="601" ht="26.399999618530273" hidden="0" customHeight="1">
      <x:c r="A601" s="5" t="str">
        <x:v>KRDS-SEC-080-U-02</x:v>
      </x:c>
      <x:c r="B601" s="5" t="str">
        <x:v>KRDS-SEC-080</x:v>
      </x:c>
      <x:c r="C601" s="5" t="str">
        <x:v>서비스 패턴</x:v>
      </x:c>
      <x:c r="D601" s="5" t="str">
        <x:v>검색</x:v>
      </x:c>
      <x:c r="E601" s="5" t="str">
        <x:v>상세 검색</x:v>
      </x:c>
      <x:c r="F601" s="5" t="str">
        <x:v>사용성 가이드라인</x:v>
      </x:c>
      <x:c r="G601" s="5" t="str">
        <x:v>02</x:v>
      </x:c>
      <x:c r="H601" s="5" t="n">
        <x:v>947</x:v>
      </x:c>
      <x:c r="I601" s="5" t="n">
        <x:v>947</x:v>
      </x:c>
      <x:c r="J601" s="5" t="str">
        <x:v>949</x:v>
      </x:c>
      <x:c r="K601" s="5" t="str">
        <x:v>기본 검색에서 정렬, 필터 컨트롤은 일정한 순서로 제공되어야 한다.</x:v>
      </x:c>
      <x:c r="L601" s="5" t="str">
        <x:v>수준 확인 필요</x:v>
      </x:c>
      <x:c r="M601" s="5" t="str">
        <x:v>추출 후 기본 구조 검토; 원문 적용수준·전체 맥락 재확인 필요</x:v>
      </x:c>
      <x:c r="N601" s="5" t="str">
        <x:v>UI-077
UI-120</x:v>
      </x:c>
      <x:c r="O601" s="5" t="str">
        <x:v>자동 추출 후보 / 공식 전수 체크리스트 아님</x:v>
      </x:c>
    </x:row>
    <x:row r="602" ht="26.399999618530273" hidden="0" customHeight="1">
      <x:c r="A602" s="5" t="str">
        <x:v>KRDS-SEC-080-U-03</x:v>
      </x:c>
      <x:c r="B602" s="5" t="str">
        <x:v>KRDS-SEC-080</x:v>
      </x:c>
      <x:c r="C602" s="5" t="str">
        <x:v>서비스 패턴</x:v>
      </x:c>
      <x:c r="D602" s="5" t="str">
        <x:v>검색</x:v>
      </x:c>
      <x:c r="E602" s="5" t="str">
        <x:v>상세 검색</x:v>
      </x:c>
      <x:c r="F602" s="5" t="str">
        <x:v>사용성 가이드라인</x:v>
      </x:c>
      <x:c r="G602" s="5" t="str">
        <x:v>03</x:v>
      </x:c>
      <x:c r="H602" s="5" t="n">
        <x:v>947</x:v>
      </x:c>
      <x:c r="I602" s="5" t="n">
        <x:v>947</x:v>
      </x:c>
      <x:c r="J602" s="5" t="str">
        <x:v>950</x:v>
      </x:c>
      <x:c r="K602" s="5" t="str">
        <x:v>스코프 필터를 사용하는 경우 결과 화면 상단에 설정된 범위를 명시적으로 표시한다.</x:v>
      </x:c>
      <x:c r="L602" s="5" t="str">
        <x:v>수준 확인 필요</x:v>
      </x:c>
      <x:c r="M602" s="5" t="str">
        <x:v>추출 후 기본 구조 검토; 원문 적용수준·전체 맥락 재확인 필요</x:v>
      </x:c>
      <x:c r="N602" s="5" t="str">
        <x:v>UI-077
UI-120</x:v>
      </x:c>
      <x:c r="O602" s="5" t="str">
        <x:v>자동 추출 후보 / 공식 전수 체크리스트 아님</x:v>
      </x:c>
    </x:row>
    <x:row r="603" ht="26.399999618530273" hidden="0" customHeight="1">
      <x:c r="A603" s="5" t="str">
        <x:v>KRDS-SEC-080-U-04</x:v>
      </x:c>
      <x:c r="B603" s="5" t="str">
        <x:v>KRDS-SEC-080</x:v>
      </x:c>
      <x:c r="C603" s="5" t="str">
        <x:v>서비스 패턴</x:v>
      </x:c>
      <x:c r="D603" s="5" t="str">
        <x:v>검색</x:v>
      </x:c>
      <x:c r="E603" s="5" t="str">
        <x:v>상세 검색</x:v>
      </x:c>
      <x:c r="F603" s="5" t="str">
        <x:v>사용성 가이드라인</x:v>
      </x:c>
      <x:c r="G603" s="5" t="str">
        <x:v>04</x:v>
      </x:c>
      <x:c r="H603" s="5" t="n">
        <x:v>947</x:v>
      </x:c>
      <x:c r="I603" s="5" t="n">
        <x:v>947</x:v>
      </x:c>
      <x:c r="J603" s="5" t="str">
        <x:v>951</x:v>
      </x:c>
      <x:c r="K603" s="5" t="str">
        <x:v>정렬, 필터 적용 결과는 가능한 한 사용자가 값을 선택하였을 때 적용한다.</x:v>
      </x:c>
      <x:c r="L603" s="5" t="str">
        <x:v>수준 확인 필요</x:v>
      </x:c>
      <x:c r="M603" s="5" t="str">
        <x:v>추출 후 기본 구조 검토; 원문 적용수준·전체 맥락 재확인 필요</x:v>
      </x:c>
      <x:c r="N603" s="5" t="str">
        <x:v>UI-077
UI-120</x:v>
      </x:c>
      <x:c r="O603" s="5" t="str">
        <x:v>자동 추출 후보 / 공식 전수 체크리스트 아님</x:v>
      </x:c>
    </x:row>
    <x:row r="604" ht="26.399999618530273" hidden="0" customHeight="1">
      <x:c r="A604" s="5" t="str">
        <x:v>KRDS-SEC-080-U-05</x:v>
      </x:c>
      <x:c r="B604" s="5" t="str">
        <x:v>KRDS-SEC-080</x:v>
      </x:c>
      <x:c r="C604" s="5" t="str">
        <x:v>서비스 패턴</x:v>
      </x:c>
      <x:c r="D604" s="5" t="str">
        <x:v>검색</x:v>
      </x:c>
      <x:c r="E604" s="5" t="str">
        <x:v>상세 검색</x:v>
      </x:c>
      <x:c r="F604" s="5" t="str">
        <x:v>사용성 가이드라인</x:v>
      </x:c>
      <x:c r="G604" s="5" t="str">
        <x:v>05</x:v>
      </x:c>
      <x:c r="H604" s="5" t="n">
        <x:v>947</x:v>
      </x:c>
      <x:c r="I604" s="5" t="n">
        <x:v>947</x:v>
      </x:c>
      <x:c r="J604" s="5" t="str">
        <x:v>952</x:v>
      </x:c>
      <x:c r="K604" s="5" t="str">
        <x:v>조건이 적용되었음을 확인할 수 있는 명확한 시각적 단서를 제공한다.</x:v>
      </x:c>
      <x:c r="L604" s="5" t="str">
        <x:v>수준 확인 필요</x:v>
      </x:c>
      <x:c r="M604" s="5" t="str">
        <x:v>추출 후 기본 구조 검토; 원문 적용수준·전체 맥락 재확인 필요</x:v>
      </x:c>
      <x:c r="N604" s="5" t="str">
        <x:v>UI-077
UI-120</x:v>
      </x:c>
      <x:c r="O604" s="5" t="str">
        <x:v>자동 추출 후보 / 공식 전수 체크리스트 아님</x:v>
      </x:c>
    </x:row>
    <x:row r="605" ht="26.399999618530273" hidden="0" customHeight="1">
      <x:c r="A605" s="5" t="str">
        <x:v>KRDS-SEC-080-A-01</x:v>
      </x:c>
      <x:c r="B605" s="5" t="str">
        <x:v>KRDS-SEC-080</x:v>
      </x:c>
      <x:c r="C605" s="5" t="str">
        <x:v>서비스 패턴</x:v>
      </x:c>
      <x:c r="D605" s="5" t="str">
        <x:v>검색</x:v>
      </x:c>
      <x:c r="E605" s="5" t="str">
        <x:v>상세 검색</x:v>
      </x:c>
      <x:c r="F605" s="5" t="str">
        <x:v>접근성 가이드라인</x:v>
      </x:c>
      <x:c r="G605" s="5" t="str">
        <x:v>01</x:v>
      </x:c>
      <x:c r="H605" s="5" t="n">
        <x:v>954</x:v>
      </x:c>
      <x:c r="I605" s="5" t="n">
        <x:v>954</x:v>
      </x:c>
      <x:c r="J605" s="5" t="str"/>
      <x:c r="K605" s="5" t="str">
        <x:v>조건이 적용되었음을 확인할 수 있는 명확한 프로그램적 단서를 제공한다.</x:v>
      </x:c>
      <x:c r="L605" s="5" t="str">
        <x:v>원문 세부기준</x:v>
      </x:c>
      <x:c r="M605" s="5" t="str">
        <x:v>추출 후 기본 구조 검토; 원문 적용수준·전체 맥락 재확인 필요</x:v>
      </x:c>
      <x:c r="N605" s="5" t="str">
        <x:v>UI-077
UI-120</x:v>
      </x:c>
      <x:c r="O605" s="5" t="str">
        <x:v>자동 추출 후보 / 공식 전수 체크리스트 아님</x:v>
      </x:c>
    </x:row>
    <x:row r="606" ht="15" hidden="0" customHeight="1">
      <x:c r="A606" s="5" t="str">
        <x:v>KRDS-SEC-081-U-01</x:v>
      </x:c>
      <x:c r="B606" s="5" t="str">
        <x:v>KRDS-SEC-081</x:v>
      </x:c>
      <x:c r="C606" s="5" t="str">
        <x:v>서비스 패턴</x:v>
      </x:c>
      <x:c r="D606" s="5" t="str">
        <x:v>검색</x:v>
      </x:c>
      <x:c r="E606" s="5" t="str">
        <x:v>검색 결과 이용</x:v>
      </x:c>
      <x:c r="F606" s="5" t="str">
        <x:v>사용성 가이드라인</x:v>
      </x:c>
      <x:c r="G606" s="5" t="str">
        <x:v>01</x:v>
      </x:c>
      <x:c r="H606" s="5" t="n">
        <x:v>958</x:v>
      </x:c>
      <x:c r="I606" s="5" t="n">
        <x:v>958</x:v>
      </x:c>
      <x:c r="J606" s="5" t="str">
        <x:v>959</x:v>
      </x:c>
      <x:c r="K606" s="5" t="str">
        <x:v>사용자가 필요로 하는 주제별로 검색 결과가 제공되도록 설계한다.</x:v>
      </x:c>
      <x:c r="L606" s="5" t="str">
        <x:v>수준 확인 필요</x:v>
      </x:c>
      <x:c r="M606" s="5" t="str">
        <x:v>추출 후 기본 구조 검토; 원문 적용수준·전체 맥락 재확인 필요</x:v>
      </x:c>
      <x:c r="N606" s="5" t="str">
        <x:v>UI-078</x:v>
      </x:c>
      <x:c r="O606" s="5" t="str">
        <x:v>자동 추출 후보 / 공식 전수 체크리스트 아님</x:v>
      </x:c>
    </x:row>
    <x:row r="607" ht="15" hidden="0" customHeight="1">
      <x:c r="A607" s="5" t="str">
        <x:v>KRDS-SEC-081-U-02</x:v>
      </x:c>
      <x:c r="B607" s="5" t="str">
        <x:v>KRDS-SEC-081</x:v>
      </x:c>
      <x:c r="C607" s="5" t="str">
        <x:v>서비스 패턴</x:v>
      </x:c>
      <x:c r="D607" s="5" t="str">
        <x:v>검색</x:v>
      </x:c>
      <x:c r="E607" s="5" t="str">
        <x:v>검색 결과 이용</x:v>
      </x:c>
      <x:c r="F607" s="5" t="str">
        <x:v>사용성 가이드라인</x:v>
      </x:c>
      <x:c r="G607" s="5" t="str">
        <x:v>02</x:v>
      </x:c>
      <x:c r="H607" s="5" t="n">
        <x:v>958</x:v>
      </x:c>
      <x:c r="I607" s="5" t="n">
        <x:v>958</x:v>
      </x:c>
      <x:c r="J607" s="5" t="str">
        <x:v>960</x:v>
      </x:c>
      <x:c r="K607" s="5" t="str">
        <x:v>검색 주제 분류는 7개를 초과하지 않도록 한다.</x:v>
      </x:c>
      <x:c r="L607" s="5" t="str">
        <x:v>수준 확인 필요</x:v>
      </x:c>
      <x:c r="M607" s="5" t="str">
        <x:v>추출 후 기본 구조 검토; 원문 적용수준·전체 맥락 재확인 필요</x:v>
      </x:c>
      <x:c r="N607" s="5" t="str">
        <x:v>UI-078</x:v>
      </x:c>
      <x:c r="O607" s="5" t="str">
        <x:v>자동 추출 후보 / 공식 전수 체크리스트 아님</x:v>
      </x:c>
    </x:row>
    <x:row r="608" ht="15" hidden="0" customHeight="1">
      <x:c r="A608" s="5" t="str">
        <x:v>KRDS-SEC-081-U-03</x:v>
      </x:c>
      <x:c r="B608" s="5" t="str">
        <x:v>KRDS-SEC-081</x:v>
      </x:c>
      <x:c r="C608" s="5" t="str">
        <x:v>서비스 패턴</x:v>
      </x:c>
      <x:c r="D608" s="5" t="str">
        <x:v>검색</x:v>
      </x:c>
      <x:c r="E608" s="5" t="str">
        <x:v>검색 결과 이용</x:v>
      </x:c>
      <x:c r="F608" s="5" t="str">
        <x:v>사용성 가이드라인</x:v>
      </x:c>
      <x:c r="G608" s="5" t="str">
        <x:v>03</x:v>
      </x:c>
      <x:c r="H608" s="5" t="n">
        <x:v>958</x:v>
      </x:c>
      <x:c r="I608" s="5" t="n">
        <x:v>958</x:v>
      </x:c>
      <x:c r="J608" s="5" t="str">
        <x:v>961</x:v>
      </x:c>
      <x:c r="K608" s="5" t="str">
        <x:v>주제별 탐색 탭을 사용하는 경우 전체 목록이 가장 첫 번째 탭으로 제공되어야 한다.</x:v>
      </x:c>
      <x:c r="L608" s="5" t="str">
        <x:v>수준 확인 필요</x:v>
      </x:c>
      <x:c r="M608" s="5" t="str">
        <x:v>추출 후 기본 구조 검토; 원문 적용수준·전체 맥락 재확인 필요</x:v>
      </x:c>
      <x:c r="N608" s="5" t="str">
        <x:v>UI-078</x:v>
      </x:c>
      <x:c r="O608" s="5" t="str">
        <x:v>자동 추출 후보 / 공식 전수 체크리스트 아님</x:v>
      </x:c>
    </x:row>
    <x:row r="609" ht="15" hidden="0" customHeight="1">
      <x:c r="A609" s="5" t="str">
        <x:v>KRDS-SEC-081-U-04</x:v>
      </x:c>
      <x:c r="B609" s="5" t="str">
        <x:v>KRDS-SEC-081</x:v>
      </x:c>
      <x:c r="C609" s="5" t="str">
        <x:v>서비스 패턴</x:v>
      </x:c>
      <x:c r="D609" s="5" t="str">
        <x:v>검색</x:v>
      </x:c>
      <x:c r="E609" s="5" t="str">
        <x:v>검색 결과 이용</x:v>
      </x:c>
      <x:c r="F609" s="5" t="str">
        <x:v>사용성 가이드라인</x:v>
      </x:c>
      <x:c r="G609" s="5" t="str">
        <x:v>04</x:v>
      </x:c>
      <x:c r="H609" s="5" t="n">
        <x:v>958</x:v>
      </x:c>
      <x:c r="I609" s="5" t="n">
        <x:v>958</x:v>
      </x:c>
      <x:c r="J609" s="5" t="str">
        <x:v>962</x:v>
      </x:c>
      <x:c r="K609" s="5" t="str">
        <x:v>전체 결과 목록은 주제별 섹션 구분 없이 결과의 정확도나 관련도 순으로 정렬한다.</x:v>
      </x:c>
      <x:c r="L609" s="5" t="str">
        <x:v>수준 확인 필요</x:v>
      </x:c>
      <x:c r="M609" s="5" t="str">
        <x:v>추출 후 기본 구조 검토; 원문 적용수준·전체 맥락 재확인 필요</x:v>
      </x:c>
      <x:c r="N609" s="5" t="str">
        <x:v>UI-078</x:v>
      </x:c>
      <x:c r="O609" s="5" t="str">
        <x:v>자동 추출 후보 / 공식 전수 체크리스트 아님</x:v>
      </x:c>
    </x:row>
    <x:row r="610" ht="15" hidden="0" customHeight="1">
      <x:c r="A610" s="5" t="str">
        <x:v>KRDS-SEC-081-U-05</x:v>
      </x:c>
      <x:c r="B610" s="5" t="str">
        <x:v>KRDS-SEC-081</x:v>
      </x:c>
      <x:c r="C610" s="5" t="str">
        <x:v>서비스 패턴</x:v>
      </x:c>
      <x:c r="D610" s="5" t="str">
        <x:v>검색</x:v>
      </x:c>
      <x:c r="E610" s="5" t="str">
        <x:v>검색 결과 이용</x:v>
      </x:c>
      <x:c r="F610" s="5" t="str">
        <x:v>사용성 가이드라인</x:v>
      </x:c>
      <x:c r="G610" s="5" t="str">
        <x:v>05</x:v>
      </x:c>
      <x:c r="H610" s="5" t="n">
        <x:v>958</x:v>
      </x:c>
      <x:c r="I610" s="5" t="n">
        <x:v>958</x:v>
      </x:c>
      <x:c r="J610" s="5" t="str">
        <x:v>963</x:v>
      </x:c>
      <x:c r="K610" s="5" t="str">
        <x:v>제목과 설명은 명확하고 간결하게 제공한다.</x:v>
      </x:c>
      <x:c r="L610" s="5" t="str">
        <x:v>수준 확인 필요</x:v>
      </x:c>
      <x:c r="M610" s="5" t="str">
        <x:v>추출 후 기본 구조 검토; 원문 적용수준·전체 맥락 재확인 필요</x:v>
      </x:c>
      <x:c r="N610" s="5" t="str">
        <x:v>UI-078</x:v>
      </x:c>
      <x:c r="O610" s="5" t="str">
        <x:v>자동 추출 후보 / 공식 전수 체크리스트 아님</x:v>
      </x:c>
    </x:row>
    <x:row r="611" ht="15" hidden="0" customHeight="1">
      <x:c r="A611" s="5" t="str">
        <x:v>KRDS-SEC-081-U-06</x:v>
      </x:c>
      <x:c r="B611" s="5" t="str">
        <x:v>KRDS-SEC-081</x:v>
      </x:c>
      <x:c r="C611" s="5" t="str">
        <x:v>서비스 패턴</x:v>
      </x:c>
      <x:c r="D611" s="5" t="str">
        <x:v>검색</x:v>
      </x:c>
      <x:c r="E611" s="5" t="str">
        <x:v>검색 결과 이용</x:v>
      </x:c>
      <x:c r="F611" s="5" t="str">
        <x:v>사용성 가이드라인</x:v>
      </x:c>
      <x:c r="G611" s="5" t="str">
        <x:v>06</x:v>
      </x:c>
      <x:c r="H611" s="5" t="n">
        <x:v>958</x:v>
      </x:c>
      <x:c r="I611" s="5" t="n">
        <x:v>958</x:v>
      </x:c>
      <x:c r="J611" s="5" t="str">
        <x:v>964</x:v>
      </x:c>
      <x:c r="K611" s="5" t="str">
        <x:v>항목에 검색 결과 범주 정보가 명확하게 드러나도록 표현한다.</x:v>
      </x:c>
      <x:c r="L611" s="5" t="str">
        <x:v>수준 확인 필요</x:v>
      </x:c>
      <x:c r="M611" s="5" t="str">
        <x:v>추출 후 기본 구조 검토; 원문 적용수준·전체 맥락 재확인 필요</x:v>
      </x:c>
      <x:c r="N611" s="5" t="str">
        <x:v>UI-078</x:v>
      </x:c>
      <x:c r="O611" s="5" t="str">
        <x:v>자동 추출 후보 / 공식 전수 체크리스트 아님</x:v>
      </x:c>
    </x:row>
    <x:row r="612" ht="15" hidden="0" customHeight="1">
      <x:c r="A612" s="5" t="str">
        <x:v>KRDS-SEC-081-U-07</x:v>
      </x:c>
      <x:c r="B612" s="5" t="str">
        <x:v>KRDS-SEC-081</x:v>
      </x:c>
      <x:c r="C612" s="5" t="str">
        <x:v>서비스 패턴</x:v>
      </x:c>
      <x:c r="D612" s="5" t="str">
        <x:v>검색</x:v>
      </x:c>
      <x:c r="E612" s="5" t="str">
        <x:v>검색 결과 이용</x:v>
      </x:c>
      <x:c r="F612" s="5" t="str">
        <x:v>사용성 가이드라인</x:v>
      </x:c>
      <x:c r="G612" s="5" t="str">
        <x:v>07</x:v>
      </x:c>
      <x:c r="H612" s="5" t="n">
        <x:v>958</x:v>
      </x:c>
      <x:c r="I612" s="5" t="n">
        <x:v>958</x:v>
      </x:c>
      <x:c r="J612" s="5" t="str">
        <x:v>965</x:v>
      </x:c>
      <x:c r="K612" s="5" t="str">
        <x:v>검색어와 일치하는 항목을 강조 표시한다.</x:v>
      </x:c>
      <x:c r="L612" s="5" t="str">
        <x:v>수준 확인 필요</x:v>
      </x:c>
      <x:c r="M612" s="5" t="str">
        <x:v>추출 후 기본 구조 검토; 원문 적용수준·전체 맥락 재확인 필요</x:v>
      </x:c>
      <x:c r="N612" s="5" t="str">
        <x:v>UI-078</x:v>
      </x:c>
      <x:c r="O612" s="5" t="str">
        <x:v>자동 추출 후보 / 공식 전수 체크리스트 아님</x:v>
      </x:c>
    </x:row>
    <x:row r="613" ht="15" hidden="0" customHeight="1">
      <x:c r="A613" s="5" t="str">
        <x:v>KRDS-SEC-081-U-08</x:v>
      </x:c>
      <x:c r="B613" s="5" t="str">
        <x:v>KRDS-SEC-081</x:v>
      </x:c>
      <x:c r="C613" s="5" t="str">
        <x:v>서비스 패턴</x:v>
      </x:c>
      <x:c r="D613" s="5" t="str">
        <x:v>검색</x:v>
      </x:c>
      <x:c r="E613" s="5" t="str">
        <x:v>검색 결과 이용</x:v>
      </x:c>
      <x:c r="F613" s="5" t="str">
        <x:v>사용성 가이드라인</x:v>
      </x:c>
      <x:c r="G613" s="5" t="str">
        <x:v>08</x:v>
      </x:c>
      <x:c r="H613" s="5" t="n">
        <x:v>958</x:v>
      </x:c>
      <x:c r="I613" s="5" t="n">
        <x:v>958</x:v>
      </x:c>
      <x:c r="J613" s="5" t="str">
        <x:v>966</x:v>
      </x:c>
      <x:c r="K613" s="5" t="str">
        <x:v>기본 검색 결과 목록에 표시되는 항목의 수를 10개 이상으로 제공한다.</x:v>
      </x:c>
      <x:c r="L613" s="5" t="str">
        <x:v>수준 확인 필요</x:v>
      </x:c>
      <x:c r="M613" s="5" t="str">
        <x:v>추출 후 기본 구조 검토; 원문 적용수준·전체 맥락 재확인 필요</x:v>
      </x:c>
      <x:c r="N613" s="5" t="str">
        <x:v>UI-078</x:v>
      </x:c>
      <x:c r="O613" s="5" t="str">
        <x:v>자동 추출 후보 / 공식 전수 체크리스트 아님</x:v>
      </x:c>
    </x:row>
    <x:row r="614" ht="15" hidden="0" customHeight="1">
      <x:c r="A614" s="5" t="str">
        <x:v>KRDS-SEC-082-U-01</x:v>
      </x:c>
      <x:c r="B614" s="5" t="str">
        <x:v>KRDS-SEC-082</x:v>
      </x:c>
      <x:c r="C614" s="5" t="str">
        <x:v>서비스 패턴</x:v>
      </x:c>
      <x:c r="D614" s="5" t="str">
        <x:v>검색</x:v>
      </x:c>
      <x:c r="E614" s="5" t="str">
        <x:v>재검색</x:v>
      </x:c>
      <x:c r="F614" s="5" t="str">
        <x:v>사용성 가이드라인</x:v>
      </x:c>
      <x:c r="G614" s="5" t="str">
        <x:v>01</x:v>
      </x:c>
      <x:c r="H614" s="5" t="n">
        <x:v>969</x:v>
      </x:c>
      <x:c r="I614" s="5" t="n">
        <x:v>969</x:v>
      </x:c>
      <x:c r="J614" s="5" t="str">
        <x:v>970</x:v>
      </x:c>
      <x:c r="K614" s="5" t="str">
        <x:v>상세 검색 컨트롤을 숨기지 않는다.</x:v>
      </x:c>
      <x:c r="L614" s="5" t="str">
        <x:v>수준 확인 필요</x:v>
      </x:c>
      <x:c r="M614" s="5" t="str">
        <x:v>추출 후 기본 구조 검토; 원문 적용수준·전체 맥락 재확인 필요</x:v>
      </x:c>
      <x:c r="N614" s="5" t="str">
        <x:v>UI-079</x:v>
      </x:c>
      <x:c r="O614" s="5" t="str">
        <x:v>자동 추출 후보 / 공식 전수 체크리스트 아님</x:v>
      </x:c>
    </x:row>
    <x:row r="615" ht="15" hidden="0" customHeight="1">
      <x:c r="A615" s="5" t="str">
        <x:v>KRDS-SEC-082-U-02</x:v>
      </x:c>
      <x:c r="B615" s="5" t="str">
        <x:v>KRDS-SEC-082</x:v>
      </x:c>
      <x:c r="C615" s="5" t="str">
        <x:v>서비스 패턴</x:v>
      </x:c>
      <x:c r="D615" s="5" t="str">
        <x:v>검색</x:v>
      </x:c>
      <x:c r="E615" s="5" t="str">
        <x:v>재검색</x:v>
      </x:c>
      <x:c r="F615" s="5" t="str">
        <x:v>사용성 가이드라인</x:v>
      </x:c>
      <x:c r="G615" s="5" t="str">
        <x:v>02</x:v>
      </x:c>
      <x:c r="H615" s="5" t="n">
        <x:v>969</x:v>
      </x:c>
      <x:c r="I615" s="5" t="n">
        <x:v>969</x:v>
      </x:c>
      <x:c r="J615" s="5" t="str">
        <x:v>971</x:v>
      </x:c>
      <x:c r="K615" s="5" t="str">
        <x:v>사용자가 설정한 상세 검색 조건을 유지한다.</x:v>
      </x:c>
      <x:c r="L615" s="5" t="str">
        <x:v>수준 확인 필요</x:v>
      </x:c>
      <x:c r="M615" s="5" t="str">
        <x:v>추출 후 기본 구조 검토; 원문 적용수준·전체 맥락 재확인 필요</x:v>
      </x:c>
      <x:c r="N615" s="5" t="str">
        <x:v>UI-079</x:v>
      </x:c>
      <x:c r="O615" s="5" t="str">
        <x:v>자동 추출 후보 / 공식 전수 체크리스트 아님</x:v>
      </x:c>
    </x:row>
    <x:row r="616" ht="15" hidden="0" customHeight="1">
      <x:c r="A616" s="5" t="str">
        <x:v>KRDS-SEC-082-U-03</x:v>
      </x:c>
      <x:c r="B616" s="5" t="str">
        <x:v>KRDS-SEC-082</x:v>
      </x:c>
      <x:c r="C616" s="5" t="str">
        <x:v>서비스 패턴</x:v>
      </x:c>
      <x:c r="D616" s="5" t="str">
        <x:v>검색</x:v>
      </x:c>
      <x:c r="E616" s="5" t="str">
        <x:v>재검색</x:v>
      </x:c>
      <x:c r="F616" s="5" t="str">
        <x:v>사용성 가이드라인</x:v>
      </x:c>
      <x:c r="G616" s="5" t="str">
        <x:v>03</x:v>
      </x:c>
      <x:c r="H616" s="5" t="n">
        <x:v>969</x:v>
      </x:c>
      <x:c r="I616" s="5" t="n">
        <x:v>969</x:v>
      </x:c>
      <x:c r="J616" s="5" t="str">
        <x:v>971</x:v>
      </x:c>
      <x:c r="K616" s="5" t="str">
        <x:v>상세 검색 조건의 적용을 일괄적으로 해제할 수 있는 수단을 제공하고 직관적으로 인지할 수 있도록 표현한다.</x:v>
      </x:c>
      <x:c r="L616" s="5" t="str">
        <x:v>수준 확인 필요</x:v>
      </x:c>
      <x:c r="M616" s="5" t="str">
        <x:v>추출 후 기본 구조 검토; 원문 적용수준·전체 맥락 재확인 필요</x:v>
      </x:c>
      <x:c r="N616" s="5" t="str">
        <x:v>UI-079</x:v>
      </x:c>
      <x:c r="O616" s="5" t="str">
        <x:v>자동 추출 후보 / 공식 전수 체크리스트 아님</x:v>
      </x:c>
    </x:row>
    <x:row r="617" ht="15" hidden="0" customHeight="1">
      <x:c r="A617" s="5" t="str">
        <x:v>KRDS-SEC-083-U-01</x:v>
      </x:c>
      <x:c r="B617" s="5" t="str">
        <x:v>KRDS-SEC-083</x:v>
      </x:c>
      <x:c r="C617" s="5" t="str">
        <x:v>서비스 패턴</x:v>
      </x:c>
      <x:c r="D617" s="5" t="str">
        <x:v>검색</x:v>
      </x:c>
      <x:c r="E617" s="5" t="str">
        <x:v>검색 종료</x:v>
      </x:c>
      <x:c r="F617" s="5" t="str">
        <x:v>사용성 가이드라인</x:v>
      </x:c>
      <x:c r="G617" s="5" t="str">
        <x:v>01</x:v>
      </x:c>
      <x:c r="H617" s="5" t="n">
        <x:v>973</x:v>
      </x:c>
      <x:c r="I617" s="5" t="n">
        <x:v>973</x:v>
      </x:c>
      <x:c r="J617" s="5" t="str">
        <x:v>974</x:v>
      </x:c>
      <x:c r="K617" s="5" t="str">
        <x:v>검색 과업 맥락에서 벗어나 다른 화면 또는 다른 탐색 수단에 빠르게 접근할 수 있도록 해야 한다.</x:v>
      </x:c>
      <x:c r="L617" s="5" t="str">
        <x:v>수준 확인 필요</x:v>
      </x:c>
      <x:c r="M617" s="5" t="str">
        <x:v>추출 후 기본 구조 검토; 원문 적용수준·전체 맥락 재확인 필요</x:v>
      </x:c>
      <x:c r="N617" s="5" t="str">
        <x:v>UI-080</x:v>
      </x:c>
      <x:c r="O617" s="5" t="str">
        <x:v>자동 추출 후보 / 공식 전수 체크리스트 아님</x:v>
      </x:c>
    </x:row>
    <x:row r="618" ht="15" hidden="0" customHeight="1">
      <x:c r="A618" s="5" t="str">
        <x:v>KRDS-SEC-085-U-01</x:v>
      </x:c>
      <x:c r="B618" s="5" t="str">
        <x:v>KRDS-SEC-085</x:v>
      </x:c>
      <x:c r="C618" s="5" t="str">
        <x:v>서비스 패턴</x:v>
      </x:c>
      <x:c r="D618" s="5" t="str">
        <x:v>로그인</x:v>
      </x:c>
      <x:c r="E618" s="5" t="str">
        <x:v>로그인 기능 찾기</x:v>
      </x:c>
      <x:c r="F618" s="5" t="str">
        <x:v>사용성 가이드라인</x:v>
      </x:c>
      <x:c r="G618" s="5" t="str">
        <x:v>01</x:v>
      </x:c>
      <x:c r="H618" s="5" t="n">
        <x:v>981</x:v>
      </x:c>
      <x:c r="I618" s="5" t="n">
        <x:v>981</x:v>
      </x:c>
      <x:c r="J618" s="5" t="str">
        <x:v>982</x:v>
      </x:c>
      <x:c r="K618" s="5" t="str">
        <x:v>로그인 링크는 모든 화면에서 일관된 위치에 주목도 있게 배치한다.</x:v>
      </x:c>
      <x:c r="L618" s="5" t="str">
        <x:v>수준 확인 필요</x:v>
      </x:c>
      <x:c r="M618" s="5" t="str">
        <x:v>추출 후 기본 구조 검토; 원문 적용수준·전체 맥락 재확인 필요</x:v>
      </x:c>
      <x:c r="N618" s="5" t="str">
        <x:v>UI-081</x:v>
      </x:c>
      <x:c r="O618" s="5" t="str">
        <x:v>자동 추출 후보 / 공식 전수 체크리스트 아님</x:v>
      </x:c>
    </x:row>
    <x:row r="619" ht="15" hidden="0" customHeight="1">
      <x:c r="A619" s="5" t="str">
        <x:v>KRDS-SEC-085-U-02</x:v>
      </x:c>
      <x:c r="B619" s="5" t="str">
        <x:v>KRDS-SEC-085</x:v>
      </x:c>
      <x:c r="C619" s="5" t="str">
        <x:v>서비스 패턴</x:v>
      </x:c>
      <x:c r="D619" s="5" t="str">
        <x:v>로그인</x:v>
      </x:c>
      <x:c r="E619" s="5" t="str">
        <x:v>로그인 기능 찾기</x:v>
      </x:c>
      <x:c r="F619" s="5" t="str">
        <x:v>사용성 가이드라인</x:v>
      </x:c>
      <x:c r="G619" s="5" t="str">
        <x:v>02</x:v>
      </x:c>
      <x:c r="H619" s="5" t="n">
        <x:v>981</x:v>
      </x:c>
      <x:c r="I619" s="5" t="n">
        <x:v>981</x:v>
      </x:c>
      <x:c r="J619" s="5" t="str">
        <x:v>983</x:v>
      </x:c>
      <x:c r="K619" s="5" t="str">
        <x:v>헤더에서 제공되는 로그인 링크는 사용자 아이콘과 레이블로 구성한다.</x:v>
      </x:c>
      <x:c r="L619" s="5" t="str">
        <x:v>수준 확인 필요</x:v>
      </x:c>
      <x:c r="M619" s="5" t="str">
        <x:v>추출 후 기본 구조 검토; 원문 적용수준·전체 맥락 재확인 필요</x:v>
      </x:c>
      <x:c r="N619" s="5" t="str">
        <x:v>UI-081</x:v>
      </x:c>
      <x:c r="O619" s="5" t="str">
        <x:v>자동 추출 후보 / 공식 전수 체크리스트 아님</x:v>
      </x:c>
    </x:row>
    <x:row r="620" ht="15" hidden="0" customHeight="1">
      <x:c r="A620" s="5" t="str">
        <x:v>KRDS-SEC-085-U-03</x:v>
      </x:c>
      <x:c r="B620" s="5" t="str">
        <x:v>KRDS-SEC-085</x:v>
      </x:c>
      <x:c r="C620" s="5" t="str">
        <x:v>서비스 패턴</x:v>
      </x:c>
      <x:c r="D620" s="5" t="str">
        <x:v>로그인</x:v>
      </x:c>
      <x:c r="E620" s="5" t="str">
        <x:v>로그인 기능 찾기</x:v>
      </x:c>
      <x:c r="F620" s="5" t="str">
        <x:v>사용성 가이드라인</x:v>
      </x:c>
      <x:c r="G620" s="5" t="str">
        <x:v>03</x:v>
      </x:c>
      <x:c r="H620" s="5" t="n">
        <x:v>981</x:v>
      </x:c>
      <x:c r="I620" s="5" t="n">
        <x:v>981</x:v>
      </x:c>
      <x:c r="J620" s="5" t="str">
        <x:v>984</x:v>
      </x:c>
      <x:c r="K620" s="5" t="str">
        <x:v>로그인 링크는 항상 '로그인' 화면으로 연결되어야 한다.</x:v>
      </x:c>
      <x:c r="L620" s="5" t="str">
        <x:v>수준 확인 필요</x:v>
      </x:c>
      <x:c r="M620" s="5" t="str">
        <x:v>추출 후 기본 구조 검토; 원문 적용수준·전체 맥락 재확인 필요</x:v>
      </x:c>
      <x:c r="N620" s="5" t="str">
        <x:v>UI-081</x:v>
      </x:c>
      <x:c r="O620" s="5" t="str">
        <x:v>자동 추출 후보 / 공식 전수 체크리스트 아님</x:v>
      </x:c>
    </x:row>
    <x:row r="621" ht="15" hidden="0" customHeight="1">
      <x:c r="A621" s="5" t="str">
        <x:v>KRDS-SEC-085-P-01</x:v>
      </x:c>
      <x:c r="B621" s="5" t="str">
        <x:v>KRDS-SEC-085</x:v>
      </x:c>
      <x:c r="C621" s="5" t="str">
        <x:v>서비스 패턴</x:v>
      </x:c>
      <x:c r="D621" s="5" t="str">
        <x:v>로그인</x:v>
      </x:c>
      <x:c r="E621" s="5" t="str">
        <x:v>로그인 기능 찾기</x:v>
      </x:c>
      <x:c r="F621" s="5" t="str">
        <x:v>플랫폼에 대한 고려 사항</x:v>
      </x:c>
      <x:c r="G621" s="5" t="str">
        <x:v>01</x:v>
      </x:c>
      <x:c r="H621" s="5" t="n">
        <x:v>985</x:v>
      </x:c>
      <x:c r="I621" s="5" t="n">
        <x:v>985</x:v>
      </x:c>
      <x:c r="J621" s="5" t="str"/>
      <x:c r="K621" s="5" t="str">
        <x:v>화면 너비가 충분하지 않은 경우에도 로그인 링크를 직관적으로 인지할 수 있는 형태로 표현한다.</x:v>
      </x:c>
      <x:c r="L621" s="5" t="str">
        <x:v>원문 세부기준</x:v>
      </x:c>
      <x:c r="M621" s="5" t="str">
        <x:v>추출 후 기본 구조 검토; 원문 적용수준·전체 맥락 재확인 필요</x:v>
      </x:c>
      <x:c r="N621" s="5" t="str">
        <x:v>UI-081</x:v>
      </x:c>
      <x:c r="O621" s="5" t="str">
        <x:v>자동 추출 후보 / 공식 전수 체크리스트 아님</x:v>
      </x:c>
    </x:row>
    <x:row r="622" ht="15" hidden="0" customHeight="1">
      <x:c r="A622" s="5" t="str">
        <x:v>KRDS-SEC-085-A-01</x:v>
      </x:c>
      <x:c r="B622" s="5" t="str">
        <x:v>KRDS-SEC-085</x:v>
      </x:c>
      <x:c r="C622" s="5" t="str">
        <x:v>서비스 패턴</x:v>
      </x:c>
      <x:c r="D622" s="5" t="str">
        <x:v>로그인</x:v>
      </x:c>
      <x:c r="E622" s="5" t="str">
        <x:v>로그인 기능 찾기</x:v>
      </x:c>
      <x:c r="F622" s="5" t="str">
        <x:v>접근성 가이드라인</x:v>
      </x:c>
      <x:c r="G622" s="5" t="str">
        <x:v>01</x:v>
      </x:c>
      <x:c r="H622" s="5" t="n">
        <x:v>986</x:v>
      </x:c>
      <x:c r="I622" s="5" t="n">
        <x:v>986</x:v>
      </x:c>
      <x:c r="J622" s="5" t="str"/>
      <x:c r="K622" s="5" t="str">
        <x:v>로그인 링크는 스크린 리더에서 링크로 인지될 수 있도록 한다.</x:v>
      </x:c>
      <x:c r="L622" s="5" t="str">
        <x:v>원문 세부기준</x:v>
      </x:c>
      <x:c r="M622" s="5" t="str">
        <x:v>추출 후 기본 구조 검토; 원문 적용수준·전체 맥락 재확인 필요</x:v>
      </x:c>
      <x:c r="N622" s="5" t="str">
        <x:v>UI-081</x:v>
      </x:c>
      <x:c r="O622" s="5" t="str">
        <x:v>자동 추출 후보 / 공식 전수 체크리스트 아님</x:v>
      </x:c>
    </x:row>
    <x:row r="623" ht="15" hidden="0" customHeight="1">
      <x:c r="A623" s="5" t="str">
        <x:v>KRDS-SEC-086-U-01</x:v>
      </x:c>
      <x:c r="B623" s="5" t="str">
        <x:v>KRDS-SEC-086</x:v>
      </x:c>
      <x:c r="C623" s="5" t="str">
        <x:v>서비스 패턴</x:v>
      </x:c>
      <x:c r="D623" s="5" t="str">
        <x:v>로그인</x:v>
      </x:c>
      <x:c r="E623" s="5" t="str">
        <x:v>로그인 안내</x:v>
      </x:c>
      <x:c r="F623" s="5" t="str">
        <x:v>사용성 가이드라인</x:v>
      </x:c>
      <x:c r="G623" s="5" t="str">
        <x:v>01</x:v>
      </x:c>
      <x:c r="H623" s="5" t="n">
        <x:v>990</x:v>
      </x:c>
      <x:c r="I623" s="5" t="n">
        <x:v>990</x:v>
      </x:c>
      <x:c r="J623" s="5" t="str">
        <x:v>991</x:v>
      </x:c>
      <x:c r="K623" s="5" t="str">
        <x:v>로그인에 대한 안내는 모달로 제공하여 사용자의 과업 맥락이 유지될 수 있도록 한다.</x:v>
      </x:c>
      <x:c r="L623" s="5" t="str">
        <x:v>수준 확인 필요</x:v>
      </x:c>
      <x:c r="M623" s="5" t="str">
        <x:v>추출 후 기본 구조 검토; 원문 적용수준·전체 맥락 재확인 필요</x:v>
      </x:c>
      <x:c r="N623" s="5" t="str">
        <x:v>UI-082</x:v>
      </x:c>
      <x:c r="O623" s="5" t="str">
        <x:v>자동 추출 후보 / 공식 전수 체크리스트 아님</x:v>
      </x:c>
    </x:row>
    <x:row r="624" ht="15" hidden="0" customHeight="1">
      <x:c r="A624" s="5" t="str">
        <x:v>KRDS-SEC-086-U-02</x:v>
      </x:c>
      <x:c r="B624" s="5" t="str">
        <x:v>KRDS-SEC-086</x:v>
      </x:c>
      <x:c r="C624" s="5" t="str">
        <x:v>서비스 패턴</x:v>
      </x:c>
      <x:c r="D624" s="5" t="str">
        <x:v>로그인</x:v>
      </x:c>
      <x:c r="E624" s="5" t="str">
        <x:v>로그인 안내</x:v>
      </x:c>
      <x:c r="F624" s="5" t="str">
        <x:v>사용성 가이드라인</x:v>
      </x:c>
      <x:c r="G624" s="5" t="str">
        <x:v>02</x:v>
      </x:c>
      <x:c r="H624" s="5" t="n">
        <x:v>990</x:v>
      </x:c>
      <x:c r="I624" s="5" t="n">
        <x:v>990</x:v>
      </x:c>
      <x:c r="J624" s="5" t="str">
        <x:v>993</x:v>
      </x:c>
      <x:c r="K624" s="5" t="str">
        <x:v>로그인은 꼭 필요한 상황에서 유도한다.</x:v>
      </x:c>
      <x:c r="L624" s="5" t="str">
        <x:v>수준 확인 필요</x:v>
      </x:c>
      <x:c r="M624" s="5" t="str">
        <x:v>추출 후 기본 구조 검토; 원문 적용수준·전체 맥락 재확인 필요</x:v>
      </x:c>
      <x:c r="N624" s="5" t="str">
        <x:v>UI-082</x:v>
      </x:c>
      <x:c r="O624" s="5" t="str">
        <x:v>자동 추출 후보 / 공식 전수 체크리스트 아님</x:v>
      </x:c>
    </x:row>
    <x:row r="625" ht="15" hidden="0" customHeight="1">
      <x:c r="A625" s="5" t="str">
        <x:v>KRDS-SEC-086-U-03</x:v>
      </x:c>
      <x:c r="B625" s="5" t="str">
        <x:v>KRDS-SEC-086</x:v>
      </x:c>
      <x:c r="C625" s="5" t="str">
        <x:v>서비스 패턴</x:v>
      </x:c>
      <x:c r="D625" s="5" t="str">
        <x:v>로그인</x:v>
      </x:c>
      <x:c r="E625" s="5" t="str">
        <x:v>로그인 안내</x:v>
      </x:c>
      <x:c r="F625" s="5" t="str">
        <x:v>사용성 가이드라인</x:v>
      </x:c>
      <x:c r="G625" s="5" t="str">
        <x:v>03</x:v>
      </x:c>
      <x:c r="H625" s="5" t="n">
        <x:v>990</x:v>
      </x:c>
      <x:c r="I625" s="5" t="n">
        <x:v>990</x:v>
      </x:c>
      <x:c r="J625" s="5" t="str">
        <x:v>994</x:v>
      </x:c>
      <x:c r="K625" s="5" t="str">
        <x:v>로그인을 제안하는 경우 모달 본문에서 로그인을 통해 얻을 수 있는 이점에 대해 명확한 설명을 제공해야 한다.</x:v>
      </x:c>
      <x:c r="L625" s="5" t="str">
        <x:v>수준 확인 필요</x:v>
      </x:c>
      <x:c r="M625" s="5" t="str">
        <x:v>추출 후 기본 구조 검토; 원문 적용수준·전체 맥락 재확인 필요</x:v>
      </x:c>
      <x:c r="N625" s="5" t="str">
        <x:v>UI-082</x:v>
      </x:c>
      <x:c r="O625" s="5" t="str">
        <x:v>자동 추출 후보 / 공식 전수 체크리스트 아님</x:v>
      </x:c>
    </x:row>
    <x:row r="626" ht="15" hidden="0" customHeight="1">
      <x:c r="A626" s="5" t="str">
        <x:v>KRDS-SEC-086-U-04</x:v>
      </x:c>
      <x:c r="B626" s="5" t="str">
        <x:v>KRDS-SEC-086</x:v>
      </x:c>
      <x:c r="C626" s="5" t="str">
        <x:v>서비스 패턴</x:v>
      </x:c>
      <x:c r="D626" s="5" t="str">
        <x:v>로그인</x:v>
      </x:c>
      <x:c r="E626" s="5" t="str">
        <x:v>로그인 안내</x:v>
      </x:c>
      <x:c r="F626" s="5" t="str">
        <x:v>사용성 가이드라인</x:v>
      </x:c>
      <x:c r="G626" s="5" t="str">
        <x:v>04</x:v>
      </x:c>
      <x:c r="H626" s="5" t="n">
        <x:v>990</x:v>
      </x:c>
      <x:c r="I626" s="5" t="n">
        <x:v>990</x:v>
      </x:c>
      <x:c r="J626" s="5" t="str">
        <x:v>995</x:v>
      </x:c>
      <x:c r="K626" s="5" t="str">
        <x:v>사용자가 이용 절차를 단축할 수 있는 로그인 방식을 추천한다.</x:v>
      </x:c>
      <x:c r="L626" s="5" t="str">
        <x:v>수준 확인 필요</x:v>
      </x:c>
      <x:c r="M626" s="5" t="str">
        <x:v>추출 후 기본 구조 검토; 원문 적용수준·전체 맥락 재확인 필요</x:v>
      </x:c>
      <x:c r="N626" s="5" t="str">
        <x:v>UI-082</x:v>
      </x:c>
      <x:c r="O626" s="5" t="str">
        <x:v>자동 추출 후보 / 공식 전수 체크리스트 아님</x:v>
      </x:c>
    </x:row>
    <x:row r="627" ht="15" hidden="0" customHeight="1">
      <x:c r="A627" s="5" t="str">
        <x:v>KRDS-SEC-086-U-05</x:v>
      </x:c>
      <x:c r="B627" s="5" t="str">
        <x:v>KRDS-SEC-086</x:v>
      </x:c>
      <x:c r="C627" s="5" t="str">
        <x:v>서비스 패턴</x:v>
      </x:c>
      <x:c r="D627" s="5" t="str">
        <x:v>로그인</x:v>
      </x:c>
      <x:c r="E627" s="5" t="str">
        <x:v>로그인 안내</x:v>
      </x:c>
      <x:c r="F627" s="5" t="str">
        <x:v>사용성 가이드라인</x:v>
      </x:c>
      <x:c r="G627" s="5" t="str">
        <x:v>05</x:v>
      </x:c>
      <x:c r="H627" s="5" t="n">
        <x:v>990</x:v>
      </x:c>
      <x:c r="I627" s="5" t="n">
        <x:v>990</x:v>
      </x:c>
      <x:c r="J627" s="5" t="str">
        <x:v>996</x:v>
      </x:c>
      <x:c r="K627" s="5" t="str">
        <x:v>로그인 안내 모달에는 '로그인 안 함' 옵션을 제공하여 원하지 않는 이동 동작이 발생하지 않도록 한다.</x:v>
      </x:c>
      <x:c r="L627" s="5" t="str">
        <x:v>수준 확인 필요</x:v>
      </x:c>
      <x:c r="M627" s="5" t="str">
        <x:v>추출 후 기본 구조 검토; 원문 적용수준·전체 맥락 재확인 필요</x:v>
      </x:c>
      <x:c r="N627" s="5" t="str">
        <x:v>UI-082</x:v>
      </x:c>
      <x:c r="O627" s="5" t="str">
        <x:v>자동 추출 후보 / 공식 전수 체크리스트 아님</x:v>
      </x:c>
    </x:row>
    <x:row r="628" ht="39.599998474121094" hidden="0" customHeight="1">
      <x:c r="A628" s="5" t="str">
        <x:v>KRDS-SEC-087-U-01</x:v>
      </x:c>
      <x:c r="B628" s="5" t="str">
        <x:v>KRDS-SEC-087</x:v>
      </x:c>
      <x:c r="C628" s="5" t="str">
        <x:v>서비스 패턴</x:v>
      </x:c>
      <x:c r="D628" s="5" t="str">
        <x:v>로그인</x:v>
      </x:c>
      <x:c r="E628" s="5" t="str">
        <x:v>로그인 방식 확인·선택</x:v>
      </x:c>
      <x:c r="F628" s="5" t="str">
        <x:v>사용성 가이드라인</x:v>
      </x:c>
      <x:c r="G628" s="5" t="str">
        <x:v>01</x:v>
      </x:c>
      <x:c r="H628" s="5" t="n">
        <x:v>1004</x:v>
      </x:c>
      <x:c r="I628" s="5" t="n">
        <x:v>1004</x:v>
      </x:c>
      <x:c r="J628" s="5" t="str">
        <x:v>1005</x:v>
      </x:c>
      <x:c r="K628" s="5" t="str">
        <x:v>빈번하게 사용되는 로그인 방식에 우선적으로 접근할 수 있는 수단을 제공한다.</x:v>
      </x:c>
      <x:c r="L628" s="5" t="str">
        <x:v>수준 확인 필요</x:v>
      </x:c>
      <x:c r="M628" s="5" t="str">
        <x:v>추출 후 기본 구조 검토; 원문 적용수준·전체 맥락 재확인 필요</x:v>
      </x:c>
      <x:c r="N628" s="5" t="str">
        <x:v>UI-083
UI-121
UI-128</x:v>
      </x:c>
      <x:c r="O628" s="5" t="str">
        <x:v>자동 추출 후보 / 공식 전수 체크리스트 아님</x:v>
      </x:c>
    </x:row>
    <x:row r="629" ht="39.599998474121094" hidden="0" customHeight="1">
      <x:c r="A629" s="5" t="str">
        <x:v>KRDS-SEC-087-U-02</x:v>
      </x:c>
      <x:c r="B629" s="5" t="str">
        <x:v>KRDS-SEC-087</x:v>
      </x:c>
      <x:c r="C629" s="5" t="str">
        <x:v>서비스 패턴</x:v>
      </x:c>
      <x:c r="D629" s="5" t="str">
        <x:v>로그인</x:v>
      </x:c>
      <x:c r="E629" s="5" t="str">
        <x:v>로그인 방식 확인·선택</x:v>
      </x:c>
      <x:c r="F629" s="5" t="str">
        <x:v>사용성 가이드라인</x:v>
      </x:c>
      <x:c r="G629" s="5" t="str">
        <x:v>02</x:v>
      </x:c>
      <x:c r="H629" s="5" t="n">
        <x:v>1004</x:v>
      </x:c>
      <x:c r="I629" s="5" t="n">
        <x:v>1004</x:v>
      </x:c>
      <x:c r="J629" s="5" t="str">
        <x:v>1006</x:v>
      </x:c>
      <x:c r="K629" s="5" t="str">
        <x:v>동일한 수준의 로그인 방식을 탭으로 구분하여 선택하게 하지 않는다.</x:v>
      </x:c>
      <x:c r="L629" s="5" t="str">
        <x:v>수준 확인 필요</x:v>
      </x:c>
      <x:c r="M629" s="5" t="str">
        <x:v>추출 후 기본 구조 검토; 원문 적용수준·전체 맥락 재확인 필요</x:v>
      </x:c>
      <x:c r="N629" s="5" t="str">
        <x:v>UI-083
UI-121
UI-128</x:v>
      </x:c>
      <x:c r="O629" s="5" t="str">
        <x:v>자동 추출 후보 / 공식 전수 체크리스트 아님</x:v>
      </x:c>
    </x:row>
    <x:row r="630" ht="39.599998474121094" hidden="0" customHeight="1">
      <x:c r="A630" s="5" t="str">
        <x:v>KRDS-SEC-087-U-03</x:v>
      </x:c>
      <x:c r="B630" s="5" t="str">
        <x:v>KRDS-SEC-087</x:v>
      </x:c>
      <x:c r="C630" s="5" t="str">
        <x:v>서비스 패턴</x:v>
      </x:c>
      <x:c r="D630" s="5" t="str">
        <x:v>로그인</x:v>
      </x:c>
      <x:c r="E630" s="5" t="str">
        <x:v>로그인 방식 확인·선택</x:v>
      </x:c>
      <x:c r="F630" s="5" t="str">
        <x:v>사용성 가이드라인</x:v>
      </x:c>
      <x:c r="G630" s="5" t="str">
        <x:v>03</x:v>
      </x:c>
      <x:c r="H630" s="5" t="n">
        <x:v>1004</x:v>
      </x:c>
      <x:c r="I630" s="5" t="n">
        <x:v>1004</x:v>
      </x:c>
      <x:c r="J630" s="5" t="str">
        <x:v>1007</x:v>
      </x:c>
      <x:c r="K630" s="5" t="str">
        <x:v>다양한 로그인 방식에 대한 분류 체계에 사용자의 관점과 언어를 반영한다.</x:v>
      </x:c>
      <x:c r="L630" s="5" t="str">
        <x:v>권장 (p1007 시각 확인)</x:v>
      </x:c>
      <x:c r="M630" s="5" t="str">
        <x:v>추출 후 기본 구조 검토; 원문 적용수준·전체 맥락 재확인 필요</x:v>
      </x:c>
      <x:c r="N630" s="5" t="str">
        <x:v>UI-083
UI-121
UI-128</x:v>
      </x:c>
      <x:c r="O630" s="5" t="str">
        <x:v>자동 추출 후보 / 공식 전수 체크리스트 아님</x:v>
      </x:c>
    </x:row>
    <x:row r="631" ht="39.599998474121094" hidden="0" customHeight="1">
      <x:c r="A631" s="5" t="str">
        <x:v>KRDS-SEC-087-U-04</x:v>
      </x:c>
      <x:c r="B631" s="5" t="str">
        <x:v>KRDS-SEC-087</x:v>
      </x:c>
      <x:c r="C631" s="5" t="str">
        <x:v>서비스 패턴</x:v>
      </x:c>
      <x:c r="D631" s="5" t="str">
        <x:v>로그인</x:v>
      </x:c>
      <x:c r="E631" s="5" t="str">
        <x:v>로그인 방식 확인·선택</x:v>
      </x:c>
      <x:c r="F631" s="5" t="str">
        <x:v>사용성 가이드라인</x:v>
      </x:c>
      <x:c r="G631" s="5" t="str">
        <x:v>04</x:v>
      </x:c>
      <x:c r="H631" s="5" t="n">
        <x:v>1004</x:v>
      </x:c>
      <x:c r="I631" s="5" t="n">
        <x:v>1004</x:v>
      </x:c>
      <x:c r="J631" s="5" t="str">
        <x:v>1008</x:v>
      </x:c>
      <x:c r="K631" s="5" t="str">
        <x:v>로그인 방식에 따라 서비스 이용 절차가 달라지는 경우, 사전에 안내를 제공한다.</x:v>
      </x:c>
      <x:c r="L631" s="5" t="str">
        <x:v>수준 확인 필요</x:v>
      </x:c>
      <x:c r="M631" s="5" t="str">
        <x:v>추출 후 기본 구조 검토; 원문 적용수준·전체 맥락 재확인 필요</x:v>
      </x:c>
      <x:c r="N631" s="5" t="str">
        <x:v>UI-083
UI-121
UI-128</x:v>
      </x:c>
      <x:c r="O631" s="5" t="str">
        <x:v>자동 추출 후보 / 공식 전수 체크리스트 아님</x:v>
      </x:c>
    </x:row>
    <x:row r="632" ht="39.599998474121094" hidden="0" customHeight="1">
      <x:c r="A632" s="5" t="str">
        <x:v>KRDS-SEC-087-U-05</x:v>
      </x:c>
      <x:c r="B632" s="5" t="str">
        <x:v>KRDS-SEC-087</x:v>
      </x:c>
      <x:c r="C632" s="5" t="str">
        <x:v>서비스 패턴</x:v>
      </x:c>
      <x:c r="D632" s="5" t="str">
        <x:v>로그인</x:v>
      </x:c>
      <x:c r="E632" s="5" t="str">
        <x:v>로그인 방식 확인·선택</x:v>
      </x:c>
      <x:c r="F632" s="5" t="str">
        <x:v>사용성 가이드라인</x:v>
      </x:c>
      <x:c r="G632" s="5" t="str">
        <x:v>05</x:v>
      </x:c>
      <x:c r="H632" s="5" t="n">
        <x:v>1004</x:v>
      </x:c>
      <x:c r="I632" s="5" t="n">
        <x:v>1004</x:v>
      </x:c>
      <x:c r="J632" s="5" t="str">
        <x:v>1009</x:v>
      </x:c>
      <x:c r="K632" s="5" t="str">
        <x:v>로그인 방식과 입력 항목에 대한 직관적인 안내를 제공한다.</x:v>
      </x:c>
      <x:c r="L632" s="5" t="str">
        <x:v>수준 확인 필요</x:v>
      </x:c>
      <x:c r="M632" s="5" t="str">
        <x:v>추출 후 기본 구조 검토; 원문 적용수준·전체 맥락 재확인 필요</x:v>
      </x:c>
      <x:c r="N632" s="5" t="str">
        <x:v>UI-083
UI-121
UI-128</x:v>
      </x:c>
      <x:c r="O632" s="5" t="str">
        <x:v>자동 추출 후보 / 공식 전수 체크리스트 아님</x:v>
      </x:c>
    </x:row>
    <x:row r="633" ht="39.599998474121094" hidden="0" customHeight="1">
      <x:c r="A633" s="5" t="str">
        <x:v>KRDS-SEC-087-U-06</x:v>
      </x:c>
      <x:c r="B633" s="5" t="str">
        <x:v>KRDS-SEC-087</x:v>
      </x:c>
      <x:c r="C633" s="5" t="str">
        <x:v>서비스 패턴</x:v>
      </x:c>
      <x:c r="D633" s="5" t="str">
        <x:v>로그인</x:v>
      </x:c>
      <x:c r="E633" s="5" t="str">
        <x:v>로그인 방식 확인·선택</x:v>
      </x:c>
      <x:c r="F633" s="5" t="str">
        <x:v>사용성 가이드라인</x:v>
      </x:c>
      <x:c r="G633" s="5" t="str">
        <x:v>06</x:v>
      </x:c>
      <x:c r="H633" s="5" t="n">
        <x:v>1004</x:v>
      </x:c>
      <x:c r="I633" s="5" t="n">
        <x:v>1004</x:v>
      </x:c>
      <x:c r="J633" s="5" t="str">
        <x:v>1010</x:v>
      </x:c>
      <x:c r="K633" s="5" t="str">
        <x:v>도움말 정보, 매뉴얼 링크를 제공한다.</x:v>
      </x:c>
      <x:c r="L633" s="5" t="str">
        <x:v>수준 확인 필요</x:v>
      </x:c>
      <x:c r="M633" s="5" t="str">
        <x:v>추출 후 기본 구조 검토; 원문 적용수준·전체 맥락 재확인 필요</x:v>
      </x:c>
      <x:c r="N633" s="5" t="str">
        <x:v>UI-083
UI-121
UI-128</x:v>
      </x:c>
      <x:c r="O633" s="5" t="str">
        <x:v>자동 추출 후보 / 공식 전수 체크리스트 아님</x:v>
      </x:c>
    </x:row>
    <x:row r="634" ht="39.599998474121094" hidden="0" customHeight="1">
      <x:c r="A634" s="5" t="str">
        <x:v>KRDS-SEC-087-U-07</x:v>
      </x:c>
      <x:c r="B634" s="5" t="str">
        <x:v>KRDS-SEC-087</x:v>
      </x:c>
      <x:c r="C634" s="5" t="str">
        <x:v>서비스 패턴</x:v>
      </x:c>
      <x:c r="D634" s="5" t="str">
        <x:v>로그인</x:v>
      </x:c>
      <x:c r="E634" s="5" t="str">
        <x:v>로그인 방식 확인·선택</x:v>
      </x:c>
      <x:c r="F634" s="5" t="str">
        <x:v>사용성 가이드라인</x:v>
      </x:c>
      <x:c r="G634" s="5" t="str">
        <x:v>07</x:v>
      </x:c>
      <x:c r="H634" s="5" t="n">
        <x:v>1004</x:v>
      </x:c>
      <x:c r="I634" s="5" t="n">
        <x:v>1004</x:v>
      </x:c>
      <x:c r="J634" s="5" t="str">
        <x:v>1011</x:v>
      </x:c>
      <x:c r="K634" s="5" t="str">
        <x:v>도움말 정보는 사용자의 다양한 이용 환경을 고려하여 작성한다.</x:v>
      </x:c>
      <x:c r="L634" s="5" t="str">
        <x:v>수준 확인 필요</x:v>
      </x:c>
      <x:c r="M634" s="5" t="str">
        <x:v>추출 후 기본 구조 검토; 원문 적용수준·전체 맥락 재확인 필요</x:v>
      </x:c>
      <x:c r="N634" s="5" t="str">
        <x:v>UI-083
UI-121
UI-128</x:v>
      </x:c>
      <x:c r="O634" s="5" t="str">
        <x:v>자동 추출 후보 / 공식 전수 체크리스트 아님</x:v>
      </x:c>
    </x:row>
    <x:row r="635" ht="39.599998474121094" hidden="0" customHeight="1">
      <x:c r="A635" s="5" t="str">
        <x:v>KRDS-SEC-087-A-01</x:v>
      </x:c>
      <x:c r="B635" s="5" t="str">
        <x:v>KRDS-SEC-087</x:v>
      </x:c>
      <x:c r="C635" s="5" t="str">
        <x:v>서비스 패턴</x:v>
      </x:c>
      <x:c r="D635" s="5" t="str">
        <x:v>로그인</x:v>
      </x:c>
      <x:c r="E635" s="5" t="str">
        <x:v>로그인 방식 확인·선택</x:v>
      </x:c>
      <x:c r="F635" s="5" t="str">
        <x:v>접근성 가이드라인</x:v>
      </x:c>
      <x:c r="G635" s="5" t="str">
        <x:v>01</x:v>
      </x:c>
      <x:c r="H635" s="5" t="n">
        <x:v>1012</x:v>
      </x:c>
      <x:c r="I635" s="5" t="n">
        <x:v>1012</x:v>
      </x:c>
      <x:c r="J635" s="5" t="str"/>
      <x:c r="K635" s="5" t="str">
        <x:v>인지 기능 테스트에 의존하지 않는 인증 방식을 제공한다.</x:v>
      </x:c>
      <x:c r="L635" s="5" t="str">
        <x:v>원문 세부기준</x:v>
      </x:c>
      <x:c r="M635" s="5" t="str">
        <x:v>추출 후 기본 구조 검토; 원문 적용수준·전체 맥락 재확인 필요</x:v>
      </x:c>
      <x:c r="N635" s="5" t="str">
        <x:v>UI-083
UI-121
UI-128</x:v>
      </x:c>
      <x:c r="O635" s="5" t="str">
        <x:v>자동 추출 후보 / 공식 전수 체크리스트 아님</x:v>
      </x:c>
    </x:row>
    <x:row r="636" ht="26.399999618530273" hidden="0" customHeight="1">
      <x:c r="A636" s="5" t="str">
        <x:v>KRDS-SEC-088-U-01</x:v>
      </x:c>
      <x:c r="B636" s="5" t="str">
        <x:v>KRDS-SEC-088</x:v>
      </x:c>
      <x:c r="C636" s="5" t="str">
        <x:v>서비스 패턴</x:v>
      </x:c>
      <x:c r="D636" s="5" t="str">
        <x:v>로그인</x:v>
      </x:c>
      <x:c r="E636" s="5" t="str">
        <x:v>로그인 정보 입력</x:v>
      </x:c>
      <x:c r="F636" s="5" t="str">
        <x:v>사용성 가이드라인</x:v>
      </x:c>
      <x:c r="G636" s="5" t="str">
        <x:v>01</x:v>
      </x:c>
      <x:c r="H636" s="5" t="n">
        <x:v>1016</x:v>
      </x:c>
      <x:c r="I636" s="5" t="n">
        <x:v>1016</x:v>
      </x:c>
      <x:c r="J636" s="5" t="str">
        <x:v>1017</x:v>
      </x:c>
      <x:c r="K636" s="5" t="str">
        <x:v>아이디 형식에 대한 단서를 사전에 제공한다.</x:v>
      </x:c>
      <x:c r="L636" s="5" t="str">
        <x:v>수준 확인 필요</x:v>
      </x:c>
      <x:c r="M636" s="5" t="str">
        <x:v>추출 후 기본 구조 검토; 원문 적용수준·전체 맥락 재확인 필요</x:v>
      </x:c>
      <x:c r="N636" s="5" t="str">
        <x:v>UI-084
UI-122</x:v>
      </x:c>
      <x:c r="O636" s="5" t="str">
        <x:v>자동 추출 후보 / 공식 전수 체크리스트 아님</x:v>
      </x:c>
    </x:row>
    <x:row r="637" ht="26.399999618530273" hidden="0" customHeight="1">
      <x:c r="A637" s="5" t="str">
        <x:v>KRDS-SEC-088-U-02</x:v>
      </x:c>
      <x:c r="B637" s="5" t="str">
        <x:v>KRDS-SEC-088</x:v>
      </x:c>
      <x:c r="C637" s="5" t="str">
        <x:v>서비스 패턴</x:v>
      </x:c>
      <x:c r="D637" s="5" t="str">
        <x:v>로그인</x:v>
      </x:c>
      <x:c r="E637" s="5" t="str">
        <x:v>로그인 정보 입력</x:v>
      </x:c>
      <x:c r="F637" s="5" t="str">
        <x:v>사용성 가이드라인</x:v>
      </x:c>
      <x:c r="G637" s="5" t="str">
        <x:v>02</x:v>
      </x:c>
      <x:c r="H637" s="5" t="n">
        <x:v>1016</x:v>
      </x:c>
      <x:c r="I637" s="5" t="n">
        <x:v>1016</x:v>
      </x:c>
      <x:c r="J637" s="5" t="str">
        <x:v>1018</x:v>
      </x:c>
      <x:c r="K637" s="5" t="str">
        <x:v>비밀번호를 표시할 수 있는 옵션을 제공한다.</x:v>
      </x:c>
      <x:c r="L637" s="5" t="str">
        <x:v>수준 확인 필요</x:v>
      </x:c>
      <x:c r="M637" s="5" t="str">
        <x:v>추출 후 기본 구조 검토; 원문 적용수준·전체 맥락 재확인 필요</x:v>
      </x:c>
      <x:c r="N637" s="5" t="str">
        <x:v>UI-084
UI-122</x:v>
      </x:c>
      <x:c r="O637" s="5" t="str">
        <x:v>자동 추출 후보 / 공식 전수 체크리스트 아님</x:v>
      </x:c>
    </x:row>
    <x:row r="638" ht="26.399999618530273" hidden="0" customHeight="1">
      <x:c r="A638" s="5" t="str">
        <x:v>KRDS-SEC-088-U-03</x:v>
      </x:c>
      <x:c r="B638" s="5" t="str">
        <x:v>KRDS-SEC-088</x:v>
      </x:c>
      <x:c r="C638" s="5" t="str">
        <x:v>서비스 패턴</x:v>
      </x:c>
      <x:c r="D638" s="5" t="str">
        <x:v>로그인</x:v>
      </x:c>
      <x:c r="E638" s="5" t="str">
        <x:v>로그인 정보 입력</x:v>
      </x:c>
      <x:c r="F638" s="5" t="str">
        <x:v>사용성 가이드라인</x:v>
      </x:c>
      <x:c r="G638" s="5" t="str">
        <x:v>03</x:v>
      </x:c>
      <x:c r="H638" s="5" t="n">
        <x:v>1016</x:v>
      </x:c>
      <x:c r="I638" s="5" t="n">
        <x:v>1016</x:v>
      </x:c>
      <x:c r="J638" s="5" t="str">
        <x:v>1019</x:v>
      </x:c>
      <x:c r="K638" s="5" t="str">
        <x:v>복사/붙여넣기를 제한하지 않는다.</x:v>
      </x:c>
      <x:c r="L638" s="5" t="str">
        <x:v>수준 확인 필요</x:v>
      </x:c>
      <x:c r="M638" s="5" t="str">
        <x:v>추출 후 기본 구조 검토; 원문 적용수준·전체 맥락 재확인 필요</x:v>
      </x:c>
      <x:c r="N638" s="5" t="str">
        <x:v>UI-084
UI-122</x:v>
      </x:c>
      <x:c r="O638" s="5" t="str">
        <x:v>자동 추출 후보 / 공식 전수 체크리스트 아님</x:v>
      </x:c>
    </x:row>
    <x:row r="639" ht="26.399999618530273" hidden="0" customHeight="1">
      <x:c r="A639" s="5" t="str">
        <x:v>KRDS-SEC-088-U-04</x:v>
      </x:c>
      <x:c r="B639" s="5" t="str">
        <x:v>KRDS-SEC-088</x:v>
      </x:c>
      <x:c r="C639" s="5" t="str">
        <x:v>서비스 패턴</x:v>
      </x:c>
      <x:c r="D639" s="5" t="str">
        <x:v>로그인</x:v>
      </x:c>
      <x:c r="E639" s="5" t="str">
        <x:v>로그인 정보 입력</x:v>
      </x:c>
      <x:c r="F639" s="5" t="str">
        <x:v>사용성 가이드라인</x:v>
      </x:c>
      <x:c r="G639" s="5" t="str">
        <x:v>04</x:v>
      </x:c>
      <x:c r="H639" s="5" t="n">
        <x:v>1016</x:v>
      </x:c>
      <x:c r="I639" s="5" t="n">
        <x:v>1016</x:v>
      </x:c>
      <x:c r="J639" s="5" t="str">
        <x:v>1020</x:v>
      </x:c>
      <x:c r="K639" s="5" t="str">
        <x:v>로그인 정보를 저장할 수 있는 옵션을 제공한다.</x:v>
      </x:c>
      <x:c r="L639" s="5" t="str">
        <x:v>수준 확인 필요</x:v>
      </x:c>
      <x:c r="M639" s="5" t="str">
        <x:v>추출 후 기본 구조 검토; 원문 적용수준·전체 맥락 재확인 필요</x:v>
      </x:c>
      <x:c r="N639" s="5" t="str">
        <x:v>UI-084
UI-122</x:v>
      </x:c>
      <x:c r="O639" s="5" t="str">
        <x:v>자동 추출 후보 / 공식 전수 체크리스트 아님</x:v>
      </x:c>
    </x:row>
    <x:row r="640" ht="26.399999618530273" hidden="0" customHeight="1">
      <x:c r="A640" s="5" t="str">
        <x:v>KRDS-SEC-088-U-05</x:v>
      </x:c>
      <x:c r="B640" s="5" t="str">
        <x:v>KRDS-SEC-088</x:v>
      </x:c>
      <x:c r="C640" s="5" t="str">
        <x:v>서비스 패턴</x:v>
      </x:c>
      <x:c r="D640" s="5" t="str">
        <x:v>로그인</x:v>
      </x:c>
      <x:c r="E640" s="5" t="str">
        <x:v>로그인 정보 입력</x:v>
      </x:c>
      <x:c r="F640" s="5" t="str">
        <x:v>사용성 가이드라인</x:v>
      </x:c>
      <x:c r="G640" s="5" t="str">
        <x:v>05</x:v>
      </x:c>
      <x:c r="H640" s="5" t="n">
        <x:v>1016</x:v>
      </x:c>
      <x:c r="I640" s="5" t="n">
        <x:v>1016</x:v>
      </x:c>
      <x:c r="J640" s="5" t="str">
        <x:v>1021</x:v>
      </x:c>
      <x:c r="K640" s="5" t="str">
        <x:v>아이디/비밀번호 찾기 링크를 제공한다.</x:v>
      </x:c>
      <x:c r="L640" s="5" t="str">
        <x:v>수준 확인 필요</x:v>
      </x:c>
      <x:c r="M640" s="5" t="str">
        <x:v>추출 후 기본 구조 검토; 원문 적용수준·전체 맥락 재확인 필요</x:v>
      </x:c>
      <x:c r="N640" s="5" t="str">
        <x:v>UI-084
UI-122</x:v>
      </x:c>
      <x:c r="O640" s="5" t="str">
        <x:v>자동 추출 후보 / 공식 전수 체크리스트 아님</x:v>
      </x:c>
    </x:row>
    <x:row r="641" ht="26.399999618530273" hidden="0" customHeight="1">
      <x:c r="A641" s="5" t="str">
        <x:v>KRDS-SEC-088-U-06</x:v>
      </x:c>
      <x:c r="B641" s="5" t="str">
        <x:v>KRDS-SEC-088</x:v>
      </x:c>
      <x:c r="C641" s="5" t="str">
        <x:v>서비스 패턴</x:v>
      </x:c>
      <x:c r="D641" s="5" t="str">
        <x:v>로그인</x:v>
      </x:c>
      <x:c r="E641" s="5" t="str">
        <x:v>로그인 정보 입력</x:v>
      </x:c>
      <x:c r="F641" s="5" t="str">
        <x:v>사용성 가이드라인</x:v>
      </x:c>
      <x:c r="G641" s="5" t="str">
        <x:v>06</x:v>
      </x:c>
      <x:c r="H641" s="5" t="n">
        <x:v>1016</x:v>
      </x:c>
      <x:c r="I641" s="5" t="n">
        <x:v>1016</x:v>
      </x:c>
      <x:c r="J641" s="5" t="str">
        <x:v>1022</x:v>
      </x:c>
      <x:c r="K641" s="5" t="str">
        <x:v>오류 메시지는 명확하고 간결하게 제공한다.</x:v>
      </x:c>
      <x:c r="L641" s="5" t="str">
        <x:v>수준 확인 필요</x:v>
      </x:c>
      <x:c r="M641" s="5" t="str">
        <x:v>추출 후 기본 구조 검토; 원문 적용수준·전체 맥락 재확인 필요</x:v>
      </x:c>
      <x:c r="N641" s="5" t="str">
        <x:v>UI-084
UI-122</x:v>
      </x:c>
      <x:c r="O641" s="5" t="str">
        <x:v>자동 추출 후보 / 공식 전수 체크리스트 아님</x:v>
      </x:c>
    </x:row>
    <x:row r="642" ht="26.399999618530273" hidden="0" customHeight="1">
      <x:c r="A642" s="5" t="str">
        <x:v>KRDS-SEC-088-A-01</x:v>
      </x:c>
      <x:c r="B642" s="5" t="str">
        <x:v>KRDS-SEC-088</x:v>
      </x:c>
      <x:c r="C642" s="5" t="str">
        <x:v>서비스 패턴</x:v>
      </x:c>
      <x:c r="D642" s="5" t="str">
        <x:v>로그인</x:v>
      </x:c>
      <x:c r="E642" s="5" t="str">
        <x:v>로그인 정보 입력</x:v>
      </x:c>
      <x:c r="F642" s="5" t="str">
        <x:v>접근성 가이드라인</x:v>
      </x:c>
      <x:c r="G642" s="5" t="str">
        <x:v>01</x:v>
      </x:c>
      <x:c r="H642" s="5" t="n">
        <x:v>1024</x:v>
      </x:c>
      <x:c r="I642" s="5" t="n">
        <x:v>1024</x:v>
      </x:c>
      <x:c r="J642" s="5" t="str"/>
      <x:c r="K642" s="5" t="str">
        <x:v>초점이 논리적인 순서로 이동할 수 있도록 제공한다.</x:v>
      </x:c>
      <x:c r="L642" s="5" t="str">
        <x:v>원문 세부기준</x:v>
      </x:c>
      <x:c r="M642" s="5" t="str">
        <x:v>추출 후 기본 구조 검토; 원문 적용수준·전체 맥락 재확인 필요</x:v>
      </x:c>
      <x:c r="N642" s="5" t="str">
        <x:v>UI-084
UI-122</x:v>
      </x:c>
      <x:c r="O642" s="5" t="str">
        <x:v>자동 추출 후보 / 공식 전수 체크리스트 아님</x:v>
      </x:c>
    </x:row>
    <x:row r="643" ht="26.399999618530273" hidden="0" customHeight="1">
      <x:c r="A643" s="5" t="str">
        <x:v>KRDS-SEC-088-A-02</x:v>
      </x:c>
      <x:c r="B643" s="5" t="str">
        <x:v>KRDS-SEC-088</x:v>
      </x:c>
      <x:c r="C643" s="5" t="str">
        <x:v>서비스 패턴</x:v>
      </x:c>
      <x:c r="D643" s="5" t="str">
        <x:v>로그인</x:v>
      </x:c>
      <x:c r="E643" s="5" t="str">
        <x:v>로그인 정보 입력</x:v>
      </x:c>
      <x:c r="F643" s="5" t="str">
        <x:v>접근성 가이드라인</x:v>
      </x:c>
      <x:c r="G643" s="5" t="str">
        <x:v>02</x:v>
      </x:c>
      <x:c r="H643" s="5" t="n">
        <x:v>1024</x:v>
      </x:c>
      <x:c r="I643" s="5" t="n">
        <x:v>1024</x:v>
      </x:c>
      <x:c r="J643" s="5" t="str"/>
      <x:c r="K643" s="5" t="str">
        <x:v>입력 필드에 자동 완성 속성을 설정한다.</x:v>
      </x:c>
      <x:c r="L643" s="5" t="str">
        <x:v>원문 세부기준</x:v>
      </x:c>
      <x:c r="M643" s="5" t="str">
        <x:v>추출 후 기본 구조 검토; 원문 적용수준·전체 맥락 재확인 필요</x:v>
      </x:c>
      <x:c r="N643" s="5" t="str">
        <x:v>UI-084
UI-122</x:v>
      </x:c>
      <x:c r="O643" s="5" t="str">
        <x:v>자동 추출 후보 / 공식 전수 체크리스트 아님</x:v>
      </x:c>
    </x:row>
    <x:row r="644" ht="15" hidden="0" customHeight="1">
      <x:c r="A644" s="5" t="str">
        <x:v>KRDS-SEC-089-U-01</x:v>
      </x:c>
      <x:c r="B644" s="5" t="str">
        <x:v>KRDS-SEC-089</x:v>
      </x:c>
      <x:c r="C644" s="5" t="str">
        <x:v>서비스 패턴</x:v>
      </x:c>
      <x:c r="D644" s="5" t="str">
        <x:v>로그인</x:v>
      </x:c>
      <x:c r="E644" s="5" t="str">
        <x:v>로그인 완료</x:v>
      </x:c>
      <x:c r="F644" s="5" t="str">
        <x:v>사용성 가이드라인</x:v>
      </x:c>
      <x:c r="G644" s="5" t="str">
        <x:v>01</x:v>
      </x:c>
      <x:c r="H644" s="5" t="n">
        <x:v>1028</x:v>
      </x:c>
      <x:c r="I644" s="5" t="n">
        <x:v>1028</x:v>
      </x:c>
      <x:c r="J644" s="5" t="str">
        <x:v>1029</x:v>
      </x:c>
      <x:c r="K644" s="5" t="str">
        <x:v>로그인이 완료된 후, 로그인 상황에 적합한 화면으로 이동해야 한다.</x:v>
      </x:c>
      <x:c r="L644" s="5" t="str">
        <x:v>수준 확인 필요</x:v>
      </x:c>
      <x:c r="M644" s="5" t="str">
        <x:v>추출 후 기본 구조 검토; 원문 적용수준·전체 맥락 재확인 필요</x:v>
      </x:c>
      <x:c r="N644" s="5" t="str">
        <x:v>UI-085</x:v>
      </x:c>
      <x:c r="O644" s="5" t="str">
        <x:v>자동 추출 후보 / 공식 전수 체크리스트 아님</x:v>
      </x:c>
    </x:row>
    <x:row r="645" ht="15" hidden="0" customHeight="1">
      <x:c r="A645" s="5" t="str">
        <x:v>KRDS-SEC-089-U-02</x:v>
      </x:c>
      <x:c r="B645" s="5" t="str">
        <x:v>KRDS-SEC-089</x:v>
      </x:c>
      <x:c r="C645" s="5" t="str">
        <x:v>서비스 패턴</x:v>
      </x:c>
      <x:c r="D645" s="5" t="str">
        <x:v>로그인</x:v>
      </x:c>
      <x:c r="E645" s="5" t="str">
        <x:v>로그인 완료</x:v>
      </x:c>
      <x:c r="F645" s="5" t="str">
        <x:v>사용성 가이드라인</x:v>
      </x:c>
      <x:c r="G645" s="5" t="str">
        <x:v>02</x:v>
      </x:c>
      <x:c r="H645" s="5" t="n">
        <x:v>1028</x:v>
      </x:c>
      <x:c r="I645" s="5" t="n">
        <x:v>1028</x:v>
      </x:c>
      <x:c r="J645" s="5" t="str">
        <x:v>1032</x:v>
      </x:c>
      <x:c r="K645" s="5" t="str">
        <x:v>로그인 상태로 전환되었음을 명확하게 표현한다.</x:v>
      </x:c>
      <x:c r="L645" s="5" t="str">
        <x:v>수준 확인 필요</x:v>
      </x:c>
      <x:c r="M645" s="5" t="str">
        <x:v>추출 후 기본 구조 검토; 원문 적용수준·전체 맥락 재확인 필요</x:v>
      </x:c>
      <x:c r="N645" s="5" t="str">
        <x:v>UI-085</x:v>
      </x:c>
      <x:c r="O645" s="5" t="str">
        <x:v>자동 추출 후보 / 공식 전수 체크리스트 아님</x:v>
      </x:c>
    </x:row>
    <x:row r="646" ht="15" hidden="0" customHeight="1">
      <x:c r="A646" s="5" t="str">
        <x:v>KRDS-SEC-089-A-01</x:v>
      </x:c>
      <x:c r="B646" s="5" t="str">
        <x:v>KRDS-SEC-089</x:v>
      </x:c>
      <x:c r="C646" s="5" t="str">
        <x:v>서비스 패턴</x:v>
      </x:c>
      <x:c r="D646" s="5" t="str">
        <x:v>로그인</x:v>
      </x:c>
      <x:c r="E646" s="5" t="str">
        <x:v>로그인 완료</x:v>
      </x:c>
      <x:c r="F646" s="5" t="str">
        <x:v>접근성 가이드라인</x:v>
      </x:c>
      <x:c r="G646" s="5" t="str">
        <x:v>01</x:v>
      </x:c>
      <x:c r="H646" s="5" t="n">
        <x:v>1033</x:v>
      </x:c>
      <x:c r="I646" s="5" t="n">
        <x:v>1033</x:v>
      </x:c>
      <x:c r="J646" s="5" t="str"/>
      <x:c r="K646" s="5" t="str">
        <x:v>로그인 완료 후 화면이 로딩되었을 때 초점은 문서 가장 처음부터 접근되도록 한다.</x:v>
      </x:c>
      <x:c r="L646" s="5" t="str">
        <x:v>원문 세부기준</x:v>
      </x:c>
      <x:c r="M646" s="5" t="str">
        <x:v>추출 후 기본 구조 검토; 원문 적용수준·전체 맥락 재확인 필요</x:v>
      </x:c>
      <x:c r="N646" s="5" t="str">
        <x:v>UI-085</x:v>
      </x:c>
      <x:c r="O646" s="5" t="str">
        <x:v>자동 추출 후보 / 공식 전수 체크리스트 아님</x:v>
      </x:c>
    </x:row>
    <x:row r="647" ht="26.399999618530273" hidden="0" customHeight="1">
      <x:c r="A647" s="5" t="str">
        <x:v>KRDS-SEC-090-U-01</x:v>
      </x:c>
      <x:c r="B647" s="5" t="str">
        <x:v>KRDS-SEC-090</x:v>
      </x:c>
      <x:c r="C647" s="5" t="str">
        <x:v>서비스 패턴</x:v>
      </x:c>
      <x:c r="D647" s="5" t="str">
        <x:v>로그인</x:v>
      </x:c>
      <x:c r="E647" s="5" t="str">
        <x:v>서비스 이용</x:v>
      </x:c>
      <x:c r="F647" s="5" t="str">
        <x:v>사용성 가이드라인</x:v>
      </x:c>
      <x:c r="G647" s="5" t="str">
        <x:v>01</x:v>
      </x:c>
      <x:c r="H647" s="5" t="n">
        <x:v>1036</x:v>
      </x:c>
      <x:c r="I647" s="5" t="n">
        <x:v>1036</x:v>
      </x:c>
      <x:c r="J647" s="5" t="str">
        <x:v>1037</x:v>
      </x:c>
      <x:c r="K647" s="5" t="str">
        <x:v>사용자에게 로그인 세션이 만료되기 전에 유지 시간에 제한이 있음을 안내한다.</x:v>
      </x:c>
      <x:c r="L647" s="5" t="str">
        <x:v>수준 확인 필요</x:v>
      </x:c>
      <x:c r="M647" s="5" t="str">
        <x:v>추출 후 기본 구조 검토; 원문 적용수준·전체 맥락 재확인 필요</x:v>
      </x:c>
      <x:c r="N647" s="5" t="str">
        <x:v>UI-086
UI-123</x:v>
      </x:c>
      <x:c r="O647" s="5" t="str">
        <x:v>자동 추출 후보 / 공식 전수 체크리스트 아님</x:v>
      </x:c>
    </x:row>
    <x:row r="648" ht="26.399999618530273" hidden="0" customHeight="1">
      <x:c r="A648" s="5" t="str">
        <x:v>KRDS-SEC-090-U-02</x:v>
      </x:c>
      <x:c r="B648" s="5" t="str">
        <x:v>KRDS-SEC-090</x:v>
      </x:c>
      <x:c r="C648" s="5" t="str">
        <x:v>서비스 패턴</x:v>
      </x:c>
      <x:c r="D648" s="5" t="str">
        <x:v>로그인</x:v>
      </x:c>
      <x:c r="E648" s="5" t="str">
        <x:v>서비스 이용</x:v>
      </x:c>
      <x:c r="F648" s="5" t="str">
        <x:v>사용성 가이드라인</x:v>
      </x:c>
      <x:c r="G648" s="5" t="str">
        <x:v>02</x:v>
      </x:c>
      <x:c r="H648" s="5" t="n">
        <x:v>1036</x:v>
      </x:c>
      <x:c r="I648" s="5" t="n">
        <x:v>1036</x:v>
      </x:c>
      <x:c r="J648" s="5" t="str">
        <x:v>1038</x:v>
      </x:c>
      <x:c r="K648" s="5" t="str">
        <x:v>로그인 세션 시간 만료에 대한 안내는 모달로 제공하여 사용자의 과업 맥락이 유지될 수 있도록 한다.</x:v>
      </x:c>
      <x:c r="L648" s="5" t="str">
        <x:v>수준 확인 필요</x:v>
      </x:c>
      <x:c r="M648" s="5" t="str">
        <x:v>추출 후 기본 구조 검토; 원문 적용수준·전체 맥락 재확인 필요</x:v>
      </x:c>
      <x:c r="N648" s="5" t="str">
        <x:v>UI-086
UI-123</x:v>
      </x:c>
      <x:c r="O648" s="5" t="str">
        <x:v>자동 추출 후보 / 공식 전수 체크리스트 아님</x:v>
      </x:c>
    </x:row>
    <x:row r="649" ht="26.399999618530273" hidden="0" customHeight="1">
      <x:c r="A649" s="5" t="str">
        <x:v>KRDS-SEC-090-U-03</x:v>
      </x:c>
      <x:c r="B649" s="5" t="str">
        <x:v>KRDS-SEC-090</x:v>
      </x:c>
      <x:c r="C649" s="5" t="str">
        <x:v>서비스 패턴</x:v>
      </x:c>
      <x:c r="D649" s="5" t="str">
        <x:v>로그인</x:v>
      </x:c>
      <x:c r="E649" s="5" t="str">
        <x:v>서비스 이용</x:v>
      </x:c>
      <x:c r="F649" s="5" t="str">
        <x:v>사용성 가이드라인</x:v>
      </x:c>
      <x:c r="G649" s="5" t="str">
        <x:v>03</x:v>
      </x:c>
      <x:c r="H649" s="5" t="n">
        <x:v>1036</x:v>
      </x:c>
      <x:c r="I649" s="5" t="n">
        <x:v>1036</x:v>
      </x:c>
      <x:c r="J649" s="5" t="str">
        <x:v>1039</x:v>
      </x:c>
      <x:c r="K649" s="5" t="str">
        <x:v>로그인 세션 시간 만료에 대한 안내는 세션이 만료되기 최소 20초 전에 제공한다.</x:v>
      </x:c>
      <x:c r="L649" s="5" t="str">
        <x:v>수준 확인 필요</x:v>
      </x:c>
      <x:c r="M649" s="5" t="str">
        <x:v>추출 후 기본 구조 검토; 원문 적용수준·전체 맥락 재확인 필요</x:v>
      </x:c>
      <x:c r="N649" s="5" t="str">
        <x:v>UI-086
UI-123</x:v>
      </x:c>
      <x:c r="O649" s="5" t="str">
        <x:v>자동 추출 후보 / 공식 전수 체크리스트 아님</x:v>
      </x:c>
    </x:row>
    <x:row r="650" ht="26.399999618530273" hidden="0" customHeight="1">
      <x:c r="A650" s="5" t="str">
        <x:v>KRDS-SEC-090-U-04</x:v>
      </x:c>
      <x:c r="B650" s="5" t="str">
        <x:v>KRDS-SEC-090</x:v>
      </x:c>
      <x:c r="C650" s="5" t="str">
        <x:v>서비스 패턴</x:v>
      </x:c>
      <x:c r="D650" s="5" t="str">
        <x:v>로그인</x:v>
      </x:c>
      <x:c r="E650" s="5" t="str">
        <x:v>서비스 이용</x:v>
      </x:c>
      <x:c r="F650" s="5" t="str">
        <x:v>사용성 가이드라인</x:v>
      </x:c>
      <x:c r="G650" s="5" t="str">
        <x:v>04</x:v>
      </x:c>
      <x:c r="H650" s="5" t="n">
        <x:v>1036</x:v>
      </x:c>
      <x:c r="I650" s="5" t="n">
        <x:v>1036</x:v>
      </x:c>
      <x:c r="J650" s="5" t="str">
        <x:v>1040</x:v>
      </x:c>
      <x:c r="K650" s="5" t="str">
        <x:v>로그인 만료 안내 모달에 시간 연장하기 버튼과 로그아웃하기 버튼을 제공한다.</x:v>
      </x:c>
      <x:c r="L650" s="5" t="str">
        <x:v>수준 확인 필요</x:v>
      </x:c>
      <x:c r="M650" s="5" t="str">
        <x:v>추출 후 기본 구조 검토; 원문 적용수준·전체 맥락 재확인 필요</x:v>
      </x:c>
      <x:c r="N650" s="5" t="str">
        <x:v>UI-086
UI-123</x:v>
      </x:c>
      <x:c r="O650" s="5" t="str">
        <x:v>자동 추출 후보 / 공식 전수 체크리스트 아님</x:v>
      </x:c>
    </x:row>
    <x:row r="651" ht="26.399999618530273" hidden="0" customHeight="1">
      <x:c r="A651" s="5" t="str">
        <x:v>KRDS-SEC-090-A-01</x:v>
      </x:c>
      <x:c r="B651" s="5" t="str">
        <x:v>KRDS-SEC-090</x:v>
      </x:c>
      <x:c r="C651" s="5" t="str">
        <x:v>서비스 패턴</x:v>
      </x:c>
      <x:c r="D651" s="5" t="str">
        <x:v>로그인</x:v>
      </x:c>
      <x:c r="E651" s="5" t="str">
        <x:v>서비스 이용</x:v>
      </x:c>
      <x:c r="F651" s="5" t="str">
        <x:v>접근성 가이드라인</x:v>
      </x:c>
      <x:c r="G651" s="5" t="str">
        <x:v>01</x:v>
      </x:c>
      <x:c r="H651" s="5" t="n">
        <x:v>1041</x:v>
      </x:c>
      <x:c r="I651" s="5" t="n">
        <x:v>1041</x:v>
      </x:c>
      <x:c r="J651" s="5" t="str"/>
      <x:c r="K651" s="5" t="str">
        <x:v>로그인 만료 안내 모달이 활성화된 상태에서 아무 키나 눌렀을 때 연장 가능하도록 한다.</x:v>
      </x:c>
      <x:c r="L651" s="5" t="str">
        <x:v>원문 세부기준</x:v>
      </x:c>
      <x:c r="M651" s="5" t="str">
        <x:v>추출 후 기본 구조 검토; 원문 적용수준·전체 맥락 재확인 필요</x:v>
      </x:c>
      <x:c r="N651" s="5" t="str">
        <x:v>UI-086
UI-123</x:v>
      </x:c>
      <x:c r="O651" s="5" t="str">
        <x:v>자동 추출 후보 / 공식 전수 체크리스트 아님</x:v>
      </x:c>
    </x:row>
    <x:row r="652" ht="26.399999618530273" hidden="0" customHeight="1">
      <x:c r="A652" s="5" t="str">
        <x:v>KRDS-SEC-090-A-02</x:v>
      </x:c>
      <x:c r="B652" s="5" t="str">
        <x:v>KRDS-SEC-090</x:v>
      </x:c>
      <x:c r="C652" s="5" t="str">
        <x:v>서비스 패턴</x:v>
      </x:c>
      <x:c r="D652" s="5" t="str">
        <x:v>로그인</x:v>
      </x:c>
      <x:c r="E652" s="5" t="str">
        <x:v>서비스 이용</x:v>
      </x:c>
      <x:c r="F652" s="5" t="str">
        <x:v>접근성 가이드라인</x:v>
      </x:c>
      <x:c r="G652" s="5" t="str">
        <x:v>02</x:v>
      </x:c>
      <x:c r="H652" s="5" t="n">
        <x:v>1041</x:v>
      </x:c>
      <x:c r="I652" s="5" t="n">
        <x:v>1041</x:v>
      </x:c>
      <x:c r="J652" s="5" t="str"/>
      <x:c r="K652" s="5" t="str">
        <x:v>시간 연장은 최소 10회 이상 수행할 수 있도록 제공한다.</x:v>
      </x:c>
      <x:c r="L652" s="5" t="str">
        <x:v>원문 세부기준</x:v>
      </x:c>
      <x:c r="M652" s="5" t="str">
        <x:v>추출 후 기본 구조 검토; 원문 적용수준·전체 맥락 재확인 필요</x:v>
      </x:c>
      <x:c r="N652" s="5" t="str">
        <x:v>UI-086
UI-123</x:v>
      </x:c>
      <x:c r="O652" s="5" t="str">
        <x:v>자동 추출 후보 / 공식 전수 체크리스트 아님</x:v>
      </x:c>
    </x:row>
    <x:row r="653" ht="15" hidden="0" customHeight="1">
      <x:c r="A653" s="5" t="str">
        <x:v>KRDS-SEC-091-U-01</x:v>
      </x:c>
      <x:c r="B653" s="5" t="str">
        <x:v>KRDS-SEC-091</x:v>
      </x:c>
      <x:c r="C653" s="5" t="str">
        <x:v>서비스 패턴</x:v>
      </x:c>
      <x:c r="D653" s="5" t="str">
        <x:v>로그인</x:v>
      </x:c>
      <x:c r="E653" s="5" t="str">
        <x:v>로그아웃</x:v>
      </x:c>
      <x:c r="F653" s="5" t="str">
        <x:v>사용성 가이드라인</x:v>
      </x:c>
      <x:c r="G653" s="5" t="str">
        <x:v>01</x:v>
      </x:c>
      <x:c r="H653" s="5" t="n">
        <x:v>1045</x:v>
      </x:c>
      <x:c r="I653" s="5" t="n">
        <x:v>1045</x:v>
      </x:c>
      <x:c r="J653" s="5" t="str">
        <x:v>1046</x:v>
      </x:c>
      <x:c r="K653" s="5" t="str">
        <x:v>로그아웃 상태로 전환되었음을 분명하게 보여준다.</x:v>
      </x:c>
      <x:c r="L653" s="5" t="str">
        <x:v>수준 확인 필요</x:v>
      </x:c>
      <x:c r="M653" s="5" t="str">
        <x:v>추출 후 기본 구조 검토; 원문 적용수준·전체 맥락 재확인 필요</x:v>
      </x:c>
      <x:c r="N653" s="5" t="str">
        <x:v>UI-087</x:v>
      </x:c>
      <x:c r="O653" s="5" t="str">
        <x:v>자동 추출 후보 / 공식 전수 체크리스트 아님</x:v>
      </x:c>
    </x:row>
    <x:row r="654" ht="15" hidden="0" customHeight="1">
      <x:c r="A654" s="5" t="str">
        <x:v>KRDS-SEC-091-U-02</x:v>
      </x:c>
      <x:c r="B654" s="5" t="str">
        <x:v>KRDS-SEC-091</x:v>
      </x:c>
      <x:c r="C654" s="5" t="str">
        <x:v>서비스 패턴</x:v>
      </x:c>
      <x:c r="D654" s="5" t="str">
        <x:v>로그인</x:v>
      </x:c>
      <x:c r="E654" s="5" t="str">
        <x:v>로그아웃</x:v>
      </x:c>
      <x:c r="F654" s="5" t="str">
        <x:v>사용성 가이드라인</x:v>
      </x:c>
      <x:c r="G654" s="5" t="str">
        <x:v>02</x:v>
      </x:c>
      <x:c r="H654" s="5" t="n">
        <x:v>1045</x:v>
      </x:c>
      <x:c r="I654" s="5" t="n">
        <x:v>1045</x:v>
      </x:c>
      <x:c r="J654" s="5" t="str">
        <x:v>1047</x:v>
      </x:c>
      <x:c r="K654" s="5" t="str">
        <x:v>사용자 요청에 의해 로그아웃이 실행되는 경우 결과 화면과 로그아웃 실행 사이에 스피너를 제공한다.</x:v>
      </x:c>
      <x:c r="L654" s="5" t="str">
        <x:v>수준 확인 필요</x:v>
      </x:c>
      <x:c r="M654" s="5" t="str">
        <x:v>추출 후 기본 구조 검토; 원문 적용수준·전체 맥락 재확인 필요</x:v>
      </x:c>
      <x:c r="N654" s="5" t="str">
        <x:v>UI-087</x:v>
      </x:c>
      <x:c r="O654" s="5" t="str">
        <x:v>자동 추출 후보 / 공식 전수 체크리스트 아님</x:v>
      </x:c>
    </x:row>
    <x:row r="655" ht="15" hidden="0" customHeight="1">
      <x:c r="A655" s="5" t="str">
        <x:v>KRDS-SEC-091-U-03</x:v>
      </x:c>
      <x:c r="B655" s="5" t="str">
        <x:v>KRDS-SEC-091</x:v>
      </x:c>
      <x:c r="C655" s="5" t="str">
        <x:v>서비스 패턴</x:v>
      </x:c>
      <x:c r="D655" s="5" t="str">
        <x:v>로그인</x:v>
      </x:c>
      <x:c r="E655" s="5" t="str">
        <x:v>로그아웃</x:v>
      </x:c>
      <x:c r="F655" s="5" t="str">
        <x:v>사용성 가이드라인</x:v>
      </x:c>
      <x:c r="G655" s="5" t="str">
        <x:v>03</x:v>
      </x:c>
      <x:c r="H655" s="5" t="n">
        <x:v>1045</x:v>
      </x:c>
      <x:c r="I655" s="5" t="n">
        <x:v>1045</x:v>
      </x:c>
      <x:c r="J655" s="5" t="str">
        <x:v>1048</x:v>
      </x:c>
      <x:c r="K655" s="5" t="str">
        <x:v>로그아웃이 완료된 후, 상황에 적합한 화면으로 이동해야 한다.</x:v>
      </x:c>
      <x:c r="L655" s="5" t="str">
        <x:v>수준 확인 필요</x:v>
      </x:c>
      <x:c r="M655" s="5" t="str">
        <x:v>추출 후 기본 구조 검토; 원문 적용수준·전체 맥락 재확인 필요</x:v>
      </x:c>
      <x:c r="N655" s="5" t="str">
        <x:v>UI-087</x:v>
      </x:c>
      <x:c r="O655" s="5" t="str">
        <x:v>자동 추출 후보 / 공식 전수 체크리스트 아님</x:v>
      </x:c>
    </x:row>
    <x:row r="656" ht="15" hidden="0" customHeight="1">
      <x:c r="A656" s="5" t="str">
        <x:v>KRDS-SEC-091-U-04</x:v>
      </x:c>
      <x:c r="B656" s="5" t="str">
        <x:v>KRDS-SEC-091</x:v>
      </x:c>
      <x:c r="C656" s="5" t="str">
        <x:v>서비스 패턴</x:v>
      </x:c>
      <x:c r="D656" s="5" t="str">
        <x:v>로그인</x:v>
      </x:c>
      <x:c r="E656" s="5" t="str">
        <x:v>로그아웃</x:v>
      </x:c>
      <x:c r="F656" s="5" t="str">
        <x:v>사용성 가이드라인</x:v>
      </x:c>
      <x:c r="G656" s="5" t="str">
        <x:v>04</x:v>
      </x:c>
      <x:c r="H656" s="5" t="n">
        <x:v>1045</x:v>
      </x:c>
      <x:c r="I656" s="5" t="n">
        <x:v>1045</x:v>
      </x:c>
      <x:c r="J656" s="5" t="str">
        <x:v>1049</x:v>
      </x:c>
      <x:c r="K656" s="5" t="str">
        <x:v>로그아웃에 대한 안내는 별도의 화면으로 구성하여 제공한다.</x:v>
      </x:c>
      <x:c r="L656" s="5" t="str">
        <x:v>수준 확인 필요</x:v>
      </x:c>
      <x:c r="M656" s="5" t="str">
        <x:v>추출 후 기본 구조 검토; 원문 적용수준·전체 맥락 재확인 필요</x:v>
      </x:c>
      <x:c r="N656" s="5" t="str">
        <x:v>UI-087</x:v>
      </x:c>
      <x:c r="O656" s="5" t="str">
        <x:v>자동 추출 후보 / 공식 전수 체크리스트 아님</x:v>
      </x:c>
    </x:row>
    <x:row r="657" ht="15" hidden="0" customHeight="1">
      <x:c r="A657" s="5" t="str">
        <x:v>KRDS-SEC-091-U-05</x:v>
      </x:c>
      <x:c r="B657" s="5" t="str">
        <x:v>KRDS-SEC-091</x:v>
      </x:c>
      <x:c r="C657" s="5" t="str">
        <x:v>서비스 패턴</x:v>
      </x:c>
      <x:c r="D657" s="5" t="str">
        <x:v>로그인</x:v>
      </x:c>
      <x:c r="E657" s="5" t="str">
        <x:v>로그아웃</x:v>
      </x:c>
      <x:c r="F657" s="5" t="str">
        <x:v>사용성 가이드라인</x:v>
      </x:c>
      <x:c r="G657" s="5" t="str">
        <x:v>05</x:v>
      </x:c>
      <x:c r="H657" s="5" t="n">
        <x:v>1045</x:v>
      </x:c>
      <x:c r="I657" s="5" t="n">
        <x:v>1045</x:v>
      </x:c>
      <x:c r="J657" s="5" t="str">
        <x:v>1050</x:v>
      </x:c>
      <x:c r="K657" s="5" t="str">
        <x:v>로그아웃 안내 화면에 사용자의 행동을 유도할 수 있는 액션 버튼을 제공한다.</x:v>
      </x:c>
      <x:c r="L657" s="5" t="str">
        <x:v>수준 확인 필요</x:v>
      </x:c>
      <x:c r="M657" s="5" t="str">
        <x:v>추출 후 기본 구조 검토; 원문 적용수준·전체 맥락 재확인 필요</x:v>
      </x:c>
      <x:c r="N657" s="5" t="str">
        <x:v>UI-087</x:v>
      </x:c>
      <x:c r="O657" s="5" t="str">
        <x:v>자동 추출 후보 / 공식 전수 체크리스트 아님</x:v>
      </x:c>
    </x:row>
    <x:row r="658" ht="15" hidden="0" customHeight="1">
      <x:c r="A658" s="5" t="str">
        <x:v>KRDS-SEC-093-U-01</x:v>
      </x:c>
      <x:c r="B658" s="5" t="str">
        <x:v>KRDS-SEC-093</x:v>
      </x:c>
      <x:c r="C658" s="5" t="str">
        <x:v>서비스 패턴</x:v>
      </x:c>
      <x:c r="D658" s="5" t="str">
        <x:v>신청</x:v>
      </x:c>
      <x:c r="E658" s="5" t="str">
        <x:v>신청 대상 탐색</x:v>
      </x:c>
      <x:c r="F658" s="5" t="str">
        <x:v>사용성 가이드라인</x:v>
      </x:c>
      <x:c r="G658" s="5" t="str">
        <x:v>01</x:v>
      </x:c>
      <x:c r="H658" s="5" t="n">
        <x:v>1057</x:v>
      </x:c>
      <x:c r="I658" s="5" t="n">
        <x:v>1057</x:v>
      </x:c>
      <x:c r="J658" s="5" t="str">
        <x:v>1058</x:v>
      </x:c>
      <x:c r="K658" s="5" t="str">
        <x:v>신청 서비스의 특성에 따른 적절한 서비스 목록 정렬 방식을 사용한다.</x:v>
      </x:c>
      <x:c r="L658" s="5" t="str">
        <x:v>수준 확인 필요</x:v>
      </x:c>
      <x:c r="M658" s="5" t="str">
        <x:v>추출 후 기본 구조 검토; 원문 적용수준·전체 맥락 재확인 필요</x:v>
      </x:c>
      <x:c r="N658" s="5" t="str">
        <x:v>UI-088</x:v>
      </x:c>
      <x:c r="O658" s="5" t="str">
        <x:v>자동 추출 후보 / 공식 전수 체크리스트 아님</x:v>
      </x:c>
    </x:row>
    <x:row r="659" ht="15" hidden="0" customHeight="1">
      <x:c r="A659" s="5" t="str">
        <x:v>KRDS-SEC-093-U-02</x:v>
      </x:c>
      <x:c r="B659" s="5" t="str">
        <x:v>KRDS-SEC-093</x:v>
      </x:c>
      <x:c r="C659" s="5" t="str">
        <x:v>서비스 패턴</x:v>
      </x:c>
      <x:c r="D659" s="5" t="str">
        <x:v>신청</x:v>
      </x:c>
      <x:c r="E659" s="5" t="str">
        <x:v>신청 대상 탐색</x:v>
      </x:c>
      <x:c r="F659" s="5" t="str">
        <x:v>사용성 가이드라인</x:v>
      </x:c>
      <x:c r="G659" s="5" t="str">
        <x:v>02</x:v>
      </x:c>
      <x:c r="H659" s="5" t="n">
        <x:v>1057</x:v>
      </x:c>
      <x:c r="I659" s="5" t="n">
        <x:v>1057</x:v>
      </x:c>
      <x:c r="J659" s="5" t="str">
        <x:v>1059</x:v>
      </x:c>
      <x:c r="K659" s="5" t="str">
        <x:v>목록을 적절한 방식으로 군집화하여 메타 데이터를 부여한다.</x:v>
      </x:c>
      <x:c r="L659" s="5" t="str">
        <x:v>수준 확인 필요</x:v>
      </x:c>
      <x:c r="M659" s="5" t="str">
        <x:v>추출 후 기본 구조 검토; 원문 적용수준·전체 맥락 재확인 필요</x:v>
      </x:c>
      <x:c r="N659" s="5" t="str">
        <x:v>UI-088</x:v>
      </x:c>
      <x:c r="O659" s="5" t="str">
        <x:v>자동 추출 후보 / 공식 전수 체크리스트 아님</x:v>
      </x:c>
    </x:row>
    <x:row r="660" ht="15" hidden="0" customHeight="1">
      <x:c r="A660" s="5" t="str">
        <x:v>KRDS-SEC-093-U-03</x:v>
      </x:c>
      <x:c r="B660" s="5" t="str">
        <x:v>KRDS-SEC-093</x:v>
      </x:c>
      <x:c r="C660" s="5" t="str">
        <x:v>서비스 패턴</x:v>
      </x:c>
      <x:c r="D660" s="5" t="str">
        <x:v>신청</x:v>
      </x:c>
      <x:c r="E660" s="5" t="str">
        <x:v>신청 대상 탐색</x:v>
      </x:c>
      <x:c r="F660" s="5" t="str">
        <x:v>사용성 가이드라인</x:v>
      </x:c>
      <x:c r="G660" s="5" t="str">
        <x:v>03</x:v>
      </x:c>
      <x:c r="H660" s="5" t="n">
        <x:v>1057</x:v>
      </x:c>
      <x:c r="I660" s="5" t="n">
        <x:v>1057</x:v>
      </x:c>
      <x:c r="J660" s="5" t="str">
        <x:v>1060</x:v>
      </x:c>
      <x:c r="K660" s="5" t="str">
        <x:v>신청 상태 정보를 명확하게 인지할 수 있도록 표현한다.</x:v>
      </x:c>
      <x:c r="L660" s="5" t="str">
        <x:v>수준 확인 필요</x:v>
      </x:c>
      <x:c r="M660" s="5" t="str">
        <x:v>추출 후 기본 구조 검토; 원문 적용수준·전체 맥락 재확인 필요</x:v>
      </x:c>
      <x:c r="N660" s="5" t="str">
        <x:v>UI-088</x:v>
      </x:c>
      <x:c r="O660" s="5" t="str">
        <x:v>자동 추출 후보 / 공식 전수 체크리스트 아님</x:v>
      </x:c>
    </x:row>
    <x:row r="661" ht="15" hidden="0" customHeight="1">
      <x:c r="A661" s="5" t="str">
        <x:v>KRDS-SEC-093-U-04</x:v>
      </x:c>
      <x:c r="B661" s="5" t="str">
        <x:v>KRDS-SEC-093</x:v>
      </x:c>
      <x:c r="C661" s="5" t="str">
        <x:v>서비스 패턴</x:v>
      </x:c>
      <x:c r="D661" s="5" t="str">
        <x:v>신청</x:v>
      </x:c>
      <x:c r="E661" s="5" t="str">
        <x:v>신청 대상 탐색</x:v>
      </x:c>
      <x:c r="F661" s="5" t="str">
        <x:v>사용성 가이드라인</x:v>
      </x:c>
      <x:c r="G661" s="5" t="str">
        <x:v>04</x:v>
      </x:c>
      <x:c r="H661" s="5" t="n">
        <x:v>1057</x:v>
      </x:c>
      <x:c r="I661" s="5" t="n">
        <x:v>1057</x:v>
      </x:c>
      <x:c r="J661" s="5" t="str">
        <x:v>1061</x:v>
      </x:c>
      <x:c r="K661" s="5" t="str">
        <x:v>미리보기/요약에 신청 가능 기한 정보를 제공한다.</x:v>
      </x:c>
      <x:c r="L661" s="5" t="str">
        <x:v>수준 확인 필요</x:v>
      </x:c>
      <x:c r="M661" s="5" t="str">
        <x:v>추출 후 기본 구조 검토; 원문 적용수준·전체 맥락 재확인 필요</x:v>
      </x:c>
      <x:c r="N661" s="5" t="str">
        <x:v>UI-088</x:v>
      </x:c>
      <x:c r="O661" s="5" t="str">
        <x:v>자동 추출 후보 / 공식 전수 체크리스트 아님</x:v>
      </x:c>
    </x:row>
    <x:row r="662" ht="15" hidden="0" customHeight="1">
      <x:c r="A662" s="5" t="str">
        <x:v>KRDS-SEC-093-U-05</x:v>
      </x:c>
      <x:c r="B662" s="5" t="str">
        <x:v>KRDS-SEC-093</x:v>
      </x:c>
      <x:c r="C662" s="5" t="str">
        <x:v>서비스 패턴</x:v>
      </x:c>
      <x:c r="D662" s="5" t="str">
        <x:v>신청</x:v>
      </x:c>
      <x:c r="E662" s="5" t="str">
        <x:v>신청 대상 탐색</x:v>
      </x:c>
      <x:c r="F662" s="5" t="str">
        <x:v>사용성 가이드라인</x:v>
      </x:c>
      <x:c r="G662" s="5" t="str">
        <x:v>05</x:v>
      </x:c>
      <x:c r="H662" s="5" t="n">
        <x:v>1057</x:v>
      </x:c>
      <x:c r="I662" s="5" t="n">
        <x:v>1057</x:v>
      </x:c>
      <x:c r="J662" s="5" t="str">
        <x:v>1062</x:v>
      </x:c>
      <x:c r="K662" s="5" t="str">
        <x:v>제목에 공식적인 서비스 명칭을 사용한다.</x:v>
      </x:c>
      <x:c r="L662" s="5" t="str">
        <x:v>수준 확인 필요</x:v>
      </x:c>
      <x:c r="M662" s="5" t="str">
        <x:v>추출 후 기본 구조 검토; 원문 적용수준·전체 맥락 재확인 필요</x:v>
      </x:c>
      <x:c r="N662" s="5" t="str">
        <x:v>UI-088</x:v>
      </x:c>
      <x:c r="O662" s="5" t="str">
        <x:v>자동 추출 후보 / 공식 전수 체크리스트 아님</x:v>
      </x:c>
    </x:row>
    <x:row r="663" ht="15" hidden="0" customHeight="1">
      <x:c r="A663" s="5" t="str">
        <x:v>KRDS-SEC-093-U-06</x:v>
      </x:c>
      <x:c r="B663" s="5" t="str">
        <x:v>KRDS-SEC-093</x:v>
      </x:c>
      <x:c r="C663" s="5" t="str">
        <x:v>서비스 패턴</x:v>
      </x:c>
      <x:c r="D663" s="5" t="str">
        <x:v>신청</x:v>
      </x:c>
      <x:c r="E663" s="5" t="str">
        <x:v>신청 대상 탐색</x:v>
      </x:c>
      <x:c r="F663" s="5" t="str">
        <x:v>사용성 가이드라인</x:v>
      </x:c>
      <x:c r="G663" s="5" t="str">
        <x:v>06</x:v>
      </x:c>
      <x:c r="H663" s="5" t="n">
        <x:v>1057</x:v>
      </x:c>
      <x:c r="I663" s="5" t="n">
        <x:v>1057</x:v>
      </x:c>
      <x:c r="J663" s="5" t="str">
        <x:v>1063</x:v>
      </x:c>
      <x:c r="K663" s="5" t="str">
        <x:v>제목에 말줄임표를 사용하지 않는다.</x:v>
      </x:c>
      <x:c r="L663" s="5" t="str">
        <x:v>수준 확인 필요</x:v>
      </x:c>
      <x:c r="M663" s="5" t="str">
        <x:v>추출 후 기본 구조 검토; 원문 적용수준·전체 맥락 재확인 필요</x:v>
      </x:c>
      <x:c r="N663" s="5" t="str">
        <x:v>UI-088</x:v>
      </x:c>
      <x:c r="O663" s="5" t="str">
        <x:v>자동 추출 후보 / 공식 전수 체크리스트 아님</x:v>
      </x:c>
    </x:row>
    <x:row r="664" ht="15" hidden="0" customHeight="1">
      <x:c r="A664" s="5" t="str">
        <x:v>KRDS-SEC-093-U-07</x:v>
      </x:c>
      <x:c r="B664" s="5" t="str">
        <x:v>KRDS-SEC-093</x:v>
      </x:c>
      <x:c r="C664" s="5" t="str">
        <x:v>서비스 패턴</x:v>
      </x:c>
      <x:c r="D664" s="5" t="str">
        <x:v>신청</x:v>
      </x:c>
      <x:c r="E664" s="5" t="str">
        <x:v>신청 대상 탐색</x:v>
      </x:c>
      <x:c r="F664" s="5" t="str">
        <x:v>사용성 가이드라인</x:v>
      </x:c>
      <x:c r="G664" s="5" t="str">
        <x:v>07</x:v>
      </x:c>
      <x:c r="H664" s="5" t="n">
        <x:v>1057</x:v>
      </x:c>
      <x:c r="I664" s="5" t="n">
        <x:v>1057</x:v>
      </x:c>
      <x:c r="J664" s="5" t="str">
        <x:v>1064</x:v>
      </x:c>
      <x:c r="K664" s="5" t="str">
        <x:v>미리보기/요약 텍스트는 간결하게 작성한다.</x:v>
      </x:c>
      <x:c r="L664" s="5" t="str">
        <x:v>수준 확인 필요</x:v>
      </x:c>
      <x:c r="M664" s="5" t="str">
        <x:v>추출 후 기본 구조 검토; 원문 적용수준·전체 맥락 재확인 필요</x:v>
      </x:c>
      <x:c r="N664" s="5" t="str">
        <x:v>UI-088</x:v>
      </x:c>
      <x:c r="O664" s="5" t="str">
        <x:v>자동 추출 후보 / 공식 전수 체크리스트 아님</x:v>
      </x:c>
    </x:row>
    <x:row r="665" ht="15" hidden="0" customHeight="1">
      <x:c r="A665" s="5" t="str">
        <x:v>KRDS-SEC-093-U-08</x:v>
      </x:c>
      <x:c r="B665" s="5" t="str">
        <x:v>KRDS-SEC-093</x:v>
      </x:c>
      <x:c r="C665" s="5" t="str">
        <x:v>서비스 패턴</x:v>
      </x:c>
      <x:c r="D665" s="5" t="str">
        <x:v>신청</x:v>
      </x:c>
      <x:c r="E665" s="5" t="str">
        <x:v>신청 대상 탐색</x:v>
      </x:c>
      <x:c r="F665" s="5" t="str">
        <x:v>사용성 가이드라인</x:v>
      </x:c>
      <x:c r="G665" s="5" t="str">
        <x:v>08</x:v>
      </x:c>
      <x:c r="H665" s="5" t="n">
        <x:v>1057</x:v>
      </x:c>
      <x:c r="I665" s="5" t="n">
        <x:v>1057</x:v>
      </x:c>
      <x:c r="J665" s="5" t="str">
        <x:v>1065</x:v>
      </x:c>
      <x:c r="K665" s="5" t="str">
        <x:v>상세 화면을 거치지 않고 신청 과정에 바로 접근할 수 있는 액션 버튼을 제공한다.</x:v>
      </x:c>
      <x:c r="L665" s="5" t="str">
        <x:v>수준 확인 필요</x:v>
      </x:c>
      <x:c r="M665" s="5" t="str">
        <x:v>추출 후 기본 구조 검토; 원문 적용수준·전체 맥락 재확인 필요</x:v>
      </x:c>
      <x:c r="N665" s="5" t="str">
        <x:v>UI-088</x:v>
      </x:c>
      <x:c r="O665" s="5" t="str">
        <x:v>자동 추출 후보 / 공식 전수 체크리스트 아님</x:v>
      </x:c>
    </x:row>
    <x:row r="666" ht="15" hidden="0" customHeight="1">
      <x:c r="A666" s="5" t="str">
        <x:v>KRDS-SEC-093-U-09</x:v>
      </x:c>
      <x:c r="B666" s="5" t="str">
        <x:v>KRDS-SEC-093</x:v>
      </x:c>
      <x:c r="C666" s="5" t="str">
        <x:v>서비스 패턴</x:v>
      </x:c>
      <x:c r="D666" s="5" t="str">
        <x:v>신청</x:v>
      </x:c>
      <x:c r="E666" s="5" t="str">
        <x:v>신청 대상 탐색</x:v>
      </x:c>
      <x:c r="F666" s="5" t="str">
        <x:v>사용성 가이드라인</x:v>
      </x:c>
      <x:c r="G666" s="5" t="str">
        <x:v>09</x:v>
      </x:c>
      <x:c r="H666" s="5" t="n">
        <x:v>1057</x:v>
      </x:c>
      <x:c r="I666" s="5" t="n">
        <x:v>1057</x:v>
      </x:c>
      <x:c r="J666" s="5" t="str">
        <x:v>1066</x:v>
      </x:c>
      <x:c r="K666" s="5" t="str">
        <x:v>외부 서비스로 이동하거나 새 창을 실행하는 액션 버튼에 명확한 시각적 단서를 제공한다.</x:v>
      </x:c>
      <x:c r="L666" s="5" t="str">
        <x:v>수준 확인 필요</x:v>
      </x:c>
      <x:c r="M666" s="5" t="str">
        <x:v>추출 후 기본 구조 검토; 원문 적용수준·전체 맥락 재확인 필요</x:v>
      </x:c>
      <x:c r="N666" s="5" t="str">
        <x:v>UI-088</x:v>
      </x:c>
      <x:c r="O666" s="5" t="str">
        <x:v>자동 추출 후보 / 공식 전수 체크리스트 아님</x:v>
      </x:c>
    </x:row>
    <x:row r="667" ht="15" hidden="0" customHeight="1">
      <x:c r="A667" s="5" t="str">
        <x:v>KRDS-SEC-093-A-01</x:v>
      </x:c>
      <x:c r="B667" s="5" t="str">
        <x:v>KRDS-SEC-093</x:v>
      </x:c>
      <x:c r="C667" s="5" t="str">
        <x:v>서비스 패턴</x:v>
      </x:c>
      <x:c r="D667" s="5" t="str">
        <x:v>신청</x:v>
      </x:c>
      <x:c r="E667" s="5" t="str">
        <x:v>신청 대상 탐색</x:v>
      </x:c>
      <x:c r="F667" s="5" t="str">
        <x:v>접근성 가이드라인</x:v>
      </x:c>
      <x:c r="G667" s="5" t="str">
        <x:v>01</x:v>
      </x:c>
      <x:c r="H667" s="5" t="n">
        <x:v>1067</x:v>
      </x:c>
      <x:c r="I667" s="5" t="n">
        <x:v>1067</x:v>
      </x:c>
      <x:c r="J667" s="5" t="str"/>
      <x:c r="K667" s="5" t="str">
        <x:v>공유/저장 컨트롤과 액션 버튼에 명확한 접근 가능한 이름을 제공한다.</x:v>
      </x:c>
      <x:c r="L667" s="5" t="str">
        <x:v>원문 세부기준</x:v>
      </x:c>
      <x:c r="M667" s="5" t="str">
        <x:v>추출 후 기본 구조 검토; 원문 적용수준·전체 맥락 재확인 필요</x:v>
      </x:c>
      <x:c r="N667" s="5" t="str">
        <x:v>UI-088</x:v>
      </x:c>
      <x:c r="O667" s="5" t="str">
        <x:v>자동 추출 후보 / 공식 전수 체크리스트 아님</x:v>
      </x:c>
    </x:row>
    <x:row r="668" ht="15" hidden="0" customHeight="1">
      <x:c r="A668" s="5" t="str">
        <x:v>KRDS-SEC-094-U-01</x:v>
      </x:c>
      <x:c r="B668" s="5" t="str">
        <x:v>KRDS-SEC-094</x:v>
      </x:c>
      <x:c r="C668" s="5" t="str">
        <x:v>서비스 패턴</x:v>
      </x:c>
      <x:c r="D668" s="5" t="str">
        <x:v>신청</x:v>
      </x:c>
      <x:c r="E668" s="5" t="str">
        <x:v>서비스 정보 확인</x:v>
      </x:c>
      <x:c r="F668" s="5" t="str">
        <x:v>사용성 가이드라인</x:v>
      </x:c>
      <x:c r="G668" s="5" t="str">
        <x:v>01</x:v>
      </x:c>
      <x:c r="H668" s="5" t="n">
        <x:v>1071</x:v>
      </x:c>
      <x:c r="I668" s="5" t="n">
        <x:v>1071</x:v>
      </x:c>
      <x:c r="J668" s="5" t="str">
        <x:v>1072</x:v>
      </x:c>
      <x:c r="K668" s="5" t="str">
        <x:v>본문 콘텐츠의 제목을 신청 서비스명으로 제공한다.</x:v>
      </x:c>
      <x:c r="L668" s="5" t="str">
        <x:v>수준 확인 필요</x:v>
      </x:c>
      <x:c r="M668" s="5" t="str">
        <x:v>추출 후 기본 구조 검토; 원문 적용수준·전체 맥락 재확인 필요</x:v>
      </x:c>
      <x:c r="N668" s="5" t="str">
        <x:v>UI-089</x:v>
      </x:c>
      <x:c r="O668" s="5" t="str">
        <x:v>자동 추출 후보 / 공식 전수 체크리스트 아님</x:v>
      </x:c>
    </x:row>
    <x:row r="669" ht="15" hidden="0" customHeight="1">
      <x:c r="A669" s="5" t="str">
        <x:v>KRDS-SEC-094-U-02</x:v>
      </x:c>
      <x:c r="B669" s="5" t="str">
        <x:v>KRDS-SEC-094</x:v>
      </x:c>
      <x:c r="C669" s="5" t="str">
        <x:v>서비스 패턴</x:v>
      </x:c>
      <x:c r="D669" s="5" t="str">
        <x:v>신청</x:v>
      </x:c>
      <x:c r="E669" s="5" t="str">
        <x:v>서비스 정보 확인</x:v>
      </x:c>
      <x:c r="F669" s="5" t="str">
        <x:v>사용성 가이드라인</x:v>
      </x:c>
      <x:c r="G669" s="5" t="str">
        <x:v>02</x:v>
      </x:c>
      <x:c r="H669" s="5" t="n">
        <x:v>1071</x:v>
      </x:c>
      <x:c r="I669" s="5" t="n">
        <x:v>1071</x:v>
      </x:c>
      <x:c r="J669" s="5" t="str">
        <x:v>1073</x:v>
      </x:c>
      <x:c r="K669" s="5" t="str">
        <x:v>상세 정보 콘텐츠는 간결하며 이해하기 쉽게 작성한다.</x:v>
      </x:c>
      <x:c r="L669" s="5" t="str">
        <x:v>수준 확인 필요</x:v>
      </x:c>
      <x:c r="M669" s="5" t="str">
        <x:v>추출 후 기본 구조 검토; 원문 적용수준·전체 맥락 재확인 필요</x:v>
      </x:c>
      <x:c r="N669" s="5" t="str">
        <x:v>UI-089</x:v>
      </x:c>
      <x:c r="O669" s="5" t="str">
        <x:v>자동 추출 후보 / 공식 전수 체크리스트 아님</x:v>
      </x:c>
    </x:row>
    <x:row r="670" ht="15" hidden="0" customHeight="1">
      <x:c r="A670" s="5" t="str">
        <x:v>KRDS-SEC-094-U-03</x:v>
      </x:c>
      <x:c r="B670" s="5" t="str">
        <x:v>KRDS-SEC-094</x:v>
      </x:c>
      <x:c r="C670" s="5" t="str">
        <x:v>서비스 패턴</x:v>
      </x:c>
      <x:c r="D670" s="5" t="str">
        <x:v>신청</x:v>
      </x:c>
      <x:c r="E670" s="5" t="str">
        <x:v>서비스 정보 확인</x:v>
      </x:c>
      <x:c r="F670" s="5" t="str">
        <x:v>사용성 가이드라인</x:v>
      </x:c>
      <x:c r="G670" s="5" t="str">
        <x:v>03</x:v>
      </x:c>
      <x:c r="H670" s="5" t="n">
        <x:v>1071</x:v>
      </x:c>
      <x:c r="I670" s="5" t="n">
        <x:v>1071</x:v>
      </x:c>
      <x:c r="J670" s="5" t="str">
        <x:v>1074</x:v>
      </x:c>
      <x:c r="K670" s="5" t="str">
        <x:v>상세 정보는 정확하고 최신화된 상태로 제공한다.</x:v>
      </x:c>
      <x:c r="L670" s="5" t="str">
        <x:v>수준 확인 필요</x:v>
      </x:c>
      <x:c r="M670" s="5" t="str">
        <x:v>추출 후 기본 구조 검토; 원문 적용수준·전체 맥락 재확인 필요</x:v>
      </x:c>
      <x:c r="N670" s="5" t="str">
        <x:v>UI-089</x:v>
      </x:c>
      <x:c r="O670" s="5" t="str">
        <x:v>자동 추출 후보 / 공식 전수 체크리스트 아님</x:v>
      </x:c>
    </x:row>
    <x:row r="671" ht="15" hidden="0" customHeight="1">
      <x:c r="A671" s="5" t="str">
        <x:v>KRDS-SEC-094-U-04</x:v>
      </x:c>
      <x:c r="B671" s="5" t="str">
        <x:v>KRDS-SEC-094</x:v>
      </x:c>
      <x:c r="C671" s="5" t="str">
        <x:v>서비스 패턴</x:v>
      </x:c>
      <x:c r="D671" s="5" t="str">
        <x:v>신청</x:v>
      </x:c>
      <x:c r="E671" s="5" t="str">
        <x:v>서비스 정보 확인</x:v>
      </x:c>
      <x:c r="F671" s="5" t="str">
        <x:v>사용성 가이드라인</x:v>
      </x:c>
      <x:c r="G671" s="5" t="str">
        <x:v>04</x:v>
      </x:c>
      <x:c r="H671" s="5" t="n">
        <x:v>1071</x:v>
      </x:c>
      <x:c r="I671" s="5" t="n">
        <x:v>1071</x:v>
      </x:c>
      <x:c r="J671" s="5" t="str">
        <x:v>1075</x:v>
      </x:c>
      <x:c r="K671" s="5" t="str">
        <x:v>서비스를 신청할 수 있는 모든 채널과 제약 사항에 대한 정보를 제공한다.</x:v>
      </x:c>
      <x:c r="L671" s="5" t="str">
        <x:v>수준 확인 필요</x:v>
      </x:c>
      <x:c r="M671" s="5" t="str">
        <x:v>추출 후 기본 구조 검토; 원문 적용수준·전체 맥락 재확인 필요</x:v>
      </x:c>
      <x:c r="N671" s="5" t="str">
        <x:v>UI-089</x:v>
      </x:c>
      <x:c r="O671" s="5" t="str">
        <x:v>자동 추출 후보 / 공식 전수 체크리스트 아님</x:v>
      </x:c>
    </x:row>
    <x:row r="672" ht="15" hidden="0" customHeight="1">
      <x:c r="A672" s="5" t="str">
        <x:v>KRDS-SEC-094-U-05</x:v>
      </x:c>
      <x:c r="B672" s="5" t="str">
        <x:v>KRDS-SEC-094</x:v>
      </x:c>
      <x:c r="C672" s="5" t="str">
        <x:v>서비스 패턴</x:v>
      </x:c>
      <x:c r="D672" s="5" t="str">
        <x:v>신청</x:v>
      </x:c>
      <x:c r="E672" s="5" t="str">
        <x:v>서비스 정보 확인</x:v>
      </x:c>
      <x:c r="F672" s="5" t="str">
        <x:v>사용성 가이드라인</x:v>
      </x:c>
      <x:c r="G672" s="5" t="str">
        <x:v>05</x:v>
      </x:c>
      <x:c r="H672" s="5" t="n">
        <x:v>1071</x:v>
      </x:c>
      <x:c r="I672" s="5" t="n">
        <x:v>1071</x:v>
      </x:c>
      <x:c r="J672" s="5" t="str">
        <x:v>1076</x:v>
      </x:c>
      <x:c r="K672" s="5" t="str">
        <x:v>온라인으로 신청할 수 없는 상황에 대해 명확하게 인지 가능하도록 표현한다.</x:v>
      </x:c>
      <x:c r="L672" s="5" t="str">
        <x:v>수준 확인 필요</x:v>
      </x:c>
      <x:c r="M672" s="5" t="str">
        <x:v>추출 후 기본 구조 검토; 원문 적용수준·전체 맥락 재확인 필요</x:v>
      </x:c>
      <x:c r="N672" s="5" t="str">
        <x:v>UI-089</x:v>
      </x:c>
      <x:c r="O672" s="5" t="str">
        <x:v>자동 추출 후보 / 공식 전수 체크리스트 아님</x:v>
      </x:c>
    </x:row>
    <x:row r="673" ht="15" hidden="0" customHeight="1">
      <x:c r="A673" s="5" t="str">
        <x:v>KRDS-SEC-094-U-06</x:v>
      </x:c>
      <x:c r="B673" s="5" t="str">
        <x:v>KRDS-SEC-094</x:v>
      </x:c>
      <x:c r="C673" s="5" t="str">
        <x:v>서비스 패턴</x:v>
      </x:c>
      <x:c r="D673" s="5" t="str">
        <x:v>신청</x:v>
      </x:c>
      <x:c r="E673" s="5" t="str">
        <x:v>서비스 정보 확인</x:v>
      </x:c>
      <x:c r="F673" s="5" t="str">
        <x:v>사용성 가이드라인</x:v>
      </x:c>
      <x:c r="G673" s="5" t="str">
        <x:v>06</x:v>
      </x:c>
      <x:c r="H673" s="5" t="n">
        <x:v>1071</x:v>
      </x:c>
      <x:c r="I673" s="5" t="n">
        <x:v>1071</x:v>
      </x:c>
      <x:c r="J673" s="5" t="str">
        <x:v>1077</x:v>
      </x:c>
      <x:c r="K673" s="5" t="str">
        <x:v>사용자가 신청 과업을 완료하는 데 필요한 모든 서식과 서류에 대해 안내하고 빠르게 접근할 수 있는 수단을 제공한다.</x:v>
      </x:c>
      <x:c r="L673" s="5" t="str">
        <x:v>수준 확인 필요</x:v>
      </x:c>
      <x:c r="M673" s="5" t="str">
        <x:v>추출 후 기본 구조 검토; 원문 적용수준·전체 맥락 재확인 필요</x:v>
      </x:c>
      <x:c r="N673" s="5" t="str">
        <x:v>UI-089</x:v>
      </x:c>
      <x:c r="O673" s="5" t="str">
        <x:v>자동 추출 후보 / 공식 전수 체크리스트 아님</x:v>
      </x:c>
    </x:row>
    <x:row r="674" ht="15" hidden="0" customHeight="1">
      <x:c r="A674" s="5" t="str">
        <x:v>KRDS-SEC-094-U-07</x:v>
      </x:c>
      <x:c r="B674" s="5" t="str">
        <x:v>KRDS-SEC-094</x:v>
      </x:c>
      <x:c r="C674" s="5" t="str">
        <x:v>서비스 패턴</x:v>
      </x:c>
      <x:c r="D674" s="5" t="str">
        <x:v>신청</x:v>
      </x:c>
      <x:c r="E674" s="5" t="str">
        <x:v>서비스 정보 확인</x:v>
      </x:c>
      <x:c r="F674" s="5" t="str">
        <x:v>사용성 가이드라인</x:v>
      </x:c>
      <x:c r="G674" s="5" t="str">
        <x:v>07</x:v>
      </x:c>
      <x:c r="H674" s="5" t="n">
        <x:v>1071</x:v>
      </x:c>
      <x:c r="I674" s="5" t="n">
        <x:v>1071</x:v>
      </x:c>
      <x:c r="J674" s="5" t="str">
        <x:v>1078</x:v>
      </x:c>
      <x:c r="K674" s="5" t="str">
        <x:v>신청 과정과 처리 절차에 대한 정보를 제공한다.</x:v>
      </x:c>
      <x:c r="L674" s="5" t="str">
        <x:v>수준 확인 필요</x:v>
      </x:c>
      <x:c r="M674" s="5" t="str">
        <x:v>추출 후 기본 구조 검토; 원문 적용수준·전체 맥락 재확인 필요</x:v>
      </x:c>
      <x:c r="N674" s="5" t="str">
        <x:v>UI-089</x:v>
      </x:c>
      <x:c r="O674" s="5" t="str">
        <x:v>자동 추출 후보 / 공식 전수 체크리스트 아님</x:v>
      </x:c>
    </x:row>
    <x:row r="675" ht="15" hidden="0" customHeight="1">
      <x:c r="A675" s="5" t="str">
        <x:v>KRDS-SEC-094-U-08</x:v>
      </x:c>
      <x:c r="B675" s="5" t="str">
        <x:v>KRDS-SEC-094</x:v>
      </x:c>
      <x:c r="C675" s="5" t="str">
        <x:v>서비스 패턴</x:v>
      </x:c>
      <x:c r="D675" s="5" t="str">
        <x:v>신청</x:v>
      </x:c>
      <x:c r="E675" s="5" t="str">
        <x:v>서비스 정보 확인</x:v>
      </x:c>
      <x:c r="F675" s="5" t="str">
        <x:v>사용성 가이드라인</x:v>
      </x:c>
      <x:c r="G675" s="5" t="str">
        <x:v>08</x:v>
      </x:c>
      <x:c r="H675" s="5" t="n">
        <x:v>1071</x:v>
      </x:c>
      <x:c r="I675" s="5" t="n">
        <x:v>1071</x:v>
      </x:c>
      <x:c r="J675" s="5" t="str">
        <x:v>1079</x:v>
      </x:c>
      <x:c r="K675" s="5" t="str">
        <x:v>일반적으로 신청 과정에 소요되는 기간 정보를 절차별로 안내한다.</x:v>
      </x:c>
      <x:c r="L675" s="5" t="str">
        <x:v>수준 확인 필요</x:v>
      </x:c>
      <x:c r="M675" s="5" t="str">
        <x:v>추출 후 기본 구조 검토; 원문 적용수준·전체 맥락 재확인 필요</x:v>
      </x:c>
      <x:c r="N675" s="5" t="str">
        <x:v>UI-089</x:v>
      </x:c>
      <x:c r="O675" s="5" t="str">
        <x:v>자동 추출 후보 / 공식 전수 체크리스트 아님</x:v>
      </x:c>
    </x:row>
    <x:row r="676" ht="15" hidden="0" customHeight="1">
      <x:c r="A676" s="5" t="str">
        <x:v>KRDS-SEC-094-U-09</x:v>
      </x:c>
      <x:c r="B676" s="5" t="str">
        <x:v>KRDS-SEC-094</x:v>
      </x:c>
      <x:c r="C676" s="5" t="str">
        <x:v>서비스 패턴</x:v>
      </x:c>
      <x:c r="D676" s="5" t="str">
        <x:v>신청</x:v>
      </x:c>
      <x:c r="E676" s="5" t="str">
        <x:v>서비스 정보 확인</x:v>
      </x:c>
      <x:c r="F676" s="5" t="str">
        <x:v>사용성 가이드라인</x:v>
      </x:c>
      <x:c r="G676" s="5" t="str">
        <x:v>09</x:v>
      </x:c>
      <x:c r="H676" s="5" t="n">
        <x:v>1071</x:v>
      </x:c>
      <x:c r="I676" s="5" t="n">
        <x:v>1071</x:v>
      </x:c>
      <x:c r="J676" s="5" t="str">
        <x:v>1080</x:v>
      </x:c>
      <x:c r="K676" s="5" t="str">
        <x:v>사용자에게 도움을 줄 수 있는 다양한 부가 정보를 제공한다.</x:v>
      </x:c>
      <x:c r="L676" s="5" t="str">
        <x:v>수준 확인 필요</x:v>
      </x:c>
      <x:c r="M676" s="5" t="str">
        <x:v>추출 후 기본 구조 검토; 원문 적용수준·전체 맥락 재확인 필요</x:v>
      </x:c>
      <x:c r="N676" s="5" t="str">
        <x:v>UI-089</x:v>
      </x:c>
      <x:c r="O676" s="5" t="str">
        <x:v>자동 추출 후보 / 공식 전수 체크리스트 아님</x:v>
      </x:c>
    </x:row>
    <x:row r="677" ht="15" hidden="0" customHeight="1">
      <x:c r="A677" s="5" t="str">
        <x:v>KRDS-SEC-094-U-10</x:v>
      </x:c>
      <x:c r="B677" s="5" t="str">
        <x:v>KRDS-SEC-094</x:v>
      </x:c>
      <x:c r="C677" s="5" t="str">
        <x:v>서비스 패턴</x:v>
      </x:c>
      <x:c r="D677" s="5" t="str">
        <x:v>신청</x:v>
      </x:c>
      <x:c r="E677" s="5" t="str">
        <x:v>서비스 정보 확인</x:v>
      </x:c>
      <x:c r="F677" s="5" t="str">
        <x:v>사용성 가이드라인</x:v>
      </x:c>
      <x:c r="G677" s="5" t="str">
        <x:v>10</x:v>
      </x:c>
      <x:c r="H677" s="5" t="n">
        <x:v>1071</x:v>
      </x:c>
      <x:c r="I677" s="5" t="n">
        <x:v>1071</x:v>
      </x:c>
      <x:c r="J677" s="5" t="str">
        <x:v>1081</x:v>
      </x:c>
      <x:c r="K677" s="5" t="str">
        <x:v>기본 정보는 한 화면에 확인 가능하도록 제공한다.</x:v>
      </x:c>
      <x:c r="L677" s="5" t="str">
        <x:v>수준 확인 필요</x:v>
      </x:c>
      <x:c r="M677" s="5" t="str">
        <x:v>추출 후 기본 구조 검토; 원문 적용수준·전체 맥락 재확인 필요</x:v>
      </x:c>
      <x:c r="N677" s="5" t="str">
        <x:v>UI-089</x:v>
      </x:c>
      <x:c r="O677" s="5" t="str">
        <x:v>자동 추출 후보 / 공식 전수 체크리스트 아님</x:v>
      </x:c>
    </x:row>
    <x:row r="678" ht="15" hidden="0" customHeight="1">
      <x:c r="A678" s="5" t="str">
        <x:v>KRDS-SEC-094-U-11</x:v>
      </x:c>
      <x:c r="B678" s="5" t="str">
        <x:v>KRDS-SEC-094</x:v>
      </x:c>
      <x:c r="C678" s="5" t="str">
        <x:v>서비스 패턴</x:v>
      </x:c>
      <x:c r="D678" s="5" t="str">
        <x:v>신청</x:v>
      </x:c>
      <x:c r="E678" s="5" t="str">
        <x:v>서비스 정보 확인</x:v>
      </x:c>
      <x:c r="F678" s="5" t="str">
        <x:v>사용성 가이드라인</x:v>
      </x:c>
      <x:c r="G678" s="5" t="str">
        <x:v>11</x:v>
      </x:c>
      <x:c r="H678" s="5" t="n">
        <x:v>1071</x:v>
      </x:c>
      <x:c r="I678" s="5" t="n">
        <x:v>1071</x:v>
      </x:c>
      <x:c r="J678" s="5" t="str">
        <x:v>1082</x:v>
      </x:c>
      <x:c r="K678" s="5" t="str">
        <x:v>기본 정보는 첫 번째 탭에서 확인 가능하도록 제공한다.</x:v>
      </x:c>
      <x:c r="L678" s="5" t="str">
        <x:v>수준 확인 필요</x:v>
      </x:c>
      <x:c r="M678" s="5" t="str">
        <x:v>추출 후 기본 구조 검토; 원문 적용수준·전체 맥락 재확인 필요</x:v>
      </x:c>
      <x:c r="N678" s="5" t="str">
        <x:v>UI-089</x:v>
      </x:c>
      <x:c r="O678" s="5" t="str">
        <x:v>자동 추출 후보 / 공식 전수 체크리스트 아님</x:v>
      </x:c>
    </x:row>
    <x:row r="679" ht="15" hidden="0" customHeight="1">
      <x:c r="A679" s="5" t="str">
        <x:v>KRDS-SEC-094-U-12</x:v>
      </x:c>
      <x:c r="B679" s="5" t="str">
        <x:v>KRDS-SEC-094</x:v>
      </x:c>
      <x:c r="C679" s="5" t="str">
        <x:v>서비스 패턴</x:v>
      </x:c>
      <x:c r="D679" s="5" t="str">
        <x:v>신청</x:v>
      </x:c>
      <x:c r="E679" s="5" t="str">
        <x:v>서비스 정보 확인</x:v>
      </x:c>
      <x:c r="F679" s="5" t="str">
        <x:v>사용성 가이드라인</x:v>
      </x:c>
      <x:c r="G679" s="5" t="str">
        <x:v>12</x:v>
      </x:c>
      <x:c r="H679" s="5" t="n">
        <x:v>1071</x:v>
      </x:c>
      <x:c r="I679" s="5" t="n">
        <x:v>1071</x:v>
      </x:c>
      <x:c r="J679" s="5" t="str">
        <x:v>1083</x:v>
      </x:c>
      <x:c r="K679" s="5" t="str">
        <x:v>부가 정보는 사용자가 필요에 따라 상세 내용을 확인할 수 있게 제공하는 방안을 고려한다.</x:v>
      </x:c>
      <x:c r="L679" s="5" t="str">
        <x:v>수준 확인 필요</x:v>
      </x:c>
      <x:c r="M679" s="5" t="str">
        <x:v>추출 후 기본 구조 검토; 원문 적용수준·전체 맥락 재확인 필요</x:v>
      </x:c>
      <x:c r="N679" s="5" t="str">
        <x:v>UI-089</x:v>
      </x:c>
      <x:c r="O679" s="5" t="str">
        <x:v>자동 추출 후보 / 공식 전수 체크리스트 아님</x:v>
      </x:c>
    </x:row>
    <x:row r="680" ht="15" hidden="0" customHeight="1">
      <x:c r="A680" s="5" t="str">
        <x:v>KRDS-SEC-094-U-13</x:v>
      </x:c>
      <x:c r="B680" s="5" t="str">
        <x:v>KRDS-SEC-094</x:v>
      </x:c>
      <x:c r="C680" s="5" t="str">
        <x:v>서비스 패턴</x:v>
      </x:c>
      <x:c r="D680" s="5" t="str">
        <x:v>신청</x:v>
      </x:c>
      <x:c r="E680" s="5" t="str">
        <x:v>서비스 정보 확인</x:v>
      </x:c>
      <x:c r="F680" s="5" t="str">
        <x:v>사용성 가이드라인</x:v>
      </x:c>
      <x:c r="G680" s="5" t="str">
        <x:v>13</x:v>
      </x:c>
      <x:c r="H680" s="5" t="n">
        <x:v>1071</x:v>
      </x:c>
      <x:c r="I680" s="5" t="n">
        <x:v>1071</x:v>
      </x:c>
      <x:c r="J680" s="5" t="str">
        <x:v>1084</x:v>
      </x:c>
      <x:c r="K680" s="5" t="str">
        <x:v>모든 링크는 실행하였을 때, 링크 레이블에 명시된 적절한 화면으로 이동해야 한다.</x:v>
      </x:c>
      <x:c r="L680" s="5" t="str">
        <x:v>수준 확인 필요</x:v>
      </x:c>
      <x:c r="M680" s="5" t="str">
        <x:v>추출 후 기본 구조 검토; 원문 적용수준·전체 맥락 재확인 필요</x:v>
      </x:c>
      <x:c r="N680" s="5" t="str">
        <x:v>UI-089</x:v>
      </x:c>
      <x:c r="O680" s="5" t="str">
        <x:v>자동 추출 후보 / 공식 전수 체크리스트 아님</x:v>
      </x:c>
    </x:row>
    <x:row r="681" ht="15" hidden="0" customHeight="1">
      <x:c r="A681" s="5" t="str">
        <x:v>KRDS-SEC-094-U-14</x:v>
      </x:c>
      <x:c r="B681" s="5" t="str">
        <x:v>KRDS-SEC-094</x:v>
      </x:c>
      <x:c r="C681" s="5" t="str">
        <x:v>서비스 패턴</x:v>
      </x:c>
      <x:c r="D681" s="5" t="str">
        <x:v>신청</x:v>
      </x:c>
      <x:c r="E681" s="5" t="str">
        <x:v>서비스 정보 확인</x:v>
      </x:c>
      <x:c r="F681" s="5" t="str">
        <x:v>사용성 가이드라인</x:v>
      </x:c>
      <x:c r="G681" s="5" t="str">
        <x:v>14</x:v>
      </x:c>
      <x:c r="H681" s="5" t="n">
        <x:v>1071</x:v>
      </x:c>
      <x:c r="I681" s="5" t="n">
        <x:v>1071</x:v>
      </x:c>
      <x:c r="J681" s="5" t="str">
        <x:v>1085</x:v>
      </x:c>
      <x:c r="K681" s="5" t="str">
        <x:v>목록 이동 버튼을 누르거나 사용자 에이전트에서 뒤로가기 동작을 실행하였을 때 사용자의 탐색 맥락이 유지되어야 한다.</x:v>
      </x:c>
      <x:c r="L681" s="5" t="str">
        <x:v>수준 확인 필요</x:v>
      </x:c>
      <x:c r="M681" s="5" t="str">
        <x:v>추출 후 기본 구조 검토; 원문 적용수준·전체 맥락 재확인 필요</x:v>
      </x:c>
      <x:c r="N681" s="5" t="str">
        <x:v>UI-089</x:v>
      </x:c>
      <x:c r="O681" s="5" t="str">
        <x:v>자동 추출 후보 / 공식 전수 체크리스트 아님</x:v>
      </x:c>
    </x:row>
    <x:row r="682" ht="15" hidden="0" customHeight="1">
      <x:c r="A682" s="5" t="str">
        <x:v>KRDS-SEC-095-U-01</x:v>
      </x:c>
      <x:c r="B682" s="5" t="str">
        <x:v>KRDS-SEC-095</x:v>
      </x:c>
      <x:c r="C682" s="5" t="str">
        <x:v>서비스 패턴</x:v>
      </x:c>
      <x:c r="D682" s="5" t="str">
        <x:v>신청</x:v>
      </x:c>
      <x:c r="E682" s="5" t="str">
        <x:v>유의 사항·자격 확인</x:v>
      </x:c>
      <x:c r="F682" s="5" t="str">
        <x:v>사용성 가이드라인</x:v>
      </x:c>
      <x:c r="G682" s="5" t="str">
        <x:v>01</x:v>
      </x:c>
      <x:c r="H682" s="5" t="n">
        <x:v>1091</x:v>
      </x:c>
      <x:c r="I682" s="5" t="n">
        <x:v>1091</x:v>
      </x:c>
      <x:c r="J682" s="5" t="str">
        <x:v>1092</x:v>
      </x:c>
      <x:c r="K682" s="5" t="str">
        <x:v>유의 사항 및 자격 확인은 신청서 작성 과업의 가장 첫 단계로 제공한다.</x:v>
      </x:c>
      <x:c r="L682" s="5" t="str">
        <x:v>수준 확인 필요</x:v>
      </x:c>
      <x:c r="M682" s="5" t="str">
        <x:v>추출 후 기본 구조 검토; 원문 적용수준·전체 맥락 재확인 필요</x:v>
      </x:c>
      <x:c r="N682" s="5" t="str">
        <x:v>UI-090</x:v>
      </x:c>
      <x:c r="O682" s="5" t="str">
        <x:v>자동 추출 후보 / 공식 전수 체크리스트 아님</x:v>
      </x:c>
    </x:row>
    <x:row r="683" ht="15" hidden="0" customHeight="1">
      <x:c r="A683" s="5" t="str">
        <x:v>KRDS-SEC-095-U-02</x:v>
      </x:c>
      <x:c r="B683" s="5" t="str">
        <x:v>KRDS-SEC-095</x:v>
      </x:c>
      <x:c r="C683" s="5" t="str">
        <x:v>서비스 패턴</x:v>
      </x:c>
      <x:c r="D683" s="5" t="str">
        <x:v>신청</x:v>
      </x:c>
      <x:c r="E683" s="5" t="str">
        <x:v>유의 사항·자격 확인</x:v>
      </x:c>
      <x:c r="F683" s="5" t="str">
        <x:v>사용성 가이드라인</x:v>
      </x:c>
      <x:c r="G683" s="5" t="str">
        <x:v>02</x:v>
      </x:c>
      <x:c r="H683" s="5" t="n">
        <x:v>1091</x:v>
      </x:c>
      <x:c r="I683" s="5" t="n">
        <x:v>1091</x:v>
      </x:c>
      <x:c r="J683" s="5" t="str">
        <x:v>1093</x:v>
      </x:c>
      <x:c r="K683" s="5" t="str">
        <x:v>신청서 작성 중간이나 최종 단계에서 작성을 중단해야 하는 상황에 대해 사용자에게 명확하게 안내한다.</x:v>
      </x:c>
      <x:c r="L683" s="5" t="str">
        <x:v>수준 확인 필요</x:v>
      </x:c>
      <x:c r="M683" s="5" t="str">
        <x:v>추출 후 기본 구조 검토; 원문 적용수준·전체 맥락 재확인 필요</x:v>
      </x:c>
      <x:c r="N683" s="5" t="str">
        <x:v>UI-090</x:v>
      </x:c>
      <x:c r="O683" s="5" t="str">
        <x:v>자동 추출 후보 / 공식 전수 체크리스트 아님</x:v>
      </x:c>
    </x:row>
    <x:row r="684" ht="15" hidden="0" customHeight="1">
      <x:c r="A684" s="5" t="str">
        <x:v>KRDS-SEC-095-U-03</x:v>
      </x:c>
      <x:c r="B684" s="5" t="str">
        <x:v>KRDS-SEC-095</x:v>
      </x:c>
      <x:c r="C684" s="5" t="str">
        <x:v>서비스 패턴</x:v>
      </x:c>
      <x:c r="D684" s="5" t="str">
        <x:v>신청</x:v>
      </x:c>
      <x:c r="E684" s="5" t="str">
        <x:v>유의 사항·자격 확인</x:v>
      </x:c>
      <x:c r="F684" s="5" t="str">
        <x:v>사용성 가이드라인</x:v>
      </x:c>
      <x:c r="G684" s="5" t="str">
        <x:v>03</x:v>
      </x:c>
      <x:c r="H684" s="5" t="n">
        <x:v>1091</x:v>
      </x:c>
      <x:c r="I684" s="5" t="n">
        <x:v>1091</x:v>
      </x:c>
      <x:c r="J684" s="5" t="str">
        <x:v>1094</x:v>
      </x:c>
      <x:c r="K684" s="5" t="str">
        <x:v>중요도와 계층 구조에 따라 정보를 직관적으로 인지할 수 있도록 표현한다.</x:v>
      </x:c>
      <x:c r="L684" s="5" t="str">
        <x:v>수준 확인 필요</x:v>
      </x:c>
      <x:c r="M684" s="5" t="str">
        <x:v>추출 후 기본 구조 검토; 원문 적용수준·전체 맥락 재확인 필요</x:v>
      </x:c>
      <x:c r="N684" s="5" t="str">
        <x:v>UI-090</x:v>
      </x:c>
      <x:c r="O684" s="5" t="str">
        <x:v>자동 추출 후보 / 공식 전수 체크리스트 아님</x:v>
      </x:c>
    </x:row>
    <x:row r="685" ht="15" hidden="0" customHeight="1">
      <x:c r="A685" s="5" t="str">
        <x:v>KRDS-SEC-095-U-04</x:v>
      </x:c>
      <x:c r="B685" s="5" t="str">
        <x:v>KRDS-SEC-095</x:v>
      </x:c>
      <x:c r="C685" s="5" t="str">
        <x:v>서비스 패턴</x:v>
      </x:c>
      <x:c r="D685" s="5" t="str">
        <x:v>신청</x:v>
      </x:c>
      <x:c r="E685" s="5" t="str">
        <x:v>유의 사항·자격 확인</x:v>
      </x:c>
      <x:c r="F685" s="5" t="str">
        <x:v>사용성 가이드라인</x:v>
      </x:c>
      <x:c r="G685" s="5" t="str">
        <x:v>04</x:v>
      </x:c>
      <x:c r="H685" s="5" t="n">
        <x:v>1091</x:v>
      </x:c>
      <x:c r="I685" s="5" t="n">
        <x:v>1091</x:v>
      </x:c>
      <x:c r="J685" s="5" t="str">
        <x:v>1095</x:v>
      </x:c>
      <x:c r="K685" s="5" t="str">
        <x:v>신청서 작성의 단계 중에 필요한 정보, 신청 완료 이후 필요한 정보는 포함하지 않는다.</x:v>
      </x:c>
      <x:c r="L685" s="5" t="str">
        <x:v>수준 확인 필요</x:v>
      </x:c>
      <x:c r="M685" s="5" t="str">
        <x:v>추출 후 기본 구조 검토; 원문 적용수준·전체 맥락 재확인 필요</x:v>
      </x:c>
      <x:c r="N685" s="5" t="str">
        <x:v>UI-090</x:v>
      </x:c>
      <x:c r="O685" s="5" t="str">
        <x:v>자동 추출 후보 / 공식 전수 체크리스트 아님</x:v>
      </x:c>
    </x:row>
    <x:row r="686" ht="15" hidden="0" customHeight="1">
      <x:c r="A686" s="5" t="str">
        <x:v>KRDS-SEC-096-U-01</x:v>
      </x:c>
      <x:c r="B686" s="5" t="str">
        <x:v>KRDS-SEC-096</x:v>
      </x:c>
      <x:c r="C686" s="5" t="str">
        <x:v>서비스 패턴</x:v>
      </x:c>
      <x:c r="D686" s="5" t="str">
        <x:v>신청</x:v>
      </x:c>
      <x:c r="E686" s="5" t="str">
        <x:v>신청서 작성</x:v>
      </x:c>
      <x:c r="F686" s="5" t="str">
        <x:v>사용성 가이드라인</x:v>
      </x:c>
      <x:c r="G686" s="5" t="str">
        <x:v>01</x:v>
      </x:c>
      <x:c r="H686" s="5" t="n">
        <x:v>1099</x:v>
      </x:c>
      <x:c r="I686" s="5" t="n">
        <x:v>1099</x:v>
      </x:c>
      <x:c r="J686" s="5" t="str">
        <x:v>1100</x:v>
      </x:c>
      <x:c r="K686" s="5" t="str">
        <x:v>한 단계 내에서의 신청 서식 섹션을 탭이나 아코디언으로 구분하지 않는다.</x:v>
      </x:c>
      <x:c r="L686" s="5" t="str">
        <x:v>수준 확인 필요</x:v>
      </x:c>
      <x:c r="M686" s="5" t="str">
        <x:v>추출 후 기본 구조 검토; 원문 적용수준·전체 맥락 재확인 필요</x:v>
      </x:c>
      <x:c r="N686" s="5" t="str">
        <x:v>UI-091</x:v>
      </x:c>
      <x:c r="O686" s="5" t="str">
        <x:v>자동 추출 후보 / 공식 전수 체크리스트 아님</x:v>
      </x:c>
    </x:row>
    <x:row r="687" ht="15" hidden="0" customHeight="1">
      <x:c r="A687" s="5" t="str">
        <x:v>KRDS-SEC-096-U-02</x:v>
      </x:c>
      <x:c r="B687" s="5" t="str">
        <x:v>KRDS-SEC-096</x:v>
      </x:c>
      <x:c r="C687" s="5" t="str">
        <x:v>서비스 패턴</x:v>
      </x:c>
      <x:c r="D687" s="5" t="str">
        <x:v>신청</x:v>
      </x:c>
      <x:c r="E687" s="5" t="str">
        <x:v>신청서 작성</x:v>
      </x:c>
      <x:c r="F687" s="5" t="str">
        <x:v>사용성 가이드라인</x:v>
      </x:c>
      <x:c r="G687" s="5" t="str">
        <x:v>02</x:v>
      </x:c>
      <x:c r="H687" s="5" t="n">
        <x:v>1099</x:v>
      </x:c>
      <x:c r="I687" s="5" t="n">
        <x:v>1099</x:v>
      </x:c>
      <x:c r="J687" s="5" t="str">
        <x:v>1101</x:v>
      </x:c>
      <x:c r="K687" s="5" t="str">
        <x:v>값의 변경이 이전에 작성한 항목 또는 이전 단계에 영향을 미치는 경우, 이전 입력 항목 또는 이전 단계에 포함시킨다.</x:v>
      </x:c>
      <x:c r="L687" s="5" t="str">
        <x:v>수준 확인 필요</x:v>
      </x:c>
      <x:c r="M687" s="5" t="str">
        <x:v>추출 후 기본 구조 검토; 원문 적용수준·전체 맥락 재확인 필요</x:v>
      </x:c>
      <x:c r="N687" s="5" t="str">
        <x:v>UI-091</x:v>
      </x:c>
      <x:c r="O687" s="5" t="str">
        <x:v>자동 추출 후보 / 공식 전수 체크리스트 아님</x:v>
      </x:c>
    </x:row>
    <x:row r="688" ht="15" hidden="0" customHeight="1">
      <x:c r="A688" s="5" t="str">
        <x:v>KRDS-SEC-096-U-03</x:v>
      </x:c>
      <x:c r="B688" s="5" t="str">
        <x:v>KRDS-SEC-096</x:v>
      </x:c>
      <x:c r="C688" s="5" t="str">
        <x:v>서비스 패턴</x:v>
      </x:c>
      <x:c r="D688" s="5" t="str">
        <x:v>신청</x:v>
      </x:c>
      <x:c r="E688" s="5" t="str">
        <x:v>신청서 작성</x:v>
      </x:c>
      <x:c r="F688" s="5" t="str">
        <x:v>사용성 가이드라인</x:v>
      </x:c>
      <x:c r="G688" s="5" t="str">
        <x:v>03</x:v>
      </x:c>
      <x:c r="H688" s="5" t="n">
        <x:v>1099</x:v>
      </x:c>
      <x:c r="I688" s="5" t="n">
        <x:v>1099</x:v>
      </x:c>
      <x:c r="J688" s="5" t="str">
        <x:v>1102</x:v>
      </x:c>
      <x:c r="K688" s="5" t="str">
        <x:v>값의 변경이 이전에 작성한 항목 또는 이전 단계에 영향을 미치는 상황에 대해 사용자에게 안내해야 한다.</x:v>
      </x:c>
      <x:c r="L688" s="5" t="str">
        <x:v>수준 확인 필요</x:v>
      </x:c>
      <x:c r="M688" s="5" t="str">
        <x:v>추출 후 기본 구조 검토; 원문 적용수준·전체 맥락 재확인 필요</x:v>
      </x:c>
      <x:c r="N688" s="5" t="str">
        <x:v>UI-091</x:v>
      </x:c>
      <x:c r="O688" s="5" t="str">
        <x:v>자동 추출 후보 / 공식 전수 체크리스트 아님</x:v>
      </x:c>
    </x:row>
    <x:row r="689" ht="15" hidden="0" customHeight="1">
      <x:c r="A689" s="5" t="str">
        <x:v>KRDS-SEC-096-U-04</x:v>
      </x:c>
      <x:c r="B689" s="5" t="str">
        <x:v>KRDS-SEC-096</x:v>
      </x:c>
      <x:c r="C689" s="5" t="str">
        <x:v>서비스 패턴</x:v>
      </x:c>
      <x:c r="D689" s="5" t="str">
        <x:v>신청</x:v>
      </x:c>
      <x:c r="E689" s="5" t="str">
        <x:v>신청서 작성</x:v>
      </x:c>
      <x:c r="F689" s="5" t="str">
        <x:v>사용성 가이드라인</x:v>
      </x:c>
      <x:c r="G689" s="5" t="str">
        <x:v>04</x:v>
      </x:c>
      <x:c r="H689" s="5" t="n">
        <x:v>1099</x:v>
      </x:c>
      <x:c r="I689" s="5" t="n">
        <x:v>1099</x:v>
      </x:c>
      <x:c r="J689" s="5" t="str">
        <x:v>1103</x:v>
      </x:c>
      <x:c r="K689" s="5" t="str">
        <x:v>행정정보 공동이용 시스템을 활용하여 사용자의 구비서류 첨부를 최소화한다.</x:v>
      </x:c>
      <x:c r="L689" s="5" t="str">
        <x:v>수준 확인 필요</x:v>
      </x:c>
      <x:c r="M689" s="5" t="str">
        <x:v>추출 후 기본 구조 검토; 원문 적용수준·전체 맥락 재확인 필요</x:v>
      </x:c>
      <x:c r="N689" s="5" t="str">
        <x:v>UI-091</x:v>
      </x:c>
      <x:c r="O689" s="5" t="str">
        <x:v>자동 추출 후보 / 공식 전수 체크리스트 아님</x:v>
      </x:c>
    </x:row>
    <x:row r="690" ht="15" hidden="0" customHeight="1">
      <x:c r="A690" s="5" t="str">
        <x:v>KRDS-SEC-096-U-05</x:v>
      </x:c>
      <x:c r="B690" s="5" t="str">
        <x:v>KRDS-SEC-096</x:v>
      </x:c>
      <x:c r="C690" s="5" t="str">
        <x:v>서비스 패턴</x:v>
      </x:c>
      <x:c r="D690" s="5" t="str">
        <x:v>신청</x:v>
      </x:c>
      <x:c r="E690" s="5" t="str">
        <x:v>신청서 작성</x:v>
      </x:c>
      <x:c r="F690" s="5" t="str">
        <x:v>사용성 가이드라인</x:v>
      </x:c>
      <x:c r="G690" s="5" t="str">
        <x:v>05</x:v>
      </x:c>
      <x:c r="H690" s="5" t="n">
        <x:v>1099</x:v>
      </x:c>
      <x:c r="I690" s="5" t="n">
        <x:v>1099</x:v>
      </x:c>
      <x:c r="J690" s="5" t="str">
        <x:v>1104</x:v>
      </x:c>
      <x:c r="K690" s="5" t="str">
        <x:v>여러 단계로 구성되어 있거나 작성에 시간이 걸리는 신청서 작성 과정에 임시 저장 기능을 제공한다.</x:v>
      </x:c>
      <x:c r="L690" s="5" t="str">
        <x:v>수준 확인 필요</x:v>
      </x:c>
      <x:c r="M690" s="5" t="str">
        <x:v>추출 후 기본 구조 검토; 원문 적용수준·전체 맥락 재확인 필요</x:v>
      </x:c>
      <x:c r="N690" s="5" t="str">
        <x:v>UI-091</x:v>
      </x:c>
      <x:c r="O690" s="5" t="str">
        <x:v>자동 추출 후보 / 공식 전수 체크리스트 아님</x:v>
      </x:c>
    </x:row>
    <x:row r="691" ht="15" hidden="0" customHeight="1">
      <x:c r="A691" s="5" t="str">
        <x:v>KRDS-SEC-096-U-06</x:v>
      </x:c>
      <x:c r="B691" s="5" t="str">
        <x:v>KRDS-SEC-096</x:v>
      </x:c>
      <x:c r="C691" s="5" t="str">
        <x:v>서비스 패턴</x:v>
      </x:c>
      <x:c r="D691" s="5" t="str">
        <x:v>신청</x:v>
      </x:c>
      <x:c r="E691" s="5" t="str">
        <x:v>신청서 작성</x:v>
      </x:c>
      <x:c r="F691" s="5" t="str">
        <x:v>사용성 가이드라인</x:v>
      </x:c>
      <x:c r="G691" s="5" t="str">
        <x:v>06</x:v>
      </x:c>
      <x:c r="H691" s="5" t="n">
        <x:v>1099</x:v>
      </x:c>
      <x:c r="I691" s="5" t="n">
        <x:v>1099</x:v>
      </x:c>
      <x:c r="J691" s="5" t="str">
        <x:v>1105</x:v>
      </x:c>
      <x:c r="K691" s="5" t="str">
        <x:v>입력 항목에 대한 레이블에 설명을 제공한다.</x:v>
      </x:c>
      <x:c r="L691" s="5" t="str">
        <x:v>수준 확인 필요</x:v>
      </x:c>
      <x:c r="M691" s="5" t="str">
        <x:v>추출 후 기본 구조 검토; 원문 적용수준·전체 맥락 재확인 필요</x:v>
      </x:c>
      <x:c r="N691" s="5" t="str">
        <x:v>UI-091</x:v>
      </x:c>
      <x:c r="O691" s="5" t="str">
        <x:v>자동 추출 후보 / 공식 전수 체크리스트 아님</x:v>
      </x:c>
    </x:row>
    <x:row r="692" ht="15" hidden="0" customHeight="1">
      <x:c r="A692" s="5" t="str">
        <x:v>KRDS-SEC-096-U-07</x:v>
      </x:c>
      <x:c r="B692" s="5" t="str">
        <x:v>KRDS-SEC-096</x:v>
      </x:c>
      <x:c r="C692" s="5" t="str">
        <x:v>서비스 패턴</x:v>
      </x:c>
      <x:c r="D692" s="5" t="str">
        <x:v>신청</x:v>
      </x:c>
      <x:c r="E692" s="5" t="str">
        <x:v>신청서 작성</x:v>
      </x:c>
      <x:c r="F692" s="5" t="str">
        <x:v>사용성 가이드라인</x:v>
      </x:c>
      <x:c r="G692" s="5" t="str">
        <x:v>07</x:v>
      </x:c>
      <x:c r="H692" s="5" t="n">
        <x:v>1099</x:v>
      </x:c>
      <x:c r="I692" s="5" t="n">
        <x:v>1099</x:v>
      </x:c>
      <x:c r="J692" s="5" t="str">
        <x:v>1106</x:v>
      </x:c>
      <x:c r="K692" s="5" t="str">
        <x:v>신청서 작성에 대해 도움받을 수 있는 다양한 수단을 제공한다.</x:v>
      </x:c>
      <x:c r="L692" s="5" t="str">
        <x:v>수준 확인 필요</x:v>
      </x:c>
      <x:c r="M692" s="5" t="str">
        <x:v>추출 후 기본 구조 검토; 원문 적용수준·전체 맥락 재확인 필요</x:v>
      </x:c>
      <x:c r="N692" s="5" t="str">
        <x:v>UI-091</x:v>
      </x:c>
      <x:c r="O692" s="5" t="str">
        <x:v>자동 추출 후보 / 공식 전수 체크리스트 아님</x:v>
      </x:c>
    </x:row>
    <x:row r="693" ht="15" hidden="0" customHeight="1">
      <x:c r="A693" s="5" t="str">
        <x:v>KRDS-SEC-096-U-08</x:v>
      </x:c>
      <x:c r="B693" s="5" t="str">
        <x:v>KRDS-SEC-096</x:v>
      </x:c>
      <x:c r="C693" s="5" t="str">
        <x:v>서비스 패턴</x:v>
      </x:c>
      <x:c r="D693" s="5" t="str">
        <x:v>신청</x:v>
      </x:c>
      <x:c r="E693" s="5" t="str">
        <x:v>신청서 작성</x:v>
      </x:c>
      <x:c r="F693" s="5" t="str">
        <x:v>사용성 가이드라인</x:v>
      </x:c>
      <x:c r="G693" s="5" t="str">
        <x:v>08</x:v>
      </x:c>
      <x:c r="H693" s="5" t="n">
        <x:v>1099</x:v>
      </x:c>
      <x:c r="I693" s="5" t="n">
        <x:v>1099</x:v>
      </x:c>
      <x:c r="J693" s="5" t="str">
        <x:v>1107</x:v>
      </x:c>
      <x:c r="K693" s="5" t="str">
        <x:v>도움말은 이용 맥락에 맞게 제공한다.</x:v>
      </x:c>
      <x:c r="L693" s="5" t="str">
        <x:v>수준 확인 필요</x:v>
      </x:c>
      <x:c r="M693" s="5" t="str">
        <x:v>추출 후 기본 구조 검토; 원문 적용수준·전체 맥락 재확인 필요</x:v>
      </x:c>
      <x:c r="N693" s="5" t="str">
        <x:v>UI-091</x:v>
      </x:c>
      <x:c r="O693" s="5" t="str">
        <x:v>자동 추출 후보 / 공식 전수 체크리스트 아님</x:v>
      </x:c>
    </x:row>
    <x:row r="694" ht="15" hidden="0" customHeight="1">
      <x:c r="A694" s="5" t="str">
        <x:v>KRDS-SEC-096-U-09</x:v>
      </x:c>
      <x:c r="B694" s="5" t="str">
        <x:v>KRDS-SEC-096</x:v>
      </x:c>
      <x:c r="C694" s="5" t="str">
        <x:v>서비스 패턴</x:v>
      </x:c>
      <x:c r="D694" s="5" t="str">
        <x:v>신청</x:v>
      </x:c>
      <x:c r="E694" s="5" t="str">
        <x:v>신청서 작성</x:v>
      </x:c>
      <x:c r="F694" s="5" t="str">
        <x:v>사용성 가이드라인</x:v>
      </x:c>
      <x:c r="G694" s="5" t="str">
        <x:v>09</x:v>
      </x:c>
      <x:c r="H694" s="5" t="n">
        <x:v>1099</x:v>
      </x:c>
      <x:c r="I694" s="5" t="n">
        <x:v>1099</x:v>
      </x:c>
      <x:c r="J694" s="5" t="str">
        <x:v>1108</x:v>
      </x:c>
      <x:c r="K694" s="5" t="str">
        <x:v>도움말은 정확한 내용으로 제공한다.</x:v>
      </x:c>
      <x:c r="L694" s="5" t="str">
        <x:v>수준 확인 필요</x:v>
      </x:c>
      <x:c r="M694" s="5" t="str">
        <x:v>추출 후 기본 구조 검토; 원문 적용수준·전체 맥락 재확인 필요</x:v>
      </x:c>
      <x:c r="N694" s="5" t="str">
        <x:v>UI-091</x:v>
      </x:c>
      <x:c r="O694" s="5" t="str">
        <x:v>자동 추출 후보 / 공식 전수 체크리스트 아님</x:v>
      </x:c>
    </x:row>
    <x:row r="695" ht="15" hidden="0" customHeight="1">
      <x:c r="A695" s="5" t="str">
        <x:v>KRDS-SEC-096-U-10</x:v>
      </x:c>
      <x:c r="B695" s="5" t="str">
        <x:v>KRDS-SEC-096</x:v>
      </x:c>
      <x:c r="C695" s="5" t="str">
        <x:v>서비스 패턴</x:v>
      </x:c>
      <x:c r="D695" s="5" t="str">
        <x:v>신청</x:v>
      </x:c>
      <x:c r="E695" s="5" t="str">
        <x:v>신청서 작성</x:v>
      </x:c>
      <x:c r="F695" s="5" t="str">
        <x:v>사용성 가이드라인</x:v>
      </x:c>
      <x:c r="G695" s="5" t="str">
        <x:v>10</x:v>
      </x:c>
      <x:c r="H695" s="5" t="n">
        <x:v>1099</x:v>
      </x:c>
      <x:c r="I695" s="5" t="n">
        <x:v>1099</x:v>
      </x:c>
      <x:c r="J695" s="5" t="str">
        <x:v>1109</x:v>
      </x:c>
      <x:c r="K695" s="5" t="str">
        <x:v>초기화 버튼은 다른 버튼과 명확하게 구분한다.</x:v>
      </x:c>
      <x:c r="L695" s="5" t="str">
        <x:v>수준 확인 필요</x:v>
      </x:c>
      <x:c r="M695" s="5" t="str">
        <x:v>추출 후 기본 구조 검토; 원문 적용수준·전체 맥락 재확인 필요</x:v>
      </x:c>
      <x:c r="N695" s="5" t="str">
        <x:v>UI-091</x:v>
      </x:c>
      <x:c r="O695" s="5" t="str">
        <x:v>자동 추출 후보 / 공식 전수 체크리스트 아님</x:v>
      </x:c>
    </x:row>
    <x:row r="696" ht="15" hidden="0" customHeight="1">
      <x:c r="A696" s="5" t="str">
        <x:v>KRDS-SEC-096-A-01</x:v>
      </x:c>
      <x:c r="B696" s="5" t="str">
        <x:v>KRDS-SEC-096</x:v>
      </x:c>
      <x:c r="C696" s="5" t="str">
        <x:v>서비스 패턴</x:v>
      </x:c>
      <x:c r="D696" s="5" t="str">
        <x:v>신청</x:v>
      </x:c>
      <x:c r="E696" s="5" t="str">
        <x:v>신청서 작성</x:v>
      </x:c>
      <x:c r="F696" s="5" t="str">
        <x:v>접근성 가이드라인</x:v>
      </x:c>
      <x:c r="G696" s="5" t="str">
        <x:v>01</x:v>
      </x:c>
      <x:c r="H696" s="5" t="n">
        <x:v>1110</x:v>
      </x:c>
      <x:c r="I696" s="5" t="n">
        <x:v>1110</x:v>
      </x:c>
      <x:c r="J696" s="5" t="str"/>
      <x:c r="K696" s="5" t="str">
        <x:v>현재 단계를 스크린 리더로 확인할 수 있도록 한다.</x:v>
      </x:c>
      <x:c r="L696" s="5" t="str">
        <x:v>원문 세부기준</x:v>
      </x:c>
      <x:c r="M696" s="5" t="str">
        <x:v>추출 후 기본 구조 검토; 원문 적용수준·전체 맥락 재확인 필요</x:v>
      </x:c>
      <x:c r="N696" s="5" t="str">
        <x:v>UI-091</x:v>
      </x:c>
      <x:c r="O696" s="5" t="str">
        <x:v>자동 추출 후보 / 공식 전수 체크리스트 아님</x:v>
      </x:c>
    </x:row>
    <x:row r="697" ht="15" hidden="0" customHeight="1">
      <x:c r="A697" s="5" t="str">
        <x:v>KRDS-SEC-096-A-02</x:v>
      </x:c>
      <x:c r="B697" s="5" t="str">
        <x:v>KRDS-SEC-096</x:v>
      </x:c>
      <x:c r="C697" s="5" t="str">
        <x:v>서비스 패턴</x:v>
      </x:c>
      <x:c r="D697" s="5" t="str">
        <x:v>신청</x:v>
      </x:c>
      <x:c r="E697" s="5" t="str">
        <x:v>신청서 작성</x:v>
      </x:c>
      <x:c r="F697" s="5" t="str">
        <x:v>접근성 가이드라인</x:v>
      </x:c>
      <x:c r="G697" s="5" t="str">
        <x:v>02</x:v>
      </x:c>
      <x:c r="H697" s="5" t="n">
        <x:v>1110</x:v>
      </x:c>
      <x:c r="I697" s="5" t="n">
        <x:v>1110</x:v>
      </x:c>
      <x:c r="J697" s="5" t="str"/>
      <x:c r="K697" s="5" t="str">
        <x:v>신청서 섹션에 제목을 제공하고 프로그램적으로 탐지할 수 있도록 한다.</x:v>
      </x:c>
      <x:c r="L697" s="5" t="str">
        <x:v>원문 세부기준</x:v>
      </x:c>
      <x:c r="M697" s="5" t="str">
        <x:v>추출 후 기본 구조 검토; 원문 적용수준·전체 맥락 재확인 필요</x:v>
      </x:c>
      <x:c r="N697" s="5" t="str">
        <x:v>UI-091</x:v>
      </x:c>
      <x:c r="O697" s="5" t="str">
        <x:v>자동 추출 후보 / 공식 전수 체크리스트 아님</x:v>
      </x:c>
    </x:row>
    <x:row r="698" ht="26.399999618530273" hidden="0" customHeight="1">
      <x:c r="A698" s="5" t="str">
        <x:v>KRDS-SEC-097-U-01</x:v>
      </x:c>
      <x:c r="B698" s="5" t="str">
        <x:v>KRDS-SEC-097</x:v>
      </x:c>
      <x:c r="C698" s="5" t="str">
        <x:v>서비스 패턴</x:v>
      </x:c>
      <x:c r="D698" s="5" t="str">
        <x:v>신청</x:v>
      </x:c>
      <x:c r="E698" s="5" t="str">
        <x:v>확인·확정</x:v>
      </x:c>
      <x:c r="F698" s="5" t="str">
        <x:v>사용성 가이드라인</x:v>
      </x:c>
      <x:c r="G698" s="5" t="str">
        <x:v>01</x:v>
      </x:c>
      <x:c r="H698" s="5" t="n">
        <x:v>1115</x:v>
      </x:c>
      <x:c r="I698" s="5" t="n">
        <x:v>1115</x:v>
      </x:c>
      <x:c r="J698" s="5" t="str">
        <x:v>1116</x:v>
      </x:c>
      <x:c r="K698" s="5" t="str">
        <x:v>신청 취소/철회, 제출된 신청 서식 수정이 불가능한 경우 확인·확정 단계를 포함해야 한다.</x:v>
      </x:c>
      <x:c r="L698" s="5" t="str">
        <x:v>수준 확인 필요</x:v>
      </x:c>
      <x:c r="M698" s="5" t="str">
        <x:v>추출 후 기본 구조 검토; 원문 적용수준·전체 맥락 재확인 필요</x:v>
      </x:c>
      <x:c r="N698" s="5" t="str">
        <x:v>UI-092
UI-124</x:v>
      </x:c>
      <x:c r="O698" s="5" t="str">
        <x:v>자동 추출 후보 / 공식 전수 체크리스트 아님</x:v>
      </x:c>
    </x:row>
    <x:row r="699" ht="26.399999618530273" hidden="0" customHeight="1">
      <x:c r="A699" s="5" t="str">
        <x:v>KRDS-SEC-097-U-02</x:v>
      </x:c>
      <x:c r="B699" s="5" t="str">
        <x:v>KRDS-SEC-097</x:v>
      </x:c>
      <x:c r="C699" s="5" t="str">
        <x:v>서비스 패턴</x:v>
      </x:c>
      <x:c r="D699" s="5" t="str">
        <x:v>신청</x:v>
      </x:c>
      <x:c r="E699" s="5" t="str">
        <x:v>확인·확정</x:v>
      </x:c>
      <x:c r="F699" s="5" t="str">
        <x:v>사용성 가이드라인</x:v>
      </x:c>
      <x:c r="G699" s="5" t="str">
        <x:v>02</x:v>
      </x:c>
      <x:c r="H699" s="5" t="n">
        <x:v>1115</x:v>
      </x:c>
      <x:c r="I699" s="5" t="n">
        <x:v>1115</x:v>
      </x:c>
      <x:c r="J699" s="5" t="str">
        <x:v>1117</x:v>
      </x:c>
      <x:c r="K699" s="5" t="str">
        <x:v>작성한 내용 중 핵심 정보를 요약하여 제공한다.</x:v>
      </x:c>
      <x:c r="L699" s="5" t="str">
        <x:v>수준 확인 필요</x:v>
      </x:c>
      <x:c r="M699" s="5" t="str">
        <x:v>추출 후 기본 구조 검토; 원문 적용수준·전체 맥락 재확인 필요</x:v>
      </x:c>
      <x:c r="N699" s="5" t="str">
        <x:v>UI-092
UI-124</x:v>
      </x:c>
      <x:c r="O699" s="5" t="str">
        <x:v>자동 추출 후보 / 공식 전수 체크리스트 아님</x:v>
      </x:c>
    </x:row>
    <x:row r="700" ht="26.399999618530273" hidden="0" customHeight="1">
      <x:c r="A700" s="5" t="str">
        <x:v>KRDS-SEC-097-U-03</x:v>
      </x:c>
      <x:c r="B700" s="5" t="str">
        <x:v>KRDS-SEC-097</x:v>
      </x:c>
      <x:c r="C700" s="5" t="str">
        <x:v>서비스 패턴</x:v>
      </x:c>
      <x:c r="D700" s="5" t="str">
        <x:v>신청</x:v>
      </x:c>
      <x:c r="E700" s="5" t="str">
        <x:v>확인·확정</x:v>
      </x:c>
      <x:c r="F700" s="5" t="str">
        <x:v>사용성 가이드라인</x:v>
      </x:c>
      <x:c r="G700" s="5" t="str">
        <x:v>03</x:v>
      </x:c>
      <x:c r="H700" s="5" t="n">
        <x:v>1115</x:v>
      </x:c>
      <x:c r="I700" s="5" t="n">
        <x:v>1115</x:v>
      </x:c>
      <x:c r="J700" s="5" t="str">
        <x:v>1118</x:v>
      </x:c>
      <x:c r="K700" s="5" t="str">
        <x:v>취소/수정 불가한 사항에 대해 사용자에게 명확하게 안내해야 한다.</x:v>
      </x:c>
      <x:c r="L700" s="5" t="str">
        <x:v>수준 확인 필요</x:v>
      </x:c>
      <x:c r="M700" s="5" t="str">
        <x:v>추출 후 기본 구조 검토; 원문 적용수준·전체 맥락 재확인 필요</x:v>
      </x:c>
      <x:c r="N700" s="5" t="str">
        <x:v>UI-092
UI-124</x:v>
      </x:c>
      <x:c r="O700" s="5" t="str">
        <x:v>자동 추출 후보 / 공식 전수 체크리스트 아님</x:v>
      </x:c>
    </x:row>
    <x:row r="701" ht="26.399999618530273" hidden="0" customHeight="1">
      <x:c r="A701" s="5" t="str">
        <x:v>KRDS-SEC-097-U-04</x:v>
      </x:c>
      <x:c r="B701" s="5" t="str">
        <x:v>KRDS-SEC-097</x:v>
      </x:c>
      <x:c r="C701" s="5" t="str">
        <x:v>서비스 패턴</x:v>
      </x:c>
      <x:c r="D701" s="5" t="str">
        <x:v>신청</x:v>
      </x:c>
      <x:c r="E701" s="5" t="str">
        <x:v>확인·확정</x:v>
      </x:c>
      <x:c r="F701" s="5" t="str">
        <x:v>사용성 가이드라인</x:v>
      </x:c>
      <x:c r="G701" s="5" t="str">
        <x:v>04</x:v>
      </x:c>
      <x:c r="H701" s="5" t="n">
        <x:v>1115</x:v>
      </x:c>
      <x:c r="I701" s="5" t="n">
        <x:v>1115</x:v>
      </x:c>
      <x:c r="J701" s="5" t="str">
        <x:v>1119</x:v>
      </x:c>
      <x:c r="K701" s="5" t="str">
        <x:v>행동을 확정, 취소할 수 있는 버튼을 모두 제공한다.</x:v>
      </x:c>
      <x:c r="L701" s="5" t="str">
        <x:v>수준 확인 필요</x:v>
      </x:c>
      <x:c r="M701" s="5" t="str">
        <x:v>추출 후 기본 구조 검토; 원문 적용수준·전체 맥락 재확인 필요</x:v>
      </x:c>
      <x:c r="N701" s="5" t="str">
        <x:v>UI-092
UI-124</x:v>
      </x:c>
      <x:c r="O701" s="5" t="str">
        <x:v>자동 추출 후보 / 공식 전수 체크리스트 아님</x:v>
      </x:c>
    </x:row>
    <x:row r="702" ht="15" hidden="0" customHeight="1">
      <x:c r="A702" s="5" t="str">
        <x:v>KRDS-SEC-098-U-01</x:v>
      </x:c>
      <x:c r="B702" s="5" t="str">
        <x:v>KRDS-SEC-098</x:v>
      </x:c>
      <x:c r="C702" s="5" t="str">
        <x:v>서비스 패턴</x:v>
      </x:c>
      <x:c r="D702" s="5" t="str">
        <x:v>신청</x:v>
      </x:c>
      <x:c r="E702" s="5" t="str">
        <x:v>완료</x:v>
      </x:c>
      <x:c r="F702" s="5" t="str">
        <x:v>사용성 가이드라인</x:v>
      </x:c>
      <x:c r="G702" s="5" t="str">
        <x:v>01</x:v>
      </x:c>
      <x:c r="H702" s="5" t="n">
        <x:v>1123</x:v>
      </x:c>
      <x:c r="I702" s="5" t="n">
        <x:v>1123</x:v>
      </x:c>
      <x:c r="J702" s="5" t="str">
        <x:v>1124</x:v>
      </x:c>
      <x:c r="K702" s="5" t="str">
        <x:v>모든 신청 과업에는 완료 단계를 제공한다.</x:v>
      </x:c>
      <x:c r="L702" s="5" t="str">
        <x:v>수준 확인 필요</x:v>
      </x:c>
      <x:c r="M702" s="5" t="str">
        <x:v>추출 후 기본 구조 검토; 원문 적용수준·전체 맥락 재확인 필요</x:v>
      </x:c>
      <x:c r="N702" s="5" t="str">
        <x:v>UI-093</x:v>
      </x:c>
      <x:c r="O702" s="5" t="str">
        <x:v>자동 추출 후보 / 공식 전수 체크리스트 아님</x:v>
      </x:c>
    </x:row>
    <x:row r="703" ht="15" hidden="0" customHeight="1">
      <x:c r="A703" s="5" t="str">
        <x:v>KRDS-SEC-098-U-02</x:v>
      </x:c>
      <x:c r="B703" s="5" t="str">
        <x:v>KRDS-SEC-098</x:v>
      </x:c>
      <x:c r="C703" s="5" t="str">
        <x:v>서비스 패턴</x:v>
      </x:c>
      <x:c r="D703" s="5" t="str">
        <x:v>신청</x:v>
      </x:c>
      <x:c r="E703" s="5" t="str">
        <x:v>완료</x:v>
      </x:c>
      <x:c r="F703" s="5" t="str">
        <x:v>사용성 가이드라인</x:v>
      </x:c>
      <x:c r="G703" s="5" t="str">
        <x:v>02</x:v>
      </x:c>
      <x:c r="H703" s="5" t="n">
        <x:v>1123</x:v>
      </x:c>
      <x:c r="I703" s="5" t="n">
        <x:v>1123</x:v>
      </x:c>
      <x:c r="J703" s="5" t="str">
        <x:v>1125</x:v>
      </x:c>
      <x:c r="K703" s="5" t="str">
        <x:v>작성한 내용 중 핵심 정보를 요약하여 제공한다.</x:v>
      </x:c>
      <x:c r="L703" s="5" t="str">
        <x:v>수준 확인 필요</x:v>
      </x:c>
      <x:c r="M703" s="5" t="str">
        <x:v>추출 후 기본 구조 검토; 원문 적용수준·전체 맥락 재확인 필요</x:v>
      </x:c>
      <x:c r="N703" s="5" t="str">
        <x:v>UI-093</x:v>
      </x:c>
      <x:c r="O703" s="5" t="str">
        <x:v>자동 추출 후보 / 공식 전수 체크리스트 아님</x:v>
      </x:c>
    </x:row>
    <x:row r="704" ht="15" hidden="0" customHeight="1">
      <x:c r="A704" s="5" t="str">
        <x:v>KRDS-SEC-098-U-03</x:v>
      </x:c>
      <x:c r="B704" s="5" t="str">
        <x:v>KRDS-SEC-098</x:v>
      </x:c>
      <x:c r="C704" s="5" t="str">
        <x:v>서비스 패턴</x:v>
      </x:c>
      <x:c r="D704" s="5" t="str">
        <x:v>신청</x:v>
      </x:c>
      <x:c r="E704" s="5" t="str">
        <x:v>완료</x:v>
      </x:c>
      <x:c r="F704" s="5" t="str">
        <x:v>사용성 가이드라인</x:v>
      </x:c>
      <x:c r="G704" s="5" t="str">
        <x:v>03</x:v>
      </x:c>
      <x:c r="H704" s="5" t="n">
        <x:v>1123</x:v>
      </x:c>
      <x:c r="I704" s="5" t="n">
        <x:v>1123</x:v>
      </x:c>
      <x:c r="J704" s="5" t="str">
        <x:v>1126</x:v>
      </x:c>
      <x:c r="K704" s="5" t="str">
        <x:v>신청 결과를 확인할 수 있는 화면으로 연결된 링크를 제공한다.</x:v>
      </x:c>
      <x:c r="L704" s="5" t="str">
        <x:v>수준 확인 필요</x:v>
      </x:c>
      <x:c r="M704" s="5" t="str">
        <x:v>추출 후 기본 구조 검토; 원문 적용수준·전체 맥락 재확인 필요</x:v>
      </x:c>
      <x:c r="N704" s="5" t="str">
        <x:v>UI-093</x:v>
      </x:c>
      <x:c r="O704" s="5" t="str">
        <x:v>자동 추출 후보 / 공식 전수 체크리스트 아님</x:v>
      </x:c>
    </x:row>
    <x:row r="705" ht="15" hidden="0" customHeight="1">
      <x:c r="A705" s="5" t="str">
        <x:v>KRDS-SEC-098-U-04</x:v>
      </x:c>
      <x:c r="B705" s="5" t="str">
        <x:v>KRDS-SEC-098</x:v>
      </x:c>
      <x:c r="C705" s="5" t="str">
        <x:v>서비스 패턴</x:v>
      </x:c>
      <x:c r="D705" s="5" t="str">
        <x:v>신청</x:v>
      </x:c>
      <x:c r="E705" s="5" t="str">
        <x:v>완료</x:v>
      </x:c>
      <x:c r="F705" s="5" t="str">
        <x:v>사용성 가이드라인</x:v>
      </x:c>
      <x:c r="G705" s="5" t="str">
        <x:v>04</x:v>
      </x:c>
      <x:c r="H705" s="5" t="n">
        <x:v>1123</x:v>
      </x:c>
      <x:c r="I705" s="5" t="n">
        <x:v>1123</x:v>
      </x:c>
      <x:c r="J705" s="5" t="str">
        <x:v>1127</x:v>
      </x:c>
      <x:c r="K705" s="5" t="str">
        <x:v>사용자가 빈번하게 동일한 신청 서비스를 연속적으로 이용하는 경우, 같은 작업을 다시 수행할 수 있는 버튼을 제공한다.</x:v>
      </x:c>
      <x:c r="L705" s="5" t="str">
        <x:v>수준 확인 필요</x:v>
      </x:c>
      <x:c r="M705" s="5" t="str">
        <x:v>추출 후 기본 구조 검토; 원문 적용수준·전체 맥락 재확인 필요</x:v>
      </x:c>
      <x:c r="N705" s="5" t="str">
        <x:v>UI-093</x:v>
      </x:c>
      <x:c r="O705" s="5" t="str">
        <x:v>자동 추출 후보 / 공식 전수 체크리스트 아님</x:v>
      </x:c>
    </x:row>
    <x:row r="706" ht="15" hidden="0" customHeight="1">
      <x:c r="A706" s="5" t="str">
        <x:v>KRDS-SEC-098-U-05</x:v>
      </x:c>
      <x:c r="B706" s="5" t="str">
        <x:v>KRDS-SEC-098</x:v>
      </x:c>
      <x:c r="C706" s="5" t="str">
        <x:v>서비스 패턴</x:v>
      </x:c>
      <x:c r="D706" s="5" t="str">
        <x:v>신청</x:v>
      </x:c>
      <x:c r="E706" s="5" t="str">
        <x:v>완료</x:v>
      </x:c>
      <x:c r="F706" s="5" t="str">
        <x:v>사용성 가이드라인</x:v>
      </x:c>
      <x:c r="G706" s="5" t="str">
        <x:v>05</x:v>
      </x:c>
      <x:c r="H706" s="5" t="n">
        <x:v>1123</x:v>
      </x:c>
      <x:c r="I706" s="5" t="n">
        <x:v>1123</x:v>
      </x:c>
      <x:c r="J706" s="5" t="str">
        <x:v>1128</x:v>
      </x:c>
      <x:c r="K706" s="5" t="str">
        <x:v>관련된 신청 서비스 정보를 확인하거나 신청할 수 있는 링크를 제공한다.</x:v>
      </x:c>
      <x:c r="L706" s="5" t="str">
        <x:v>수준 확인 필요</x:v>
      </x:c>
      <x:c r="M706" s="5" t="str">
        <x:v>추출 후 기본 구조 검토; 원문 적용수준·전체 맥락 재확인 필요</x:v>
      </x:c>
      <x:c r="N706" s="5" t="str">
        <x:v>UI-093</x:v>
      </x:c>
      <x:c r="O706" s="5" t="str">
        <x:v>자동 추출 후보 / 공식 전수 체크리스트 아님</x:v>
      </x:c>
    </x:row>
    <x:row r="707" ht="15" hidden="0" customHeight="1">
      <x:c r="A707" s="5" t="str">
        <x:v>KRDS-SEC-099-U-01</x:v>
      </x:c>
      <x:c r="B707" s="5" t="str">
        <x:v>KRDS-SEC-099</x:v>
      </x:c>
      <x:c r="C707" s="5" t="str">
        <x:v>서비스 패턴</x:v>
      </x:c>
      <x:c r="D707" s="5" t="str">
        <x:v>신청</x:v>
      </x:c>
      <x:c r="E707" s="5" t="str">
        <x:v>신청 결과 확인</x:v>
      </x:c>
      <x:c r="F707" s="5" t="str">
        <x:v>사용성 가이드라인</x:v>
      </x:c>
      <x:c r="G707" s="5" t="str">
        <x:v>01</x:v>
      </x:c>
      <x:c r="H707" s="5" t="n">
        <x:v>1131</x:v>
      </x:c>
      <x:c r="I707" s="5" t="n">
        <x:v>1131</x:v>
      </x:c>
      <x:c r="J707" s="5" t="str">
        <x:v>1132</x:v>
      </x:c>
      <x:c r="K707" s="5" t="str">
        <x:v>신청 결과 확인 화면으로 이동하는 링크 레이블에 직관적인 명칭을 사용한다.</x:v>
      </x:c>
      <x:c r="L707" s="5" t="str">
        <x:v>수준 확인 필요</x:v>
      </x:c>
      <x:c r="M707" s="5" t="str">
        <x:v>추출 후 기본 구조 검토; 원문 적용수준·전체 맥락 재확인 필요</x:v>
      </x:c>
      <x:c r="N707" s="5" t="str">
        <x:v>UI-094</x:v>
      </x:c>
      <x:c r="O707" s="5" t="str">
        <x:v>자동 추출 후보 / 공식 전수 체크리스트 아님</x:v>
      </x:c>
    </x:row>
    <x:row r="708" ht="15" hidden="0" customHeight="1">
      <x:c r="A708" s="5" t="str">
        <x:v>KRDS-SEC-099-U-02</x:v>
      </x:c>
      <x:c r="B708" s="5" t="str">
        <x:v>KRDS-SEC-099</x:v>
      </x:c>
      <x:c r="C708" s="5" t="str">
        <x:v>서비스 패턴</x:v>
      </x:c>
      <x:c r="D708" s="5" t="str">
        <x:v>신청</x:v>
      </x:c>
      <x:c r="E708" s="5" t="str">
        <x:v>신청 결과 확인</x:v>
      </x:c>
      <x:c r="F708" s="5" t="str">
        <x:v>사용성 가이드라인</x:v>
      </x:c>
      <x:c r="G708" s="5" t="str">
        <x:v>02</x:v>
      </x:c>
      <x:c r="H708" s="5" t="n">
        <x:v>1131</x:v>
      </x:c>
      <x:c r="I708" s="5" t="n">
        <x:v>1131</x:v>
      </x:c>
      <x:c r="J708" s="5" t="str">
        <x:v>1133</x:v>
      </x:c>
      <x:c r="K708" s="5" t="str">
        <x:v>신청 내역을 제공한다.</x:v>
      </x:c>
      <x:c r="L708" s="5" t="str">
        <x:v>수준 확인 필요</x:v>
      </x:c>
      <x:c r="M708" s="5" t="str">
        <x:v>추출 후 기본 구조 검토; 원문 적용수준·전체 맥락 재확인 필요</x:v>
      </x:c>
      <x:c r="N708" s="5" t="str">
        <x:v>UI-094</x:v>
      </x:c>
      <x:c r="O708" s="5" t="str">
        <x:v>자동 추출 후보 / 공식 전수 체크리스트 아님</x:v>
      </x:c>
    </x:row>
    <x:row r="709" ht="15" hidden="0" customHeight="1">
      <x:c r="A709" s="5" t="str">
        <x:v>KRDS-SEC-099-U-03</x:v>
      </x:c>
      <x:c r="B709" s="5" t="str">
        <x:v>KRDS-SEC-099</x:v>
      </x:c>
      <x:c r="C709" s="5" t="str">
        <x:v>서비스 패턴</x:v>
      </x:c>
      <x:c r="D709" s="5" t="str">
        <x:v>신청</x:v>
      </x:c>
      <x:c r="E709" s="5" t="str">
        <x:v>신청 결과 확인</x:v>
      </x:c>
      <x:c r="F709" s="5" t="str">
        <x:v>사용성 가이드라인</x:v>
      </x:c>
      <x:c r="G709" s="5" t="str">
        <x:v>03</x:v>
      </x:c>
      <x:c r="H709" s="5" t="n">
        <x:v>1131</x:v>
      </x:c>
      <x:c r="I709" s="5" t="n">
        <x:v>1131</x:v>
      </x:c>
      <x:c r="J709" s="5" t="str">
        <x:v>1134</x:v>
      </x:c>
      <x:c r="K709" s="5" t="str">
        <x:v>신청 이력을 제공한다.</x:v>
      </x:c>
      <x:c r="L709" s="5" t="str">
        <x:v>수준 확인 필요</x:v>
      </x:c>
      <x:c r="M709" s="5" t="str">
        <x:v>추출 후 기본 구조 검토; 원문 적용수준·전체 맥락 재확인 필요</x:v>
      </x:c>
      <x:c r="N709" s="5" t="str">
        <x:v>UI-094</x:v>
      </x:c>
      <x:c r="O709" s="5" t="str">
        <x:v>자동 추출 후보 / 공식 전수 체크리스트 아님</x:v>
      </x:c>
    </x:row>
    <x:row r="710" ht="15" hidden="0" customHeight="1">
      <x:c r="A710" s="5" t="str">
        <x:v>KRDS-SEC-099-U-04</x:v>
      </x:c>
      <x:c r="B710" s="5" t="str">
        <x:v>KRDS-SEC-099</x:v>
      </x:c>
      <x:c r="C710" s="5" t="str">
        <x:v>서비스 패턴</x:v>
      </x:c>
      <x:c r="D710" s="5" t="str">
        <x:v>신청</x:v>
      </x:c>
      <x:c r="E710" s="5" t="str">
        <x:v>신청 결과 확인</x:v>
      </x:c>
      <x:c r="F710" s="5" t="str">
        <x:v>사용성 가이드라인</x:v>
      </x:c>
      <x:c r="G710" s="5" t="str">
        <x:v>04</x:v>
      </x:c>
      <x:c r="H710" s="5" t="n">
        <x:v>1131</x:v>
      </x:c>
      <x:c r="I710" s="5" t="n">
        <x:v>1131</x:v>
      </x:c>
      <x:c r="J710" s="5" t="str">
        <x:v>1135</x:v>
      </x:c>
      <x:c r="K710" s="5" t="str">
        <x:v>신청 이력을 알기 쉽게 구조화한다.</x:v>
      </x:c>
      <x:c r="L710" s="5" t="str">
        <x:v>수준 확인 필요</x:v>
      </x:c>
      <x:c r="M710" s="5" t="str">
        <x:v>추출 후 기본 구조 검토; 원문 적용수준·전체 맥락 재확인 필요</x:v>
      </x:c>
      <x:c r="N710" s="5" t="str">
        <x:v>UI-094</x:v>
      </x:c>
      <x:c r="O710" s="5" t="str">
        <x:v>자동 추출 후보 / 공식 전수 체크리스트 아님</x:v>
      </x:c>
    </x:row>
    <x:row r="711" ht="15" hidden="0" customHeight="1">
      <x:c r="A711" s="5" t="str">
        <x:v>KRDS-SEC-099-U-05</x:v>
      </x:c>
      <x:c r="B711" s="5" t="str">
        <x:v>KRDS-SEC-099</x:v>
      </x:c>
      <x:c r="C711" s="5" t="str">
        <x:v>서비스 패턴</x:v>
      </x:c>
      <x:c r="D711" s="5" t="str">
        <x:v>신청</x:v>
      </x:c>
      <x:c r="E711" s="5" t="str">
        <x:v>신청 결과 확인</x:v>
      </x:c>
      <x:c r="F711" s="5" t="str">
        <x:v>사용성 가이드라인</x:v>
      </x:c>
      <x:c r="G711" s="5" t="str">
        <x:v>05</x:v>
      </x:c>
      <x:c r="H711" s="5" t="n">
        <x:v>1131</x:v>
      </x:c>
      <x:c r="I711" s="5" t="n">
        <x:v>1131</x:v>
      </x:c>
      <x:c r="J711" s="5" t="str">
        <x:v>1136</x:v>
      </x:c>
      <x:c r="K711" s="5" t="str">
        <x:v>정렬 기능을 제공한다.</x:v>
      </x:c>
      <x:c r="L711" s="5" t="str">
        <x:v>수준 확인 필요</x:v>
      </x:c>
      <x:c r="M711" s="5" t="str">
        <x:v>추출 후 기본 구조 검토; 원문 적용수준·전체 맥락 재확인 필요</x:v>
      </x:c>
      <x:c r="N711" s="5" t="str">
        <x:v>UI-094</x:v>
      </x:c>
      <x:c r="O711" s="5" t="str">
        <x:v>자동 추출 후보 / 공식 전수 체크리스트 아님</x:v>
      </x:c>
    </x:row>
    <x:row r="712" ht="15" hidden="0" customHeight="1">
      <x:c r="A712" s="5" t="str">
        <x:v>KRDS-SEC-099-U-06</x:v>
      </x:c>
      <x:c r="B712" s="5" t="str">
        <x:v>KRDS-SEC-099</x:v>
      </x:c>
      <x:c r="C712" s="5" t="str">
        <x:v>서비스 패턴</x:v>
      </x:c>
      <x:c r="D712" s="5" t="str">
        <x:v>신청</x:v>
      </x:c>
      <x:c r="E712" s="5" t="str">
        <x:v>신청 결과 확인</x:v>
      </x:c>
      <x:c r="F712" s="5" t="str">
        <x:v>사용성 가이드라인</x:v>
      </x:c>
      <x:c r="G712" s="5" t="str">
        <x:v>06</x:v>
      </x:c>
      <x:c r="H712" s="5" t="n">
        <x:v>1131</x:v>
      </x:c>
      <x:c r="I712" s="5" t="n">
        <x:v>1131</x:v>
      </x:c>
      <x:c r="J712" s="5" t="str">
        <x:v>1137</x:v>
      </x:c>
      <x:c r="K712" s="5" t="str">
        <x:v>신청 처리 절차 및 현재 진행 상태에 대한 정보를 제공한다.</x:v>
      </x:c>
      <x:c r="L712" s="5" t="str">
        <x:v>수준 확인 필요</x:v>
      </x:c>
      <x:c r="M712" s="5" t="str">
        <x:v>추출 후 기본 구조 검토; 원문 적용수준·전체 맥락 재확인 필요</x:v>
      </x:c>
      <x:c r="N712" s="5" t="str">
        <x:v>UI-094</x:v>
      </x:c>
      <x:c r="O712" s="5" t="str">
        <x:v>자동 추출 후보 / 공식 전수 체크리스트 아님</x:v>
      </x:c>
    </x:row>
    <x:row r="713" ht="15" hidden="0" customHeight="1">
      <x:c r="A713" s="5" t="str">
        <x:v>KRDS-SEC-099-U-07</x:v>
      </x:c>
      <x:c r="B713" s="5" t="str">
        <x:v>KRDS-SEC-099</x:v>
      </x:c>
      <x:c r="C713" s="5" t="str">
        <x:v>서비스 패턴</x:v>
      </x:c>
      <x:c r="D713" s="5" t="str">
        <x:v>신청</x:v>
      </x:c>
      <x:c r="E713" s="5" t="str">
        <x:v>신청 결과 확인</x:v>
      </x:c>
      <x:c r="F713" s="5" t="str">
        <x:v>사용성 가이드라인</x:v>
      </x:c>
      <x:c r="G713" s="5" t="str">
        <x:v>07</x:v>
      </x:c>
      <x:c r="H713" s="5" t="n">
        <x:v>1131</x:v>
      </x:c>
      <x:c r="I713" s="5" t="n">
        <x:v>1131</x:v>
      </x:c>
      <x:c r="J713" s="5" t="str">
        <x:v>1138</x:v>
      </x:c>
      <x:c r="K713" s="5" t="str">
        <x:v>일괄 선택 기능을 제공한다.</x:v>
      </x:c>
      <x:c r="L713" s="5" t="str">
        <x:v>수준 확인 필요</x:v>
      </x:c>
      <x:c r="M713" s="5" t="str">
        <x:v>추출 후 기본 구조 검토; 원문 적용수준·전체 맥락 재확인 필요</x:v>
      </x:c>
      <x:c r="N713" s="5" t="str">
        <x:v>UI-094</x:v>
      </x:c>
      <x:c r="O713" s="5" t="str">
        <x:v>자동 추출 후보 / 공식 전수 체크리스트 아님</x:v>
      </x:c>
    </x:row>
    <x:row r="714" ht="15" hidden="0" customHeight="1">
      <x:c r="A714" s="5" t="str">
        <x:v>KRDS-SEC-099-U-08</x:v>
      </x:c>
      <x:c r="B714" s="5" t="str">
        <x:v>KRDS-SEC-099</x:v>
      </x:c>
      <x:c r="C714" s="5" t="str">
        <x:v>서비스 패턴</x:v>
      </x:c>
      <x:c r="D714" s="5" t="str">
        <x:v>신청</x:v>
      </x:c>
      <x:c r="E714" s="5" t="str">
        <x:v>신청 결과 확인</x:v>
      </x:c>
      <x:c r="F714" s="5" t="str">
        <x:v>사용성 가이드라인</x:v>
      </x:c>
      <x:c r="G714" s="5" t="str">
        <x:v>08</x:v>
      </x:c>
      <x:c r="H714" s="5" t="n">
        <x:v>1131</x:v>
      </x:c>
      <x:c r="I714" s="5" t="n">
        <x:v>1131</x:v>
      </x:c>
      <x:c r="J714" s="5" t="str">
        <x:v>1139</x:v>
      </x:c>
      <x:c r="K714" s="5" t="str">
        <x:v>신청 취소 버튼을 명확하게 표현한다.</x:v>
      </x:c>
      <x:c r="L714" s="5" t="str">
        <x:v>수준 확인 필요</x:v>
      </x:c>
      <x:c r="M714" s="5" t="str">
        <x:v>추출 후 기본 구조 검토; 원문 적용수준·전체 맥락 재확인 필요</x:v>
      </x:c>
      <x:c r="N714" s="5" t="str">
        <x:v>UI-094</x:v>
      </x:c>
      <x:c r="O714" s="5" t="str">
        <x:v>자동 추출 후보 / 공식 전수 체크리스트 아님</x:v>
      </x:c>
    </x:row>
    <x:row r="715" ht="15" hidden="0" customHeight="1">
      <x:c r="A715" s="5" t="str">
        <x:v>KRDS-SEC-099-A-01</x:v>
      </x:c>
      <x:c r="B715" s="5" t="str">
        <x:v>KRDS-SEC-099</x:v>
      </x:c>
      <x:c r="C715" s="5" t="str">
        <x:v>서비스 패턴</x:v>
      </x:c>
      <x:c r="D715" s="5" t="str">
        <x:v>신청</x:v>
      </x:c>
      <x:c r="E715" s="5" t="str">
        <x:v>신청 결과 확인</x:v>
      </x:c>
      <x:c r="F715" s="5" t="str">
        <x:v>접근성 가이드라인</x:v>
      </x:c>
      <x:c r="G715" s="5" t="str">
        <x:v>01</x:v>
      </x:c>
      <x:c r="H715" s="5" t="n">
        <x:v>1140</x:v>
      </x:c>
      <x:c r="I715" s="5" t="n">
        <x:v>1140</x:v>
      </x:c>
      <x:c r="J715" s="5" t="str"/>
      <x:c r="K715" s="5" t="str">
        <x:v>신청 내역 선택에 사용되는 체크박스에 적절한 레이블을 제공한다.</x:v>
      </x:c>
      <x:c r="L715" s="5" t="str">
        <x:v>원문 세부기준</x:v>
      </x:c>
      <x:c r="M715" s="5" t="str">
        <x:v>추출 후 기본 구조 검토; 원문 적용수준·전체 맥락 재확인 필요</x:v>
      </x:c>
      <x:c r="N715" s="5" t="str">
        <x:v>UI-094</x:v>
      </x:c>
      <x:c r="O715" s="5" t="str">
        <x:v>자동 추출 후보 / 공식 전수 체크리스트 아님</x:v>
      </x:c>
    </x:row>
    <x:row r="716" ht="15" hidden="0" customHeight="1">
      <x:c r="A716" s="5" t="str">
        <x:v>KRDS-SEC-101-U-01</x:v>
      </x:c>
      <x:c r="B716" s="5" t="str">
        <x:v>KRDS-SEC-101</x:v>
      </x:c>
      <x:c r="C716" s="5" t="str">
        <x:v>서비스 패턴</x:v>
      </x:c>
      <x:c r="D716" s="5" t="str">
        <x:v>정책 정보 확인</x:v>
      </x:c>
      <x:c r="E716" s="5" t="str">
        <x:v>정책 탐색</x:v>
      </x:c>
      <x:c r="F716" s="5" t="str">
        <x:v>사용성 가이드라인</x:v>
      </x:c>
      <x:c r="G716" s="5" t="str">
        <x:v>01</x:v>
      </x:c>
      <x:c r="H716" s="5" t="n">
        <x:v>1148</x:v>
      </x:c>
      <x:c r="I716" s="5" t="n">
        <x:v>1148</x:v>
      </x:c>
      <x:c r="J716" s="5" t="str">
        <x:v>1149</x:v>
      </x:c>
      <x:c r="K716" s="5" t="str">
        <x:v>모든 정책을 하나의 목록에서 탐색할 수 있는 수단을 제공한다.</x:v>
      </x:c>
      <x:c r="L716" s="5" t="str">
        <x:v>수준 확인 필요</x:v>
      </x:c>
      <x:c r="M716" s="5" t="str">
        <x:v>추출 후 기본 구조 검토; 원문 적용수준·전체 맥락 재확인 필요</x:v>
      </x:c>
      <x:c r="N716" s="5" t="str">
        <x:v>UI-095</x:v>
      </x:c>
      <x:c r="O716" s="5" t="str">
        <x:v>자동 추출 후보 / 공식 전수 체크리스트 아님</x:v>
      </x:c>
    </x:row>
    <x:row r="717" ht="15" hidden="0" customHeight="1">
      <x:c r="A717" s="5" t="str">
        <x:v>KRDS-SEC-101-U-02</x:v>
      </x:c>
      <x:c r="B717" s="5" t="str">
        <x:v>KRDS-SEC-101</x:v>
      </x:c>
      <x:c r="C717" s="5" t="str">
        <x:v>서비스 패턴</x:v>
      </x:c>
      <x:c r="D717" s="5" t="str">
        <x:v>정책 정보 확인</x:v>
      </x:c>
      <x:c r="E717" s="5" t="str">
        <x:v>정책 탐색</x:v>
      </x:c>
      <x:c r="F717" s="5" t="str">
        <x:v>사용성 가이드라인</x:v>
      </x:c>
      <x:c r="G717" s="5" t="str">
        <x:v>02</x:v>
      </x:c>
      <x:c r="H717" s="5" t="n">
        <x:v>1148</x:v>
      </x:c>
      <x:c r="I717" s="5" t="n">
        <x:v>1148</x:v>
      </x:c>
      <x:c r="J717" s="5" t="str">
        <x:v>1150</x:v>
      </x:c>
      <x:c r="K717" s="5" t="str">
        <x:v>필터링 또는 검색 기능을 제공한다.</x:v>
      </x:c>
      <x:c r="L717" s="5" t="str">
        <x:v>수준 확인 필요</x:v>
      </x:c>
      <x:c r="M717" s="5" t="str">
        <x:v>추출 후 기본 구조 검토; 원문 적용수준·전체 맥락 재확인 필요</x:v>
      </x:c>
      <x:c r="N717" s="5" t="str">
        <x:v>UI-095</x:v>
      </x:c>
      <x:c r="O717" s="5" t="str">
        <x:v>자동 추출 후보 / 공식 전수 체크리스트 아님</x:v>
      </x:c>
    </x:row>
    <x:row r="718" ht="15" hidden="0" customHeight="1">
      <x:c r="A718" s="5" t="str">
        <x:v>KRDS-SEC-101-U-03</x:v>
      </x:c>
      <x:c r="B718" s="5" t="str">
        <x:v>KRDS-SEC-101</x:v>
      </x:c>
      <x:c r="C718" s="5" t="str">
        <x:v>서비스 패턴</x:v>
      </x:c>
      <x:c r="D718" s="5" t="str">
        <x:v>정책 정보 확인</x:v>
      </x:c>
      <x:c r="E718" s="5" t="str">
        <x:v>정책 탐색</x:v>
      </x:c>
      <x:c r="F718" s="5" t="str">
        <x:v>사용성 가이드라인</x:v>
      </x:c>
      <x:c r="G718" s="5" t="str">
        <x:v>03</x:v>
      </x:c>
      <x:c r="H718" s="5" t="n">
        <x:v>1148</x:v>
      </x:c>
      <x:c r="I718" s="5" t="n">
        <x:v>1148</x:v>
      </x:c>
      <x:c r="J718" s="5" t="str">
        <x:v>1151</x:v>
      </x:c>
      <x:c r="K718" s="5" t="str">
        <x:v>정책의 대상/분야 등의 분류 체계를 표시한다.</x:v>
      </x:c>
      <x:c r="L718" s="5" t="str">
        <x:v>수준 확인 필요</x:v>
      </x:c>
      <x:c r="M718" s="5" t="str">
        <x:v>추출 후 기본 구조 검토; 원문 적용수준·전체 맥락 재확인 필요</x:v>
      </x:c>
      <x:c r="N718" s="5" t="str">
        <x:v>UI-095</x:v>
      </x:c>
      <x:c r="O718" s="5" t="str">
        <x:v>자동 추출 후보 / 공식 전수 체크리스트 아님</x:v>
      </x:c>
    </x:row>
    <x:row r="719" ht="15" hidden="0" customHeight="1">
      <x:c r="A719" s="5" t="str">
        <x:v>KRDS-SEC-101-U-04</x:v>
      </x:c>
      <x:c r="B719" s="5" t="str">
        <x:v>KRDS-SEC-101</x:v>
      </x:c>
      <x:c r="C719" s="5" t="str">
        <x:v>서비스 패턴</x:v>
      </x:c>
      <x:c r="D719" s="5" t="str">
        <x:v>정책 정보 확인</x:v>
      </x:c>
      <x:c r="E719" s="5" t="str">
        <x:v>정책 탐색</x:v>
      </x:c>
      <x:c r="F719" s="5" t="str">
        <x:v>사용성 가이드라인</x:v>
      </x:c>
      <x:c r="G719" s="5" t="str">
        <x:v>04</x:v>
      </x:c>
      <x:c r="H719" s="5" t="n">
        <x:v>1148</x:v>
      </x:c>
      <x:c r="I719" s="5" t="n">
        <x:v>1148</x:v>
      </x:c>
      <x:c r="J719" s="5" t="str">
        <x:v>1152</x:v>
      </x:c>
      <x:c r="K719" s="5" t="str">
        <x:v>새로운 정책 및 자료를 명확하게 구분한다.</x:v>
      </x:c>
      <x:c r="L719" s="5" t="str">
        <x:v>수준 확인 필요</x:v>
      </x:c>
      <x:c r="M719" s="5" t="str">
        <x:v>추출 후 기본 구조 검토; 원문 적용수준·전체 맥락 재확인 필요</x:v>
      </x:c>
      <x:c r="N719" s="5" t="str">
        <x:v>UI-095</x:v>
      </x:c>
      <x:c r="O719" s="5" t="str">
        <x:v>자동 추출 후보 / 공식 전수 체크리스트 아님</x:v>
      </x:c>
    </x:row>
    <x:row r="720" ht="15" hidden="0" customHeight="1">
      <x:c r="A720" s="5" t="str">
        <x:v>KRDS-SEC-101-A-01</x:v>
      </x:c>
      <x:c r="B720" s="5" t="str">
        <x:v>KRDS-SEC-101</x:v>
      </x:c>
      <x:c r="C720" s="5" t="str">
        <x:v>서비스 패턴</x:v>
      </x:c>
      <x:c r="D720" s="5" t="str">
        <x:v>정책 정보 확인</x:v>
      </x:c>
      <x:c r="E720" s="5" t="str">
        <x:v>정책 탐색</x:v>
      </x:c>
      <x:c r="F720" s="5" t="str">
        <x:v>접근성 가이드라인</x:v>
      </x:c>
      <x:c r="G720" s="5" t="str">
        <x:v>01</x:v>
      </x:c>
      <x:c r="H720" s="5" t="n">
        <x:v>1153</x:v>
      </x:c>
      <x:c r="I720" s="5" t="n">
        <x:v>1153</x:v>
      </x:c>
      <x:c r="J720" s="5" t="str"/>
      <x:c r="K720" s="5" t="str">
        <x:v>공유/저장 컨트롤과 액션 버튼에 명확한 접근 가능한 이름을 제공한다.</x:v>
      </x:c>
      <x:c r="L720" s="5" t="str">
        <x:v>원문 세부기준</x:v>
      </x:c>
      <x:c r="M720" s="5" t="str">
        <x:v>추출 후 기본 구조 검토; 원문 적용수준·전체 맥락 재확인 필요</x:v>
      </x:c>
      <x:c r="N720" s="5" t="str">
        <x:v>UI-095</x:v>
      </x:c>
      <x:c r="O720" s="5" t="str">
        <x:v>자동 추출 후보 / 공식 전수 체크리스트 아님</x:v>
      </x:c>
    </x:row>
    <x:row r="721" ht="15" hidden="0" customHeight="1">
      <x:c r="A721" s="5" t="str">
        <x:v>KRDS-SEC-102-U-01</x:v>
      </x:c>
      <x:c r="B721" s="5" t="str">
        <x:v>KRDS-SEC-102</x:v>
      </x:c>
      <x:c r="C721" s="5" t="str">
        <x:v>서비스 패턴</x:v>
      </x:c>
      <x:c r="D721" s="5" t="str">
        <x:v>정책 정보 확인</x:v>
      </x:c>
      <x:c r="E721" s="5" t="str">
        <x:v>정보 확인</x:v>
      </x:c>
      <x:c r="F721" s="5" t="str">
        <x:v>사용성 가이드라인</x:v>
      </x:c>
      <x:c r="G721" s="5" t="str">
        <x:v>01</x:v>
      </x:c>
      <x:c r="H721" s="5" t="n">
        <x:v>1155</x:v>
      </x:c>
      <x:c r="I721" s="5" t="n">
        <x:v>1155</x:v>
      </x:c>
      <x:c r="J721" s="5" t="str">
        <x:v>1156</x:v>
      </x:c>
      <x:c r="K721" s="5" t="str">
        <x:v>화면 제목을 정책명으로 제공한다.</x:v>
      </x:c>
      <x:c r="L721" s="5" t="str">
        <x:v>수준 확인 필요</x:v>
      </x:c>
      <x:c r="M721" s="5" t="str">
        <x:v>추출 후 기본 구조 검토; 원문 적용수준·전체 맥락 재확인 필요</x:v>
      </x:c>
      <x:c r="N721" s="5" t="str">
        <x:v>UI-096</x:v>
      </x:c>
      <x:c r="O721" s="5" t="str">
        <x:v>자동 추출 후보 / 공식 전수 체크리스트 아님</x:v>
      </x:c>
    </x:row>
    <x:row r="722" ht="15" hidden="0" customHeight="1">
      <x:c r="A722" s="5" t="str">
        <x:v>KRDS-SEC-102-U-02</x:v>
      </x:c>
      <x:c r="B722" s="5" t="str">
        <x:v>KRDS-SEC-102</x:v>
      </x:c>
      <x:c r="C722" s="5" t="str">
        <x:v>서비스 패턴</x:v>
      </x:c>
      <x:c r="D722" s="5" t="str">
        <x:v>정책 정보 확인</x:v>
      </x:c>
      <x:c r="E722" s="5" t="str">
        <x:v>정보 확인</x:v>
      </x:c>
      <x:c r="F722" s="5" t="str">
        <x:v>사용성 가이드라인</x:v>
      </x:c>
      <x:c r="G722" s="5" t="str">
        <x:v>02</x:v>
      </x:c>
      <x:c r="H722" s="5" t="n">
        <x:v>1155</x:v>
      </x:c>
      <x:c r="I722" s="5" t="n">
        <x:v>1155</x:v>
      </x:c>
      <x:c r="J722" s="5" t="str">
        <x:v>1157</x:v>
      </x:c>
      <x:c r="K722" s="5" t="str">
        <x:v>상세 정보 콘텐츠는 간결하며 이해하기 쉽게 작성한다.</x:v>
      </x:c>
      <x:c r="L722" s="5" t="str">
        <x:v>수준 확인 필요</x:v>
      </x:c>
      <x:c r="M722" s="5" t="str">
        <x:v>추출 후 기본 구조 검토; 원문 적용수준·전체 맥락 재확인 필요</x:v>
      </x:c>
      <x:c r="N722" s="5" t="str">
        <x:v>UI-096</x:v>
      </x:c>
      <x:c r="O722" s="5" t="str">
        <x:v>자동 추출 후보 / 공식 전수 체크리스트 아님</x:v>
      </x:c>
    </x:row>
    <x:row r="723" ht="15" hidden="0" customHeight="1">
      <x:c r="A723" s="5" t="str">
        <x:v>KRDS-SEC-102-U-03</x:v>
      </x:c>
      <x:c r="B723" s="5" t="str">
        <x:v>KRDS-SEC-102</x:v>
      </x:c>
      <x:c r="C723" s="5" t="str">
        <x:v>서비스 패턴</x:v>
      </x:c>
      <x:c r="D723" s="5" t="str">
        <x:v>정책 정보 확인</x:v>
      </x:c>
      <x:c r="E723" s="5" t="str">
        <x:v>정보 확인</x:v>
      </x:c>
      <x:c r="F723" s="5" t="str">
        <x:v>사용성 가이드라인</x:v>
      </x:c>
      <x:c r="G723" s="5" t="str">
        <x:v>03</x:v>
      </x:c>
      <x:c r="H723" s="5" t="n">
        <x:v>1155</x:v>
      </x:c>
      <x:c r="I723" s="5" t="n">
        <x:v>1155</x:v>
      </x:c>
      <x:c r="J723" s="5" t="str">
        <x:v>1158</x:v>
      </x:c>
      <x:c r="K723" s="5" t="str">
        <x:v>상세 정보는 정확하고 최신화된 상태로 제공한다.</x:v>
      </x:c>
      <x:c r="L723" s="5" t="str">
        <x:v>수준 확인 필요</x:v>
      </x:c>
      <x:c r="M723" s="5" t="str">
        <x:v>추출 후 기본 구조 검토; 원문 적용수준·전체 맥락 재확인 필요</x:v>
      </x:c>
      <x:c r="N723" s="5" t="str">
        <x:v>UI-096</x:v>
      </x:c>
      <x:c r="O723" s="5" t="str">
        <x:v>자동 추출 후보 / 공식 전수 체크리스트 아님</x:v>
      </x:c>
    </x:row>
    <x:row r="724" ht="15" hidden="0" customHeight="1">
      <x:c r="A724" s="5" t="str">
        <x:v>KRDS-SEC-102-U-04</x:v>
      </x:c>
      <x:c r="B724" s="5" t="str">
        <x:v>KRDS-SEC-102</x:v>
      </x:c>
      <x:c r="C724" s="5" t="str">
        <x:v>서비스 패턴</x:v>
      </x:c>
      <x:c r="D724" s="5" t="str">
        <x:v>정책 정보 확인</x:v>
      </x:c>
      <x:c r="E724" s="5" t="str">
        <x:v>정보 확인</x:v>
      </x:c>
      <x:c r="F724" s="5" t="str">
        <x:v>사용성 가이드라인</x:v>
      </x:c>
      <x:c r="G724" s="5" t="str">
        <x:v>04</x:v>
      </x:c>
      <x:c r="H724" s="5" t="n">
        <x:v>1155</x:v>
      </x:c>
      <x:c r="I724" s="5" t="n">
        <x:v>1155</x:v>
      </x:c>
      <x:c r="J724" s="5" t="str">
        <x:v>1159</x:v>
      </x:c>
      <x:c r="K724" s="5" t="str">
        <x:v>내용이 없는 콘텐츠 섹션과 섹션 제목은 표시되지 않도록 한다.</x:v>
      </x:c>
      <x:c r="L724" s="5" t="str">
        <x:v>수준 확인 필요</x:v>
      </x:c>
      <x:c r="M724" s="5" t="str">
        <x:v>추출 후 기본 구조 검토; 원문 적용수준·전체 맥락 재확인 필요</x:v>
      </x:c>
      <x:c r="N724" s="5" t="str">
        <x:v>UI-096</x:v>
      </x:c>
      <x:c r="O724" s="5" t="str">
        <x:v>자동 추출 후보 / 공식 전수 체크리스트 아님</x:v>
      </x:c>
    </x:row>
    <x:row r="725" ht="15" hidden="0" customHeight="1">
      <x:c r="A725" s="5" t="str">
        <x:v>KRDS-SEC-102-U-05</x:v>
      </x:c>
      <x:c r="B725" s="5" t="str">
        <x:v>KRDS-SEC-102</x:v>
      </x:c>
      <x:c r="C725" s="5" t="str">
        <x:v>서비스 패턴</x:v>
      </x:c>
      <x:c r="D725" s="5" t="str">
        <x:v>정책 정보 확인</x:v>
      </x:c>
      <x:c r="E725" s="5" t="str">
        <x:v>정보 확인</x:v>
      </x:c>
      <x:c r="F725" s="5" t="str">
        <x:v>사용성 가이드라인</x:v>
      </x:c>
      <x:c r="G725" s="5" t="str">
        <x:v>05</x:v>
      </x:c>
      <x:c r="H725" s="5" t="n">
        <x:v>1155</x:v>
      </x:c>
      <x:c r="I725" s="5" t="n">
        <x:v>1155</x:v>
      </x:c>
      <x:c r="J725" s="5" t="str">
        <x:v>1160</x:v>
      </x:c>
      <x:c r="K725" s="5" t="str">
        <x:v>인포그래픽, 사진, 동영상 등의 콘텐츠를 적절하게 활용한다.</x:v>
      </x:c>
      <x:c r="L725" s="5" t="str">
        <x:v>수준 확인 필요</x:v>
      </x:c>
      <x:c r="M725" s="5" t="str">
        <x:v>추출 후 기본 구조 검토; 원문 적용수준·전체 맥락 재확인 필요</x:v>
      </x:c>
      <x:c r="N725" s="5" t="str">
        <x:v>UI-096</x:v>
      </x:c>
      <x:c r="O725" s="5" t="str">
        <x:v>자동 추출 후보 / 공식 전수 체크리스트 아님</x:v>
      </x:c>
    </x:row>
    <x:row r="726" ht="15" hidden="0" customHeight="1">
      <x:c r="A726" s="5" t="str">
        <x:v>KRDS-SEC-102-U-06</x:v>
      </x:c>
      <x:c r="B726" s="5" t="str">
        <x:v>KRDS-SEC-102</x:v>
      </x:c>
      <x:c r="C726" s="5" t="str">
        <x:v>서비스 패턴</x:v>
      </x:c>
      <x:c r="D726" s="5" t="str">
        <x:v>정책 정보 확인</x:v>
      </x:c>
      <x:c r="E726" s="5" t="str">
        <x:v>정보 확인</x:v>
      </x:c>
      <x:c r="F726" s="5" t="str">
        <x:v>사용성 가이드라인</x:v>
      </x:c>
      <x:c r="G726" s="5" t="str">
        <x:v>06</x:v>
      </x:c>
      <x:c r="H726" s="5" t="n">
        <x:v>1155</x:v>
      </x:c>
      <x:c r="I726" s="5" t="n">
        <x:v>1155</x:v>
      </x:c>
      <x:c r="J726" s="5" t="str">
        <x:v>1161</x:v>
      </x:c>
      <x:c r="K726" s="5" t="str">
        <x:v>사용자에게 도움을 줄 수 있는 다양한 부가 정보를 제공한다.</x:v>
      </x:c>
      <x:c r="L726" s="5" t="str">
        <x:v>수준 확인 필요</x:v>
      </x:c>
      <x:c r="M726" s="5" t="str">
        <x:v>추출 후 기본 구조 검토; 원문 적용수준·전체 맥락 재확인 필요</x:v>
      </x:c>
      <x:c r="N726" s="5" t="str">
        <x:v>UI-096</x:v>
      </x:c>
      <x:c r="O726" s="5" t="str">
        <x:v>자동 추출 후보 / 공식 전수 체크리스트 아님</x:v>
      </x:c>
    </x:row>
    <x:row r="727" ht="15" hidden="0" customHeight="1">
      <x:c r="A727" s="5" t="str">
        <x:v>KRDS-SEC-102-U-07</x:v>
      </x:c>
      <x:c r="B727" s="5" t="str">
        <x:v>KRDS-SEC-102</x:v>
      </x:c>
      <x:c r="C727" s="5" t="str">
        <x:v>서비스 패턴</x:v>
      </x:c>
      <x:c r="D727" s="5" t="str">
        <x:v>정책 정보 확인</x:v>
      </x:c>
      <x:c r="E727" s="5" t="str">
        <x:v>정보 확인</x:v>
      </x:c>
      <x:c r="F727" s="5" t="str">
        <x:v>사용성 가이드라인</x:v>
      </x:c>
      <x:c r="G727" s="5" t="str">
        <x:v>07</x:v>
      </x:c>
      <x:c r="H727" s="5" t="n">
        <x:v>1155</x:v>
      </x:c>
      <x:c r="I727" s="5" t="n">
        <x:v>1155</x:v>
      </x:c>
      <x:c r="J727" s="5" t="str">
        <x:v>1162</x:v>
      </x:c>
      <x:c r="K727" s="5" t="str">
        <x:v>부가 정보는 사용자가 필요에 따라 상세 내용을 확인할 수 있게 제공하는 방안을 고려한다.</x:v>
      </x:c>
      <x:c r="L727" s="5" t="str">
        <x:v>수준 확인 필요</x:v>
      </x:c>
      <x:c r="M727" s="5" t="str">
        <x:v>추출 후 기본 구조 검토; 원문 적용수준·전체 맥락 재확인 필요</x:v>
      </x:c>
      <x:c r="N727" s="5" t="str">
        <x:v>UI-096</x:v>
      </x:c>
      <x:c r="O727" s="5" t="str">
        <x:v>자동 추출 후보 / 공식 전수 체크리스트 아님</x:v>
      </x:c>
    </x:row>
    <x:row r="728" ht="15" hidden="0" customHeight="1">
      <x:c r="A728" s="5" t="str">
        <x:v>KRDS-SEC-102-U-08</x:v>
      </x:c>
      <x:c r="B728" s="5" t="str">
        <x:v>KRDS-SEC-102</x:v>
      </x:c>
      <x:c r="C728" s="5" t="str">
        <x:v>서비스 패턴</x:v>
      </x:c>
      <x:c r="D728" s="5" t="str">
        <x:v>정책 정보 확인</x:v>
      </x:c>
      <x:c r="E728" s="5" t="str">
        <x:v>정보 확인</x:v>
      </x:c>
      <x:c r="F728" s="5" t="str">
        <x:v>사용성 가이드라인</x:v>
      </x:c>
      <x:c r="G728" s="5" t="str">
        <x:v>08</x:v>
      </x:c>
      <x:c r="H728" s="5" t="n">
        <x:v>1155</x:v>
      </x:c>
      <x:c r="I728" s="5" t="n">
        <x:v>1155</x:v>
      </x:c>
      <x:c r="J728" s="5" t="str">
        <x:v>1163</x:v>
      </x:c>
      <x:c r="K728" s="5" t="str">
        <x:v>모든 링크는 실행하였을 때, 링크 레이블에 명시된 적절한 화면으로 이동해야 한다.</x:v>
      </x:c>
      <x:c r="L728" s="5" t="str">
        <x:v>수준 확인 필요</x:v>
      </x:c>
      <x:c r="M728" s="5" t="str">
        <x:v>추출 후 기본 구조 검토; 원문 적용수준·전체 맥락 재확인 필요</x:v>
      </x:c>
      <x:c r="N728" s="5" t="str">
        <x:v>UI-096</x:v>
      </x:c>
      <x:c r="O728" s="5" t="str">
        <x:v>자동 추출 후보 / 공식 전수 체크리스트 아님</x:v>
      </x:c>
    </x:row>
    <x:row r="729" ht="15" hidden="0" customHeight="1">
      <x:c r="A729" s="5" t="str">
        <x:v>KRDS-SEC-103-U-01</x:v>
      </x:c>
      <x:c r="B729" s="5" t="str">
        <x:v>KRDS-SEC-103</x:v>
      </x:c>
      <x:c r="C729" s="5" t="str">
        <x:v>서비스 패턴</x:v>
      </x:c>
      <x:c r="D729" s="5" t="str">
        <x:v>정책 정보 확인</x:v>
      </x:c>
      <x:c r="E729" s="5" t="str">
        <x:v>정책 자료 탐색</x:v>
      </x:c>
      <x:c r="F729" s="5" t="str">
        <x:v>사용성 가이드라인</x:v>
      </x:c>
      <x:c r="G729" s="5" t="str">
        <x:v>01</x:v>
      </x:c>
      <x:c r="H729" s="5" t="n">
        <x:v>1167</x:v>
      </x:c>
      <x:c r="I729" s="5" t="n">
        <x:v>1167</x:v>
      </x:c>
      <x:c r="J729" s="5" t="str">
        <x:v>1168</x:v>
      </x:c>
      <x:c r="K729" s="5" t="str">
        <x:v>필터링 또는 검색 기능을 제공한다.</x:v>
      </x:c>
      <x:c r="L729" s="5" t="str">
        <x:v>수준 확인 필요</x:v>
      </x:c>
      <x:c r="M729" s="5" t="str">
        <x:v>추출 후 기본 구조 검토; 원문 적용수준·전체 맥락 재확인 필요</x:v>
      </x:c>
      <x:c r="N729" s="5" t="str">
        <x:v>UI-097</x:v>
      </x:c>
      <x:c r="O729" s="5" t="str">
        <x:v>자동 추출 후보 / 공식 전수 체크리스트 아님</x:v>
      </x:c>
    </x:row>
    <x:row r="730" ht="15" hidden="0" customHeight="1">
      <x:c r="A730" s="5" t="str">
        <x:v>KRDS-SEC-103-U-02</x:v>
      </x:c>
      <x:c r="B730" s="5" t="str">
        <x:v>KRDS-SEC-103</x:v>
      </x:c>
      <x:c r="C730" s="5" t="str">
        <x:v>서비스 패턴</x:v>
      </x:c>
      <x:c r="D730" s="5" t="str">
        <x:v>정책 정보 확인</x:v>
      </x:c>
      <x:c r="E730" s="5" t="str">
        <x:v>정책 자료 탐색</x:v>
      </x:c>
      <x:c r="F730" s="5" t="str">
        <x:v>사용성 가이드라인</x:v>
      </x:c>
      <x:c r="G730" s="5" t="str">
        <x:v>02</x:v>
      </x:c>
      <x:c r="H730" s="5" t="n">
        <x:v>1167</x:v>
      </x:c>
      <x:c r="I730" s="5" t="n">
        <x:v>1167</x:v>
      </x:c>
      <x:c r="J730" s="5" t="str">
        <x:v>1169</x:v>
      </x:c>
      <x:c r="K730" s="5" t="str">
        <x:v>새로운 자료, 변경이 있는 자료를 명확하게 구분한다.</x:v>
      </x:c>
      <x:c r="L730" s="5" t="str">
        <x:v>수준 확인 필요</x:v>
      </x:c>
      <x:c r="M730" s="5" t="str">
        <x:v>추출 후 기본 구조 검토; 원문 적용수준·전체 맥락 재확인 필요</x:v>
      </x:c>
      <x:c r="N730" s="5" t="str">
        <x:v>UI-097</x:v>
      </x:c>
      <x:c r="O730" s="5" t="str">
        <x:v>자동 추출 후보 / 공식 전수 체크리스트 아님</x:v>
      </x:c>
    </x:row>
    <x:row r="731" ht="15" hidden="0" customHeight="1">
      <x:c r="A731" s="5" t="str">
        <x:v>KRDS-SEC-103-U-03</x:v>
      </x:c>
      <x:c r="B731" s="5" t="str">
        <x:v>KRDS-SEC-103</x:v>
      </x:c>
      <x:c r="C731" s="5" t="str">
        <x:v>서비스 패턴</x:v>
      </x:c>
      <x:c r="D731" s="5" t="str">
        <x:v>정책 정보 확인</x:v>
      </x:c>
      <x:c r="E731" s="5" t="str">
        <x:v>정책 자료 탐색</x:v>
      </x:c>
      <x:c r="F731" s="5" t="str">
        <x:v>사용성 가이드라인</x:v>
      </x:c>
      <x:c r="G731" s="5" t="str">
        <x:v>03</x:v>
      </x:c>
      <x:c r="H731" s="5" t="n">
        <x:v>1167</x:v>
      </x:c>
      <x:c r="I731" s="5" t="n">
        <x:v>1167</x:v>
      </x:c>
      <x:c r="J731" s="5" t="str">
        <x:v>1170</x:v>
      </x:c>
      <x:c r="K731" s="5" t="str">
        <x:v>정책 관련 간행물의 발행 주기에 대한 정보를 제공한다.</x:v>
      </x:c>
      <x:c r="L731" s="5" t="str">
        <x:v>수준 확인 필요</x:v>
      </x:c>
      <x:c r="M731" s="5" t="str">
        <x:v>추출 후 기본 구조 검토; 원문 적용수준·전체 맥락 재확인 필요</x:v>
      </x:c>
      <x:c r="N731" s="5" t="str">
        <x:v>UI-097</x:v>
      </x:c>
      <x:c r="O731" s="5" t="str">
        <x:v>자동 추출 후보 / 공식 전수 체크리스트 아님</x:v>
      </x:c>
    </x:row>
  </x:sheetData>
  <x:pageMargins left="0.7" right="0.7" top="0.75" bottom="0.75" header="0.3" footer="0.3"/>
  <x:tableParts count="1">
    <x:tablePart xmlns:r="http://schemas.openxmlformats.org/officeDocument/2006/relationships" r:id="R0f09f64d0c0641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6" hidden="0" customWidth="1"/>
    <x:col min="4" max="4" width="45" hidden="0" customWidth="1"/>
    <x:col min="5" max="5" width="18" hidden="0" customWidth="1"/>
    <x:col min="6" max="6" width="15" hidden="0" customWidth="1"/>
    <x:col min="7" max="7" width="18" hidden="0" customWidth="1"/>
    <x:col min="8" max="8" width="18" hidden="0" customWidth="1"/>
    <x:col min="9" max="9" width="38" hidden="0" customWidth="1"/>
    <x:col min="10" max="10" width="115" hidden="0" customWidth="1"/>
    <x:col min="11" max="11" width="55" hidden="0" customWidth="1"/>
  </x:cols>
  <x:sheetData>
    <x:row r="2">
      <x:c r="A2" s="1" t="str">
        <x:v>KRDS 구조와 비번호 상호작용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구조 103개 및 상호작용 52쪽 전체 색인. 섹션 연결은 세부기준 통과 증빙이 아닙니다.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6" ht="42" customHeight="1">
      <x:c r="A6" s="9" t="str">
        <x:v>유형</x:v>
      </x:c>
      <x:c r="B6" s="9" t="str">
        <x:v>원문 ID</x:v>
      </x:c>
      <x:c r="C6" s="9" t="str">
        <x:v>장</x:v>
      </x:c>
      <x:c r="D6" s="9" t="str">
        <x:v>범주·절</x:v>
      </x:c>
      <x:c r="E6" s="9" t="str">
        <x:v>시작 인쇄쪽</x:v>
      </x:c>
      <x:c r="F6" s="9" t="str">
        <x:v>종료쪽</x:v>
      </x:c>
      <x:c r="G6" s="9" t="str">
        <x:v>PDF 실제쪽</x:v>
      </x:c>
      <x:c r="H6" s="9" t="str">
        <x:v>번호 후보수</x:v>
      </x:c>
      <x:c r="I6" s="9" t="str">
        <x:v>회사 통제</x:v>
      </x:c>
      <x:c r="J6" s="9" t="str">
        <x:v>검토범위·동작</x:v>
      </x:c>
      <x:c r="K6" s="9" t="str">
        <x:v>원문검토 상태</x:v>
      </x:c>
    </x:row>
    <x:row r="7" ht="15" hidden="0" customHeight="1">
      <x:c r="A7" s="5" t="str">
        <x:v>목차·구조</x:v>
      </x:c>
      <x:c r="B7" s="5" t="str">
        <x:v>KRDS-SEC-001</x:v>
      </x:c>
      <x:c r="C7" s="5" t="str">
        <x:v>디자인 원칙</x:v>
      </x:c>
      <x:c r="D7" s="5" t="str">
        <x:v>원칙 / 사용자 중심의 서비스</x:v>
      </x:c>
      <x:c r="E7" s="5" t="n">
        <x:v>49</x:v>
      </x:c>
      <x:c r="F7" s="5" t="n">
        <x:v>50</x:v>
      </x:c>
      <x:c r="G7" s="5" t="n">
        <x:v>49</x:v>
      </x:c>
      <x:c r="H7" s="5" t="n">
        <x:v>0</x:v>
      </x:c>
      <x:c r="I7" s="5" t="str">
        <x:v>UI-001</x:v>
      </x:c>
      <x:c r="J7" s="5" t="str">
        <x:v>소개·개요 또는 번호 없는 스타일/원칙/상호작용·예시의 개별 기준은 원문으로 보완해야 함. 섹션 매핑 자체는 전체 세부규칙 준수증거가 아님.</x:v>
      </x:c>
      <x:c r="K7" s="5" t="str">
        <x:v>재확인필요</x:v>
      </x:c>
    </x:row>
    <x:row r="8" ht="15" hidden="0" customHeight="1">
      <x:c r="A8" s="5" t="str">
        <x:v>목차·구조</x:v>
      </x:c>
      <x:c r="B8" s="5" t="str">
        <x:v>KRDS-SEC-002</x:v>
      </x:c>
      <x:c r="C8" s="5" t="str">
        <x:v>디자인 원칙</x:v>
      </x:c>
      <x:c r="D8" s="5" t="str">
        <x:v>원칙 / 모든 사용자를 포용하는 서비스</x:v>
      </x:c>
      <x:c r="E8" s="5" t="n">
        <x:v>51</x:v>
      </x:c>
      <x:c r="F8" s="5" t="n">
        <x:v>52</x:v>
      </x:c>
      <x:c r="G8" s="5" t="n">
        <x:v>51</x:v>
      </x:c>
      <x:c r="H8" s="5" t="n">
        <x:v>0</x:v>
      </x:c>
      <x:c r="I8" s="5" t="str">
        <x:v>UI-002</x:v>
      </x:c>
      <x:c r="J8" s="5" t="str">
        <x:v>소개·개요 또는 번호 없는 스타일/원칙/상호작용·예시의 개별 기준은 원문으로 보완해야 함. 섹션 매핑 자체는 전체 세부규칙 준수증거가 아님.</x:v>
      </x:c>
      <x:c r="K8" s="5" t="str">
        <x:v>재확인필요</x:v>
      </x:c>
    </x:row>
    <x:row r="9" ht="15" hidden="0" customHeight="1">
      <x:c r="A9" s="5" t="str">
        <x:v>목차·구조</x:v>
      </x:c>
      <x:c r="B9" s="5" t="str">
        <x:v>KRDS-SEC-003</x:v>
      </x:c>
      <x:c r="C9" s="5" t="str">
        <x:v>디자인 원칙</x:v>
      </x:c>
      <x:c r="D9" s="5" t="str">
        <x:v>원칙 / 공통된 경험 안에서 개별 특성을 고려한 서비스</x:v>
      </x:c>
      <x:c r="E9" s="5" t="n">
        <x:v>53</x:v>
      </x:c>
      <x:c r="F9" s="5" t="n">
        <x:v>54</x:v>
      </x:c>
      <x:c r="G9" s="5" t="n">
        <x:v>53</x:v>
      </x:c>
      <x:c r="H9" s="5" t="n">
        <x:v>0</x:v>
      </x:c>
      <x:c r="I9" s="5" t="str">
        <x:v>UI-003</x:v>
      </x:c>
      <x:c r="J9" s="5" t="str">
        <x:v>소개·개요 또는 번호 없는 스타일/원칙/상호작용·예시의 개별 기준은 원문으로 보완해야 함. 섹션 매핑 자체는 전체 세부규칙 준수증거가 아님.</x:v>
      </x:c>
      <x:c r="K9" s="5" t="str">
        <x:v>재확인필요</x:v>
      </x:c>
    </x:row>
    <x:row r="10" ht="15" hidden="0" customHeight="1">
      <x:c r="A10" s="5" t="str">
        <x:v>목차·구조</x:v>
      </x:c>
      <x:c r="B10" s="5" t="str">
        <x:v>KRDS-SEC-004</x:v>
      </x:c>
      <x:c r="C10" s="5" t="str">
        <x:v>디자인 원칙</x:v>
      </x:c>
      <x:c r="D10" s="5" t="str">
        <x:v>원칙 / 빠르고 간단한 서비스</x:v>
      </x:c>
      <x:c r="E10" s="5" t="n">
        <x:v>55</x:v>
      </x:c>
      <x:c r="F10" s="5" t="n">
        <x:v>56</x:v>
      </x:c>
      <x:c r="G10" s="5" t="n">
        <x:v>55</x:v>
      </x:c>
      <x:c r="H10" s="5" t="n">
        <x:v>0</x:v>
      </x:c>
      <x:c r="I10" s="5" t="str">
        <x:v>UI-004</x:v>
      </x:c>
      <x:c r="J10" s="5" t="str">
        <x:v>소개·개요 또는 번호 없는 스타일/원칙/상호작용·예시의 개별 기준은 원문으로 보완해야 함. 섹션 매핑 자체는 전체 세부규칙 준수증거가 아님.</x:v>
      </x:c>
      <x:c r="K10" s="5" t="str">
        <x:v>재확인필요</x:v>
      </x:c>
    </x:row>
    <x:row r="11" ht="15" hidden="0" customHeight="1">
      <x:c r="A11" s="5" t="str">
        <x:v>목차·구조</x:v>
      </x:c>
      <x:c r="B11" s="5" t="str">
        <x:v>KRDS-SEC-005</x:v>
      </x:c>
      <x:c r="C11" s="5" t="str">
        <x:v>디자인 원칙</x:v>
      </x:c>
      <x:c r="D11" s="5" t="str">
        <x:v>원칙 / 쉽게 이해하고 사용할 수 있는 서비스</x:v>
      </x:c>
      <x:c r="E11" s="5" t="n">
        <x:v>57</x:v>
      </x:c>
      <x:c r="F11" s="5" t="n">
        <x:v>58</x:v>
      </x:c>
      <x:c r="G11" s="5" t="n">
        <x:v>57</x:v>
      </x:c>
      <x:c r="H11" s="5" t="n">
        <x:v>0</x:v>
      </x:c>
      <x:c r="I11" s="5" t="str">
        <x:v>UI-005</x:v>
      </x:c>
      <x:c r="J11" s="5" t="str">
        <x:v>소개·개요 또는 번호 없는 스타일/원칙/상호작용·예시의 개별 기준은 원문으로 보완해야 함. 섹션 매핑 자체는 전체 세부규칙 준수증거가 아님.</x:v>
      </x:c>
      <x:c r="K11" s="5" t="str">
        <x:v>재확인필요</x:v>
      </x:c>
    </x:row>
    <x:row r="12" ht="15" hidden="0" customHeight="1">
      <x:c r="A12" s="5" t="str">
        <x:v>목차·구조</x:v>
      </x:c>
      <x:c r="B12" s="5" t="str">
        <x:v>KRDS-SEC-006</x:v>
      </x:c>
      <x:c r="C12" s="5" t="str">
        <x:v>디자인 원칙</x:v>
      </x:c>
      <x:c r="D12" s="5" t="str">
        <x:v>원칙 / 사용자의 다양한 상황을 고려하는 서비스</x:v>
      </x:c>
      <x:c r="E12" s="5" t="n">
        <x:v>59</x:v>
      </x:c>
      <x:c r="F12" s="5" t="n">
        <x:v>60</x:v>
      </x:c>
      <x:c r="G12" s="5" t="n">
        <x:v>59</x:v>
      </x:c>
      <x:c r="H12" s="5" t="n">
        <x:v>0</x:v>
      </x:c>
      <x:c r="I12" s="5" t="str">
        <x:v>UI-006</x:v>
      </x:c>
      <x:c r="J12" s="5" t="str">
        <x:v>소개·개요 또는 번호 없는 스타일/원칙/상호작용·예시의 개별 기준은 원문으로 보완해야 함. 섹션 매핑 자체는 전체 세부규칙 준수증거가 아님.</x:v>
      </x:c>
      <x:c r="K12" s="5" t="str">
        <x:v>재확인필요</x:v>
      </x:c>
    </x:row>
    <x:row r="13" ht="15" hidden="0" customHeight="1">
      <x:c r="A13" s="5" t="str">
        <x:v>목차·구조</x:v>
      </x:c>
      <x:c r="B13" s="5" t="str">
        <x:v>KRDS-SEC-007</x:v>
      </x:c>
      <x:c r="C13" s="5" t="str">
        <x:v>디자인 원칙</x:v>
      </x:c>
      <x:c r="D13" s="5" t="str">
        <x:v>원칙 / 신뢰할 수 있는 서비스</x:v>
      </x:c>
      <x:c r="E13" s="5" t="n">
        <x:v>61</x:v>
      </x:c>
      <x:c r="F13" s="5" t="n">
        <x:v>64</x:v>
      </x:c>
      <x:c r="G13" s="5" t="n">
        <x:v>61</x:v>
      </x:c>
      <x:c r="H13" s="5" t="n">
        <x:v>0</x:v>
      </x:c>
      <x:c r="I13" s="5" t="str">
        <x:v>UI-007</x:v>
      </x:c>
      <x:c r="J13" s="5" t="str">
        <x:v>소개·개요 또는 번호 없는 스타일/원칙/상호작용·예시의 개별 기준은 원문으로 보완해야 함. 섹션 매핑 자체는 전체 세부규칙 준수증거가 아님.</x:v>
      </x:c>
      <x:c r="K13" s="5" t="str">
        <x:v>재확인필요</x:v>
      </x:c>
    </x:row>
    <x:row r="14" ht="15" hidden="0" customHeight="1">
      <x:c r="A14" s="5" t="str">
        <x:v>목차·구조</x:v>
      </x:c>
      <x:c r="B14" s="5" t="str">
        <x:v>KRDS-SEC-008</x:v>
      </x:c>
      <x:c r="C14" s="5" t="str">
        <x:v>디자인 스타일</x:v>
      </x:c>
      <x:c r="D14" s="5" t="str">
        <x:v>스타일 / 디자인 스타일 소개</x:v>
      </x:c>
      <x:c r="E14" s="5" t="n">
        <x:v>65</x:v>
      </x:c>
      <x:c r="F14" s="5" t="n">
        <x:v>73</x:v>
      </x:c>
      <x:c r="G14" s="5" t="n">
        <x:v>65</x:v>
      </x:c>
      <x:c r="H14" s="5" t="n">
        <x:v>0</x:v>
      </x:c>
      <x:c r="I14" s="5" t="str"/>
      <x:c r="J14" s="5" t="str">
        <x:v>소개·개요 또는 번호 없는 스타일/원칙/상호작용·예시의 개별 기준은 원문으로 보완해야 함. 섹션 매핑 자체는 전체 세부규칙 준수증거가 아님.</x:v>
      </x:c>
      <x:c r="K14" s="5" t="str">
        <x:v>재확인필요</x:v>
      </x:c>
    </x:row>
    <x:row r="15" ht="15" hidden="0" customHeight="1">
      <x:c r="A15" s="5" t="str">
        <x:v>목차·구조</x:v>
      </x:c>
      <x:c r="B15" s="5" t="str">
        <x:v>KRDS-SEC-009</x:v>
      </x:c>
      <x:c r="C15" s="5" t="str">
        <x:v>디자인 스타일</x:v>
      </x:c>
      <x:c r="D15" s="5" t="str">
        <x:v>스타일 / 색상</x:v>
      </x:c>
      <x:c r="E15" s="5" t="n">
        <x:v>74</x:v>
      </x:c>
      <x:c r="F15" s="5" t="n">
        <x:v>101</x:v>
      </x:c>
      <x:c r="G15" s="5" t="n">
        <x:v>74</x:v>
      </x:c>
      <x:c r="H15" s="5" t="n">
        <x:v>0</x:v>
      </x:c>
      <x:c r="I15" s="5" t="str">
        <x:v>UI-008</x:v>
      </x:c>
      <x:c r="J15" s="5" t="str">
        <x:v>소개·개요 또는 번호 없는 스타일/원칙/상호작용·예시의 개별 기준은 원문으로 보완해야 함. 섹션 매핑 자체는 전체 세부규칙 준수증거가 아님.</x:v>
      </x:c>
      <x:c r="K15" s="5" t="str">
        <x:v>재확인필요</x:v>
      </x:c>
    </x:row>
    <x:row r="16" ht="39.599998474121094" hidden="0" customHeight="1">
      <x:c r="A16" s="5" t="str">
        <x:v>목차·구조</x:v>
      </x:c>
      <x:c r="B16" s="5" t="str">
        <x:v>KRDS-SEC-010</x:v>
      </x:c>
      <x:c r="C16" s="5" t="str">
        <x:v>디자인 스타일</x:v>
      </x:c>
      <x:c r="D16" s="5" t="str">
        <x:v>스타일 / 타이포그래피</x:v>
      </x:c>
      <x:c r="E16" s="5" t="n">
        <x:v>102</x:v>
      </x:c>
      <x:c r="F16" s="5" t="n">
        <x:v>125</x:v>
      </x:c>
      <x:c r="G16" s="5" t="n">
        <x:v>102</x:v>
      </x:c>
      <x:c r="H16" s="5" t="n">
        <x:v>0</x:v>
      </x:c>
      <x:c r="I16" s="5" t="str">
        <x:v>UI-009
UI-098
UI-099</x:v>
      </x:c>
      <x:c r="J16" s="5" t="str">
        <x:v>소개·개요 또는 번호 없는 스타일/원칙/상호작용·예시의 개별 기준은 원문으로 보완해야 함. 섹션 매핑 자체는 전체 세부규칙 준수증거가 아님.</x:v>
      </x:c>
      <x:c r="K16" s="5" t="str">
        <x:v>재확인필요</x:v>
      </x:c>
    </x:row>
    <x:row r="17" ht="15" hidden="0" customHeight="1">
      <x:c r="A17" s="5" t="str">
        <x:v>목차·구조</x:v>
      </x:c>
      <x:c r="B17" s="5" t="str">
        <x:v>KRDS-SEC-011</x:v>
      </x:c>
      <x:c r="C17" s="5" t="str">
        <x:v>디자인 스타일</x:v>
      </x:c>
      <x:c r="D17" s="5" t="str">
        <x:v>스타일 / 형태</x:v>
      </x:c>
      <x:c r="E17" s="5" t="n">
        <x:v>126</x:v>
      </x:c>
      <x:c r="F17" s="5" t="n">
        <x:v>138</x:v>
      </x:c>
      <x:c r="G17" s="5" t="n">
        <x:v>126</x:v>
      </x:c>
      <x:c r="H17" s="5" t="n">
        <x:v>0</x:v>
      </x:c>
      <x:c r="I17" s="5" t="str">
        <x:v>UI-010</x:v>
      </x:c>
      <x:c r="J17" s="5" t="str">
        <x:v>소개·개요 또는 번호 없는 스타일/원칙/상호작용·예시의 개별 기준은 원문으로 보완해야 함. 섹션 매핑 자체는 전체 세부규칙 준수증거가 아님.</x:v>
      </x:c>
      <x:c r="K17" s="5" t="str">
        <x:v>재확인필요</x:v>
      </x:c>
    </x:row>
    <x:row r="18" ht="15" hidden="0" customHeight="1">
      <x:c r="A18" s="5" t="str">
        <x:v>목차·구조</x:v>
      </x:c>
      <x:c r="B18" s="5" t="str">
        <x:v>KRDS-SEC-012</x:v>
      </x:c>
      <x:c r="C18" s="5" t="str">
        <x:v>디자인 스타일</x:v>
      </x:c>
      <x:c r="D18" s="5" t="str">
        <x:v>스타일 / 레이아웃</x:v>
      </x:c>
      <x:c r="E18" s="5" t="n">
        <x:v>139</x:v>
      </x:c>
      <x:c r="F18" s="5" t="n">
        <x:v>161</x:v>
      </x:c>
      <x:c r="G18" s="5" t="n">
        <x:v>139</x:v>
      </x:c>
      <x:c r="H18" s="5" t="n">
        <x:v>0</x:v>
      </x:c>
      <x:c r="I18" s="5" t="str">
        <x:v>UI-011</x:v>
      </x:c>
      <x:c r="J18" s="5" t="str">
        <x:v>소개·개요 또는 번호 없는 스타일/원칙/상호작용·예시의 개별 기준은 원문으로 보완해야 함. 섹션 매핑 자체는 전체 세부규칙 준수증거가 아님.</x:v>
      </x:c>
      <x:c r="K18" s="5" t="str">
        <x:v>재확인필요</x:v>
      </x:c>
    </x:row>
    <x:row r="19" ht="15" hidden="0" customHeight="1">
      <x:c r="A19" s="5" t="str">
        <x:v>목차·구조</x:v>
      </x:c>
      <x:c r="B19" s="5" t="str">
        <x:v>KRDS-SEC-013</x:v>
      </x:c>
      <x:c r="C19" s="5" t="str">
        <x:v>디자인 스타일</x:v>
      </x:c>
      <x:c r="D19" s="5" t="str">
        <x:v>스타일 / 아이콘</x:v>
      </x:c>
      <x:c r="E19" s="5" t="n">
        <x:v>162</x:v>
      </x:c>
      <x:c r="F19" s="5" t="n">
        <x:v>176</x:v>
      </x:c>
      <x:c r="G19" s="5" t="n">
        <x:v>162</x:v>
      </x:c>
      <x:c r="H19" s="5" t="n">
        <x:v>0</x:v>
      </x:c>
      <x:c r="I19" s="5" t="str">
        <x:v>UI-012</x:v>
      </x:c>
      <x:c r="J19" s="5" t="str">
        <x:v>소개·개요 또는 번호 없는 스타일/원칙/상호작용·예시의 개별 기준은 원문으로 보완해야 함. 섹션 매핑 자체는 전체 세부규칙 준수증거가 아님.</x:v>
      </x:c>
      <x:c r="K19" s="5" t="str">
        <x:v>재확인필요</x:v>
      </x:c>
    </x:row>
    <x:row r="20" ht="15" hidden="0" customHeight="1">
      <x:c r="A20" s="5" t="str">
        <x:v>목차·구조</x:v>
      </x:c>
      <x:c r="B20" s="5" t="str">
        <x:v>KRDS-SEC-014</x:v>
      </x:c>
      <x:c r="C20" s="5" t="str">
        <x:v>디자인 스타일</x:v>
      </x:c>
      <x:c r="D20" s="5" t="str">
        <x:v>스타일 / 엘리베이션</x:v>
      </x:c>
      <x:c r="E20" s="5" t="n">
        <x:v>177</x:v>
      </x:c>
      <x:c r="F20" s="5" t="n">
        <x:v>191</x:v>
      </x:c>
      <x:c r="G20" s="5" t="n">
        <x:v>177</x:v>
      </x:c>
      <x:c r="H20" s="5" t="n">
        <x:v>0</x:v>
      </x:c>
      <x:c r="I20" s="5" t="str">
        <x:v>UI-013</x:v>
      </x:c>
      <x:c r="J20" s="5" t="str">
        <x:v>소개·개요 또는 번호 없는 스타일/원칙/상호작용·예시의 개별 기준은 원문으로 보완해야 함. 섹션 매핑 자체는 전체 세부규칙 준수증거가 아님.</x:v>
      </x:c>
      <x:c r="K20" s="5" t="str">
        <x:v>재확인필요</x:v>
      </x:c>
    </x:row>
    <x:row r="21" ht="26.399999618530273" hidden="0" customHeight="1">
      <x:c r="A21" s="5" t="str">
        <x:v>목차·구조</x:v>
      </x:c>
      <x:c r="B21" s="5" t="str">
        <x:v>KRDS-SEC-015</x:v>
      </x:c>
      <x:c r="C21" s="5" t="str">
        <x:v>디자인 스타일</x:v>
      </x:c>
      <x:c r="D21" s="5" t="str">
        <x:v>스타일 / 선명한 화면 모드</x:v>
      </x:c>
      <x:c r="E21" s="5" t="n">
        <x:v>192</x:v>
      </x:c>
      <x:c r="F21" s="5" t="n">
        <x:v>204</x:v>
      </x:c>
      <x:c r="G21" s="5" t="n">
        <x:v>192</x:v>
      </x:c>
      <x:c r="H21" s="5" t="n">
        <x:v>0</x:v>
      </x:c>
      <x:c r="I21" s="5" t="str">
        <x:v>UI-014
UI-100</x:v>
      </x:c>
      <x:c r="J21" s="5" t="str">
        <x:v>소개·개요 또는 번호 없는 스타일/원칙/상호작용·예시의 개별 기준은 원문으로 보완해야 함. 섹션 매핑 자체는 전체 세부규칙 준수증거가 아님.</x:v>
      </x:c>
      <x:c r="K21" s="5" t="str">
        <x:v>재확인필요</x:v>
      </x:c>
    </x:row>
    <x:row r="22" ht="15" hidden="0" customHeight="1">
      <x:c r="A22" s="5" t="str">
        <x:v>목차·구조</x:v>
      </x:c>
      <x:c r="B22" s="5" t="str">
        <x:v>KRDS-SEC-016</x:v>
      </x:c>
      <x:c r="C22" s="5" t="str">
        <x:v>디자인 스타일</x:v>
      </x:c>
      <x:c r="D22" s="5" t="str">
        <x:v>스타일 / 디자인 토큰</x:v>
      </x:c>
      <x:c r="E22" s="5" t="n">
        <x:v>205</x:v>
      </x:c>
      <x:c r="F22" s="5" t="n">
        <x:v>219</x:v>
      </x:c>
      <x:c r="G22" s="5" t="n">
        <x:v>205</x:v>
      </x:c>
      <x:c r="H22" s="5" t="n">
        <x:v>0</x:v>
      </x:c>
      <x:c r="I22" s="5" t="str">
        <x:v>UI-015</x:v>
      </x:c>
      <x:c r="J22" s="5" t="str">
        <x:v>소개·개요 또는 번호 없는 스타일/원칙/상호작용·예시의 개별 기준은 원문으로 보완해야 함. 섹션 매핑 자체는 전체 세부규칙 준수증거가 아님.</x:v>
      </x:c>
      <x:c r="K22" s="5" t="str">
        <x:v>재확인필요</x:v>
      </x:c>
    </x:row>
    <x:row r="23" ht="15" hidden="0" customHeight="1">
      <x:c r="A23" s="5" t="str">
        <x:v>목차·구조</x:v>
      </x:c>
      <x:c r="B23" s="5" t="str">
        <x:v>KRDS-SEC-017</x:v>
      </x:c>
      <x:c r="C23" s="5" t="str">
        <x:v>컴포넌트</x:v>
      </x:c>
      <x:c r="D23" s="5" t="str">
        <x:v>아이덴티티 / 공식 배너</x:v>
      </x:c>
      <x:c r="E23" s="5" t="n">
        <x:v>220</x:v>
      </x:c>
      <x:c r="F23" s="5" t="n">
        <x:v>226</x:v>
      </x:c>
      <x:c r="G23" s="5" t="n">
        <x:v>220</x:v>
      </x:c>
      <x:c r="H23" s="5" t="n">
        <x:v>5</x:v>
      </x:c>
      <x:c r="I23" s="5" t="str">
        <x:v>UI-016</x:v>
      </x:c>
      <x:c r="J23" s="5" t="str">
        <x:v>소개·개요 또는 번호 없는 스타일/원칙/상호작용·예시의 개별 기준은 원문으로 보완해야 함. 섹션 매핑 자체는 전체 세부규칙 준수증거가 아님.</x:v>
      </x:c>
      <x:c r="K23" s="5" t="str">
        <x:v>재확인필요</x:v>
      </x:c>
    </x:row>
    <x:row r="24" ht="26.399999618530273" hidden="0" customHeight="1">
      <x:c r="A24" s="5" t="str">
        <x:v>목차·구조</x:v>
      </x:c>
      <x:c r="B24" s="5" t="str">
        <x:v>KRDS-SEC-018</x:v>
      </x:c>
      <x:c r="C24" s="5" t="str">
        <x:v>컴포넌트</x:v>
      </x:c>
      <x:c r="D24" s="5" t="str">
        <x:v>아이덴티티 / 운영기관 식별자</x:v>
      </x:c>
      <x:c r="E24" s="5" t="n">
        <x:v>227</x:v>
      </x:c>
      <x:c r="F24" s="5" t="n">
        <x:v>232</x:v>
      </x:c>
      <x:c r="G24" s="5" t="n">
        <x:v>227</x:v>
      </x:c>
      <x:c r="H24" s="5" t="n">
        <x:v>6</x:v>
      </x:c>
      <x:c r="I24" s="5" t="str">
        <x:v>UI-017
UI-126</x:v>
      </x:c>
      <x:c r="J24" s="5" t="str">
        <x:v>소개·개요 또는 번호 없는 스타일/원칙/상호작용·예시의 개별 기준은 원문으로 보완해야 함. 섹션 매핑 자체는 전체 세부규칙 준수증거가 아님.</x:v>
      </x:c>
      <x:c r="K24" s="5" t="str">
        <x:v>재확인필요</x:v>
      </x:c>
    </x:row>
    <x:row r="25" ht="26.399999618530273" hidden="0" customHeight="1">
      <x:c r="A25" s="5" t="str">
        <x:v>목차·구조</x:v>
      </x:c>
      <x:c r="B25" s="5" t="str">
        <x:v>KRDS-SEC-019</x:v>
      </x:c>
      <x:c r="C25" s="5" t="str">
        <x:v>컴포넌트</x:v>
      </x:c>
      <x:c r="D25" s="5" t="str">
        <x:v>아이덴티티 / 헤더</x:v>
      </x:c>
      <x:c r="E25" s="5" t="n">
        <x:v>233</x:v>
      </x:c>
      <x:c r="F25" s="5" t="n">
        <x:v>245</x:v>
      </x:c>
      <x:c r="G25" s="5" t="n">
        <x:v>233</x:v>
      </x:c>
      <x:c r="H25" s="5" t="n">
        <x:v>14</x:v>
      </x:c>
      <x:c r="I25" s="5" t="str">
        <x:v>UI-018
UI-101</x:v>
      </x:c>
      <x:c r="J25" s="5" t="str">
        <x:v>소개·개요 또는 번호 없는 스타일/원칙/상호작용·예시의 개별 기준은 원문으로 보완해야 함. 섹션 매핑 자체는 전체 세부규칙 준수증거가 아님.</x:v>
      </x:c>
      <x:c r="K25" s="5" t="str">
        <x:v>재확인필요</x:v>
      </x:c>
    </x:row>
    <x:row r="26" ht="39.599998474121094" hidden="0" customHeight="1">
      <x:c r="A26" s="5" t="str">
        <x:v>목차·구조</x:v>
      </x:c>
      <x:c r="B26" s="5" t="str">
        <x:v>KRDS-SEC-020</x:v>
      </x:c>
      <x:c r="C26" s="5" t="str">
        <x:v>컴포넌트</x:v>
      </x:c>
      <x:c r="D26" s="5" t="str">
        <x:v>아이덴티티 / 푸터</x:v>
      </x:c>
      <x:c r="E26" s="5" t="n">
        <x:v>246</x:v>
      </x:c>
      <x:c r="F26" s="5" t="n">
        <x:v>253</x:v>
      </x:c>
      <x:c r="G26" s="5" t="n">
        <x:v>246</x:v>
      </x:c>
      <x:c r="H26" s="5" t="n">
        <x:v>10</x:v>
      </x:c>
      <x:c r="I26" s="5" t="str">
        <x:v>UI-019
UI-125
UI-127</x:v>
      </x:c>
      <x:c r="J26" s="5" t="str">
        <x:v>소개·개요 또는 번호 없는 스타일/원칙/상호작용·예시의 개별 기준은 원문으로 보완해야 함. 섹션 매핑 자체는 전체 세부규칙 준수증거가 아님.</x:v>
      </x:c>
      <x:c r="K26" s="5" t="str">
        <x:v>재확인필요</x:v>
      </x:c>
    </x:row>
    <x:row r="27" ht="26.399999618530273" hidden="0" customHeight="1">
      <x:c r="A27" s="5" t="str">
        <x:v>목차·구조</x:v>
      </x:c>
      <x:c r="B27" s="5" t="str">
        <x:v>KRDS-SEC-021</x:v>
      </x:c>
      <x:c r="C27" s="5" t="str">
        <x:v>컴포넌트</x:v>
      </x:c>
      <x:c r="D27" s="5" t="str">
        <x:v>탐색 / 건너뛰기 링크</x:v>
      </x:c>
      <x:c r="E27" s="5" t="n">
        <x:v>254</x:v>
      </x:c>
      <x:c r="F27" s="5" t="n">
        <x:v>262</x:v>
      </x:c>
      <x:c r="G27" s="5" t="n">
        <x:v>254</x:v>
      </x:c>
      <x:c r="H27" s="5" t="n">
        <x:v>8</x:v>
      </x:c>
      <x:c r="I27" s="5" t="str">
        <x:v>UI-020
UI-102</x:v>
      </x:c>
      <x:c r="J27" s="5" t="str">
        <x:v>소개·개요 또는 번호 없는 스타일/원칙/상호작용·예시의 개별 기준은 원문으로 보완해야 함. 섹션 매핑 자체는 전체 세부규칙 준수증거가 아님.</x:v>
      </x:c>
      <x:c r="K27" s="5" t="str">
        <x:v>재확인필요</x:v>
      </x:c>
    </x:row>
    <x:row r="28" ht="26.399999618530273" hidden="0" customHeight="1">
      <x:c r="A28" s="5" t="str">
        <x:v>목차·구조</x:v>
      </x:c>
      <x:c r="B28" s="5" t="str">
        <x:v>KRDS-SEC-022</x:v>
      </x:c>
      <x:c r="C28" s="5" t="str">
        <x:v>컴포넌트</x:v>
      </x:c>
      <x:c r="D28" s="5" t="str">
        <x:v>탐색 / 메인 메뉴</x:v>
      </x:c>
      <x:c r="E28" s="5" t="n">
        <x:v>263</x:v>
      </x:c>
      <x:c r="F28" s="5" t="n">
        <x:v>279</x:v>
      </x:c>
      <x:c r="G28" s="5" t="n">
        <x:v>263</x:v>
      </x:c>
      <x:c r="H28" s="5" t="n">
        <x:v>15</x:v>
      </x:c>
      <x:c r="I28" s="5" t="str">
        <x:v>UI-021
UI-103</x:v>
      </x:c>
      <x:c r="J28" s="5" t="str">
        <x:v>소개·개요 또는 번호 없는 스타일/원칙/상호작용·예시의 개별 기준은 원문으로 보완해야 함. 섹션 매핑 자체는 전체 세부규칙 준수증거가 아님.</x:v>
      </x:c>
      <x:c r="K28" s="5" t="str">
        <x:v>재확인필요</x:v>
      </x:c>
    </x:row>
    <x:row r="29" ht="15" hidden="0" customHeight="1">
      <x:c r="A29" s="5" t="str">
        <x:v>목차·구조</x:v>
      </x:c>
      <x:c r="B29" s="5" t="str">
        <x:v>KRDS-SEC-023</x:v>
      </x:c>
      <x:c r="C29" s="5" t="str">
        <x:v>컴포넌트</x:v>
      </x:c>
      <x:c r="D29" s="5" t="str">
        <x:v>탐색 / 브레드크럼</x:v>
      </x:c>
      <x:c r="E29" s="5" t="n">
        <x:v>280</x:v>
      </x:c>
      <x:c r="F29" s="5" t="n">
        <x:v>292</x:v>
      </x:c>
      <x:c r="G29" s="5" t="n">
        <x:v>280</x:v>
      </x:c>
      <x:c r="H29" s="5" t="n">
        <x:v>13</x:v>
      </x:c>
      <x:c r="I29" s="5" t="str">
        <x:v>UI-022</x:v>
      </x:c>
      <x:c r="J29" s="5" t="str">
        <x:v>소개·개요 또는 번호 없는 스타일/원칙/상호작용·예시의 개별 기준은 원문으로 보완해야 함. 섹션 매핑 자체는 전체 세부규칙 준수증거가 아님.</x:v>
      </x:c>
      <x:c r="K29" s="5" t="str">
        <x:v>재확인필요</x:v>
      </x:c>
    </x:row>
    <x:row r="30" ht="15" hidden="0" customHeight="1">
      <x:c r="A30" s="5" t="str">
        <x:v>목차·구조</x:v>
      </x:c>
      <x:c r="B30" s="5" t="str">
        <x:v>KRDS-SEC-024</x:v>
      </x:c>
      <x:c r="C30" s="5" t="str">
        <x:v>컴포넌트</x:v>
      </x:c>
      <x:c r="D30" s="5" t="str">
        <x:v>탐색 / 사이드 메뉴</x:v>
      </x:c>
      <x:c r="E30" s="5" t="n">
        <x:v>293</x:v>
      </x:c>
      <x:c r="F30" s="5" t="n">
        <x:v>307</x:v>
      </x:c>
      <x:c r="G30" s="5" t="n">
        <x:v>293</x:v>
      </x:c>
      <x:c r="H30" s="5" t="n">
        <x:v>12</x:v>
      </x:c>
      <x:c r="I30" s="5" t="str">
        <x:v>UI-023</x:v>
      </x:c>
      <x:c r="J30" s="5" t="str">
        <x:v>소개·개요 또는 번호 없는 스타일/원칙/상호작용·예시의 개별 기준은 원문으로 보완해야 함. 섹션 매핑 자체는 전체 세부규칙 준수증거가 아님.</x:v>
      </x:c>
      <x:c r="K30" s="5" t="str">
        <x:v>재확인필요</x:v>
      </x:c>
    </x:row>
    <x:row r="31" ht="15" hidden="0" customHeight="1">
      <x:c r="A31" s="5" t="str">
        <x:v>목차·구조</x:v>
      </x:c>
      <x:c r="B31" s="5" t="str">
        <x:v>KRDS-SEC-025</x:v>
      </x:c>
      <x:c r="C31" s="5" t="str">
        <x:v>컴포넌트</x:v>
      </x:c>
      <x:c r="D31" s="5" t="str">
        <x:v>탐색 / 콘텐츠 내 탐색</x:v>
      </x:c>
      <x:c r="E31" s="5" t="n">
        <x:v>308</x:v>
      </x:c>
      <x:c r="F31" s="5" t="n">
        <x:v>316</x:v>
      </x:c>
      <x:c r="G31" s="5" t="n">
        <x:v>308</x:v>
      </x:c>
      <x:c r="H31" s="5" t="n">
        <x:v>9</x:v>
      </x:c>
      <x:c r="I31" s="5" t="str">
        <x:v>UI-024</x:v>
      </x:c>
      <x:c r="J31" s="5" t="str">
        <x:v>소개·개요 또는 번호 없는 스타일/원칙/상호작용·예시의 개별 기준은 원문으로 보완해야 함. 섹션 매핑 자체는 전체 세부규칙 준수증거가 아님.</x:v>
      </x:c>
      <x:c r="K31" s="5" t="str">
        <x:v>재확인필요</x:v>
      </x:c>
    </x:row>
    <x:row r="32" ht="15" hidden="0" customHeight="1">
      <x:c r="A32" s="5" t="str">
        <x:v>목차·구조</x:v>
      </x:c>
      <x:c r="B32" s="5" t="str">
        <x:v>KRDS-SEC-026</x:v>
      </x:c>
      <x:c r="C32" s="5" t="str">
        <x:v>컴포넌트</x:v>
      </x:c>
      <x:c r="D32" s="5" t="str">
        <x:v>탐색 / 페이지네이션</x:v>
      </x:c>
      <x:c r="E32" s="5" t="n">
        <x:v>317</x:v>
      </x:c>
      <x:c r="F32" s="5" t="n">
        <x:v>338</x:v>
      </x:c>
      <x:c r="G32" s="5" t="n">
        <x:v>317</x:v>
      </x:c>
      <x:c r="H32" s="5" t="n">
        <x:v>19</x:v>
      </x:c>
      <x:c r="I32" s="5" t="str">
        <x:v>UI-025</x:v>
      </x:c>
      <x:c r="J32" s="5" t="str">
        <x:v>소개·개요 또는 번호 없는 스타일/원칙/상호작용·예시의 개별 기준은 원문으로 보완해야 함. 섹션 매핑 자체는 전체 세부규칙 준수증거가 아님.</x:v>
      </x:c>
      <x:c r="K32" s="5" t="str">
        <x:v>재확인필요</x:v>
      </x:c>
    </x:row>
    <x:row r="33" ht="15" hidden="0" customHeight="1">
      <x:c r="A33" s="5" t="str">
        <x:v>목차·구조</x:v>
      </x:c>
      <x:c r="B33" s="5" t="str">
        <x:v>KRDS-SEC-027</x:v>
      </x:c>
      <x:c r="C33" s="5" t="str">
        <x:v>컴포넌트</x:v>
      </x:c>
      <x:c r="D33" s="5" t="str">
        <x:v>탐색 / 탭바</x:v>
      </x:c>
      <x:c r="E33" s="5" t="n">
        <x:v>339</x:v>
      </x:c>
      <x:c r="F33" s="5" t="n">
        <x:v>352</x:v>
      </x:c>
      <x:c r="G33" s="5" t="n">
        <x:v>339</x:v>
      </x:c>
      <x:c r="H33" s="5" t="n">
        <x:v>10</x:v>
      </x:c>
      <x:c r="I33" s="5" t="str">
        <x:v>UI-026</x:v>
      </x:c>
      <x:c r="J33" s="5" t="str">
        <x:v>소개·개요 또는 번호 없는 스타일/원칙/상호작용·예시의 개별 기준은 원문으로 보완해야 함. 섹션 매핑 자체는 전체 세부규칙 준수증거가 아님.</x:v>
      </x:c>
      <x:c r="K33" s="5" t="str">
        <x:v>재확인필요</x:v>
      </x:c>
    </x:row>
    <x:row r="34" ht="15" hidden="0" customHeight="1">
      <x:c r="A34" s="5" t="str">
        <x:v>목차·구조</x:v>
      </x:c>
      <x:c r="B34" s="5" t="str">
        <x:v>KRDS-SEC-028</x:v>
      </x:c>
      <x:c r="C34" s="5" t="str">
        <x:v>컴포넌트</x:v>
      </x:c>
      <x:c r="D34" s="5" t="str">
        <x:v>레이아웃·표현 / 구조화 목록</x:v>
      </x:c>
      <x:c r="E34" s="5" t="n">
        <x:v>353</x:v>
      </x:c>
      <x:c r="F34" s="5" t="n">
        <x:v>359</x:v>
      </x:c>
      <x:c r="G34" s="5" t="n">
        <x:v>353</x:v>
      </x:c>
      <x:c r="H34" s="5" t="n">
        <x:v>7</x:v>
      </x:c>
      <x:c r="I34" s="5" t="str">
        <x:v>UI-027</x:v>
      </x:c>
      <x:c r="J34" s="5" t="str">
        <x:v>소개·개요 또는 번호 없는 스타일/원칙/상호작용·예시의 개별 기준은 원문으로 보완해야 함. 섹션 매핑 자체는 전체 세부규칙 준수증거가 아님.</x:v>
      </x:c>
      <x:c r="K34" s="5" t="str">
        <x:v>재확인필요</x:v>
      </x:c>
    </x:row>
    <x:row r="35" ht="15" hidden="0" customHeight="1">
      <x:c r="A35" s="5" t="str">
        <x:v>목차·구조</x:v>
      </x:c>
      <x:c r="B35" s="5" t="str">
        <x:v>KRDS-SEC-029</x:v>
      </x:c>
      <x:c r="C35" s="5" t="str">
        <x:v>컴포넌트</x:v>
      </x:c>
      <x:c r="D35" s="5" t="str">
        <x:v>레이아웃·표현 / 긴급 공지</x:v>
      </x:c>
      <x:c r="E35" s="5" t="n">
        <x:v>360</x:v>
      </x:c>
      <x:c r="F35" s="5" t="n">
        <x:v>367</x:v>
      </x:c>
      <x:c r="G35" s="5" t="n">
        <x:v>360</x:v>
      </x:c>
      <x:c r="H35" s="5" t="n">
        <x:v>11</x:v>
      </x:c>
      <x:c r="I35" s="5" t="str">
        <x:v>UI-028</x:v>
      </x:c>
      <x:c r="J35" s="5" t="str">
        <x:v>소개·개요 또는 번호 없는 스타일/원칙/상호작용·예시의 개별 기준은 원문으로 보완해야 함. 섹션 매핑 자체는 전체 세부규칙 준수증거가 아님.</x:v>
      </x:c>
      <x:c r="K35" s="5" t="str">
        <x:v>재확인필요</x:v>
      </x:c>
    </x:row>
    <x:row r="36" ht="15" hidden="0" customHeight="1">
      <x:c r="A36" s="5" t="str">
        <x:v>목차·구조</x:v>
      </x:c>
      <x:c r="B36" s="5" t="str">
        <x:v>KRDS-SEC-030</x:v>
      </x:c>
      <x:c r="C36" s="5" t="str">
        <x:v>컴포넌트</x:v>
      </x:c>
      <x:c r="D36" s="5" t="str">
        <x:v>레이아웃·표현 / 달력</x:v>
      </x:c>
      <x:c r="E36" s="5" t="n">
        <x:v>368</x:v>
      </x:c>
      <x:c r="F36" s="5" t="n">
        <x:v>378</x:v>
      </x:c>
      <x:c r="G36" s="5" t="n">
        <x:v>368</x:v>
      </x:c>
      <x:c r="H36" s="5" t="n">
        <x:v>8</x:v>
      </x:c>
      <x:c r="I36" s="5" t="str">
        <x:v>UI-029</x:v>
      </x:c>
      <x:c r="J36" s="5" t="str">
        <x:v>소개·개요 또는 번호 없는 스타일/원칙/상호작용·예시의 개별 기준은 원문으로 보완해야 함. 섹션 매핑 자체는 전체 세부규칙 준수증거가 아님.</x:v>
      </x:c>
      <x:c r="K36" s="5" t="str">
        <x:v>재확인필요</x:v>
      </x:c>
    </x:row>
    <x:row r="37" ht="15" hidden="0" customHeight="1">
      <x:c r="A37" s="5" t="str">
        <x:v>목차·구조</x:v>
      </x:c>
      <x:c r="B37" s="5" t="str">
        <x:v>KRDS-SEC-031</x:v>
      </x:c>
      <x:c r="C37" s="5" t="str">
        <x:v>컴포넌트</x:v>
      </x:c>
      <x:c r="D37" s="5" t="str">
        <x:v>레이아웃·표현 / 디스클로저</x:v>
      </x:c>
      <x:c r="E37" s="5" t="n">
        <x:v>379</x:v>
      </x:c>
      <x:c r="F37" s="5" t="n">
        <x:v>386</x:v>
      </x:c>
      <x:c r="G37" s="5" t="n">
        <x:v>379</x:v>
      </x:c>
      <x:c r="H37" s="5" t="n">
        <x:v>5</x:v>
      </x:c>
      <x:c r="I37" s="5" t="str">
        <x:v>UI-030</x:v>
      </x:c>
      <x:c r="J37" s="5" t="str">
        <x:v>소개·개요 또는 번호 없는 스타일/원칙/상호작용·예시의 개별 기준은 원문으로 보완해야 함. 섹션 매핑 자체는 전체 세부규칙 준수증거가 아님.</x:v>
      </x:c>
      <x:c r="K37" s="5" t="str">
        <x:v>재확인필요</x:v>
      </x:c>
    </x:row>
    <x:row r="38" ht="39.599998474121094" hidden="0" customHeight="1">
      <x:c r="A38" s="5" t="str">
        <x:v>목차·구조</x:v>
      </x:c>
      <x:c r="B38" s="5" t="str">
        <x:v>KRDS-SEC-032</x:v>
      </x:c>
      <x:c r="C38" s="5" t="str">
        <x:v>컴포넌트</x:v>
      </x:c>
      <x:c r="D38" s="5" t="str">
        <x:v>레이아웃·표현 / 모달</x:v>
      </x:c>
      <x:c r="E38" s="5" t="n">
        <x:v>387</x:v>
      </x:c>
      <x:c r="F38" s="5" t="n">
        <x:v>398</x:v>
      </x:c>
      <x:c r="G38" s="5" t="n">
        <x:v>387</x:v>
      </x:c>
      <x:c r="H38" s="5" t="n">
        <x:v>7</x:v>
      </x:c>
      <x:c r="I38" s="5" t="str">
        <x:v>UI-031
UI-104
UI-105</x:v>
      </x:c>
      <x:c r="J38" s="5" t="str">
        <x:v>소개·개요 또는 번호 없는 스타일/원칙/상호작용·예시의 개별 기준은 원문으로 보완해야 함. 섹션 매핑 자체는 전체 세부규칙 준수증거가 아님.</x:v>
      </x:c>
      <x:c r="K38" s="5" t="str">
        <x:v>재확인필요</x:v>
      </x:c>
    </x:row>
    <x:row r="39" ht="15" hidden="0" customHeight="1">
      <x:c r="A39" s="5" t="str">
        <x:v>목차·구조</x:v>
      </x:c>
      <x:c r="B39" s="5" t="str">
        <x:v>KRDS-SEC-033</x:v>
      </x:c>
      <x:c r="C39" s="5" t="str">
        <x:v>컴포넌트</x:v>
      </x:c>
      <x:c r="D39" s="5" t="str">
        <x:v>레이아웃·표현 / 배지</x:v>
      </x:c>
      <x:c r="E39" s="5" t="n">
        <x:v>399</x:v>
      </x:c>
      <x:c r="F39" s="5" t="n">
        <x:v>404</x:v>
      </x:c>
      <x:c r="G39" s="5" t="n">
        <x:v>399</x:v>
      </x:c>
      <x:c r="H39" s="5" t="n">
        <x:v>7</x:v>
      </x:c>
      <x:c r="I39" s="5" t="str">
        <x:v>UI-032</x:v>
      </x:c>
      <x:c r="J39" s="5" t="str">
        <x:v>소개·개요 또는 번호 없는 스타일/원칙/상호작용·예시의 개별 기준은 원문으로 보완해야 함. 섹션 매핑 자체는 전체 세부규칙 준수증거가 아님.</x:v>
      </x:c>
      <x:c r="K39" s="5" t="str">
        <x:v>재확인필요</x:v>
      </x:c>
    </x:row>
    <x:row r="40" ht="15" hidden="0" customHeight="1">
      <x:c r="A40" s="5" t="str">
        <x:v>목차·구조</x:v>
      </x:c>
      <x:c r="B40" s="5" t="str">
        <x:v>KRDS-SEC-034</x:v>
      </x:c>
      <x:c r="C40" s="5" t="str">
        <x:v>컴포넌트</x:v>
      </x:c>
      <x:c r="D40" s="5" t="str">
        <x:v>레이아웃·표현 / 아코디언</x:v>
      </x:c>
      <x:c r="E40" s="5" t="n">
        <x:v>405</x:v>
      </x:c>
      <x:c r="F40" s="5" t="n">
        <x:v>415</x:v>
      </x:c>
      <x:c r="G40" s="5" t="n">
        <x:v>405</x:v>
      </x:c>
      <x:c r="H40" s="5" t="n">
        <x:v>8</x:v>
      </x:c>
      <x:c r="I40" s="5" t="str">
        <x:v>UI-033</x:v>
      </x:c>
      <x:c r="J40" s="5" t="str">
        <x:v>소개·개요 또는 번호 없는 스타일/원칙/상호작용·예시의 개별 기준은 원문으로 보완해야 함. 섹션 매핑 자체는 전체 세부규칙 준수증거가 아님.</x:v>
      </x:c>
      <x:c r="K40" s="5" t="str">
        <x:v>재확인필요</x:v>
      </x:c>
    </x:row>
    <x:row r="41" ht="15" hidden="0" customHeight="1">
      <x:c r="A41" s="5" t="str">
        <x:v>목차·구조</x:v>
      </x:c>
      <x:c r="B41" s="5" t="str">
        <x:v>KRDS-SEC-035</x:v>
      </x:c>
      <x:c r="C41" s="5" t="str">
        <x:v>컴포넌트</x:v>
      </x:c>
      <x:c r="D41" s="5" t="str">
        <x:v>레이아웃·표현 / 이미지</x:v>
      </x:c>
      <x:c r="E41" s="5" t="n">
        <x:v>416</x:v>
      </x:c>
      <x:c r="F41" s="5" t="n">
        <x:v>423</x:v>
      </x:c>
      <x:c r="G41" s="5" t="n">
        <x:v>416</x:v>
      </x:c>
      <x:c r="H41" s="5" t="n">
        <x:v>6</x:v>
      </x:c>
      <x:c r="I41" s="5" t="str">
        <x:v>UI-034</x:v>
      </x:c>
      <x:c r="J41" s="5" t="str">
        <x:v>소개·개요 또는 번호 없는 스타일/원칙/상호작용·예시의 개별 기준은 원문으로 보완해야 함. 섹션 매핑 자체는 전체 세부규칙 준수증거가 아님.</x:v>
      </x:c>
      <x:c r="K41" s="5" t="str">
        <x:v>재확인필요</x:v>
      </x:c>
    </x:row>
    <x:row r="42" ht="15" hidden="0" customHeight="1">
      <x:c r="A42" s="5" t="str">
        <x:v>목차·구조</x:v>
      </x:c>
      <x:c r="B42" s="5" t="str">
        <x:v>KRDS-SEC-036</x:v>
      </x:c>
      <x:c r="C42" s="5" t="str">
        <x:v>컴포넌트</x:v>
      </x:c>
      <x:c r="D42" s="5" t="str">
        <x:v>레이아웃·표현 / 캐러셀</x:v>
      </x:c>
      <x:c r="E42" s="5" t="n">
        <x:v>424</x:v>
      </x:c>
      <x:c r="F42" s="5" t="n">
        <x:v>444</x:v>
      </x:c>
      <x:c r="G42" s="5" t="n">
        <x:v>424</x:v>
      </x:c>
      <x:c r="H42" s="5" t="n">
        <x:v>18</x:v>
      </x:c>
      <x:c r="I42" s="5" t="str">
        <x:v>UI-035</x:v>
      </x:c>
      <x:c r="J42" s="5" t="str">
        <x:v>소개·개요 또는 번호 없는 스타일/원칙/상호작용·예시의 개별 기준은 원문으로 보완해야 함. 섹션 매핑 자체는 전체 세부규칙 준수증거가 아님.</x:v>
      </x:c>
      <x:c r="K42" s="5" t="str">
        <x:v>재확인필요</x:v>
      </x:c>
    </x:row>
    <x:row r="43" ht="15" hidden="0" customHeight="1">
      <x:c r="A43" s="5" t="str">
        <x:v>목차·구조</x:v>
      </x:c>
      <x:c r="B43" s="5" t="str">
        <x:v>KRDS-SEC-037</x:v>
      </x:c>
      <x:c r="C43" s="5" t="str">
        <x:v>컴포넌트</x:v>
      </x:c>
      <x:c r="D43" s="5" t="str">
        <x:v>레이아웃·표현 / 탭</x:v>
      </x:c>
      <x:c r="E43" s="5" t="n">
        <x:v>445</x:v>
      </x:c>
      <x:c r="F43" s="5" t="n">
        <x:v>458</x:v>
      </x:c>
      <x:c r="G43" s="5" t="n">
        <x:v>445</x:v>
      </x:c>
      <x:c r="H43" s="5" t="n">
        <x:v>11</x:v>
      </x:c>
      <x:c r="I43" s="5" t="str">
        <x:v>UI-036</x:v>
      </x:c>
      <x:c r="J43" s="5" t="str">
        <x:v>소개·개요 또는 번호 없는 스타일/원칙/상호작용·예시의 개별 기준은 원문으로 보완해야 함. 섹션 매핑 자체는 전체 세부규칙 준수증거가 아님.</x:v>
      </x:c>
      <x:c r="K43" s="5" t="str">
        <x:v>재확인필요</x:v>
      </x:c>
    </x:row>
    <x:row r="44" ht="26.399999618530273" hidden="0" customHeight="1">
      <x:c r="A44" s="5" t="str">
        <x:v>목차·구조</x:v>
      </x:c>
      <x:c r="B44" s="5" t="str">
        <x:v>KRDS-SEC-038</x:v>
      </x:c>
      <x:c r="C44" s="5" t="str">
        <x:v>컴포넌트</x:v>
      </x:c>
      <x:c r="D44" s="5" t="str">
        <x:v>레이아웃·표현 / 표</x:v>
      </x:c>
      <x:c r="E44" s="5" t="n">
        <x:v>459</x:v>
      </x:c>
      <x:c r="F44" s="5" t="n">
        <x:v>470</x:v>
      </x:c>
      <x:c r="G44" s="5" t="n">
        <x:v>459</x:v>
      </x:c>
      <x:c r="H44" s="5" t="n">
        <x:v>12</x:v>
      </x:c>
      <x:c r="I44" s="5" t="str">
        <x:v>UI-037
UI-106</x:v>
      </x:c>
      <x:c r="J44" s="5" t="str">
        <x:v>소개·개요 또는 번호 없는 스타일/원칙/상호작용·예시의 개별 기준은 원문으로 보완해야 함. 섹션 매핑 자체는 전체 세부규칙 준수증거가 아님.</x:v>
      </x:c>
      <x:c r="K44" s="5" t="str">
        <x:v>재확인필요</x:v>
      </x:c>
    </x:row>
    <x:row r="45" ht="15" hidden="0" customHeight="1">
      <x:c r="A45" s="5" t="str">
        <x:v>목차·구조</x:v>
      </x:c>
      <x:c r="B45" s="5" t="str">
        <x:v>KRDS-SEC-039</x:v>
      </x:c>
      <x:c r="C45" s="5" t="str">
        <x:v>컴포넌트</x:v>
      </x:c>
      <x:c r="D45" s="5" t="str">
        <x:v>레이아웃·표현 / 스플래시 스크린</x:v>
      </x:c>
      <x:c r="E45" s="5" t="n">
        <x:v>471</x:v>
      </x:c>
      <x:c r="F45" s="5" t="n">
        <x:v>483</x:v>
      </x:c>
      <x:c r="G45" s="5" t="n">
        <x:v>471</x:v>
      </x:c>
      <x:c r="H45" s="5" t="n">
        <x:v>6</x:v>
      </x:c>
      <x:c r="I45" s="5" t="str">
        <x:v>UI-038</x:v>
      </x:c>
      <x:c r="J45" s="5" t="str">
        <x:v>소개·개요 또는 번호 없는 스타일/원칙/상호작용·예시의 개별 기준은 원문으로 보완해야 함. 섹션 매핑 자체는 전체 세부규칙 준수증거가 아님.</x:v>
      </x:c>
      <x:c r="K45" s="5" t="str">
        <x:v>재확인필요</x:v>
      </x:c>
    </x:row>
    <x:row r="46" ht="15" hidden="0" customHeight="1">
      <x:c r="A46" s="5" t="str">
        <x:v>목차·구조</x:v>
      </x:c>
      <x:c r="B46" s="5" t="str">
        <x:v>KRDS-SEC-040</x:v>
      </x:c>
      <x:c r="C46" s="5" t="str">
        <x:v>컴포넌트</x:v>
      </x:c>
      <x:c r="D46" s="5" t="str">
        <x:v>레이아웃·표현 / 텍스트 목록</x:v>
      </x:c>
      <x:c r="E46" s="5" t="n">
        <x:v>484</x:v>
      </x:c>
      <x:c r="F46" s="5" t="n">
        <x:v>494</x:v>
      </x:c>
      <x:c r="G46" s="5" t="n">
        <x:v>484</x:v>
      </x:c>
      <x:c r="H46" s="5" t="n">
        <x:v>5</x:v>
      </x:c>
      <x:c r="I46" s="5" t="str">
        <x:v>UI-039</x:v>
      </x:c>
      <x:c r="J46" s="5" t="str">
        <x:v>소개·개요 또는 번호 없는 스타일/원칙/상호작용·예시의 개별 기준은 원문으로 보완해야 함. 섹션 매핑 자체는 전체 세부규칙 준수증거가 아님.</x:v>
      </x:c>
      <x:c r="K46" s="5" t="str">
        <x:v>재확인필요</x:v>
      </x:c>
    </x:row>
    <x:row r="47" ht="15" hidden="0" customHeight="1">
      <x:c r="A47" s="5" t="str">
        <x:v>목차·구조</x:v>
      </x:c>
      <x:c r="B47" s="5" t="str">
        <x:v>KRDS-SEC-041</x:v>
      </x:c>
      <x:c r="C47" s="5" t="str">
        <x:v>컴포넌트</x:v>
      </x:c>
      <x:c r="D47" s="5" t="str">
        <x:v>액션 / 링크</x:v>
      </x:c>
      <x:c r="E47" s="5" t="n">
        <x:v>495</x:v>
      </x:c>
      <x:c r="F47" s="5" t="n">
        <x:v>509</x:v>
      </x:c>
      <x:c r="G47" s="5" t="n">
        <x:v>495</x:v>
      </x:c>
      <x:c r="H47" s="5" t="n">
        <x:v>12</x:v>
      </x:c>
      <x:c r="I47" s="5" t="str">
        <x:v>UI-040</x:v>
      </x:c>
      <x:c r="J47" s="5" t="str">
        <x:v>소개·개요 또는 번호 없는 스타일/원칙/상호작용·예시의 개별 기준은 원문으로 보완해야 함. 섹션 매핑 자체는 전체 세부규칙 준수증거가 아님.</x:v>
      </x:c>
      <x:c r="K47" s="5" t="str">
        <x:v>재확인필요</x:v>
      </x:c>
    </x:row>
    <x:row r="48" ht="15" hidden="0" customHeight="1">
      <x:c r="A48" s="5" t="str">
        <x:v>목차·구조</x:v>
      </x:c>
      <x:c r="B48" s="5" t="str">
        <x:v>KRDS-SEC-042</x:v>
      </x:c>
      <x:c r="C48" s="5" t="str">
        <x:v>컴포넌트</x:v>
      </x:c>
      <x:c r="D48" s="5" t="str">
        <x:v>액션 / 버튼</x:v>
      </x:c>
      <x:c r="E48" s="5" t="n">
        <x:v>510</x:v>
      </x:c>
      <x:c r="F48" s="5" t="n">
        <x:v>522</x:v>
      </x:c>
      <x:c r="G48" s="5" t="n">
        <x:v>510</x:v>
      </x:c>
      <x:c r="H48" s="5" t="n">
        <x:v>14</x:v>
      </x:c>
      <x:c r="I48" s="5" t="str">
        <x:v>UI-041</x:v>
      </x:c>
      <x:c r="J48" s="5" t="str">
        <x:v>소개·개요 또는 번호 없는 스타일/원칙/상호작용·예시의 개별 기준은 원문으로 보완해야 함. 섹션 매핑 자체는 전체 세부규칙 준수증거가 아님.</x:v>
      </x:c>
      <x:c r="K48" s="5" t="str">
        <x:v>재확인필요</x:v>
      </x:c>
    </x:row>
    <x:row r="49" ht="15" hidden="0" customHeight="1">
      <x:c r="A49" s="5" t="str">
        <x:v>목차·구조</x:v>
      </x:c>
      <x:c r="B49" s="5" t="str">
        <x:v>KRDS-SEC-043</x:v>
      </x:c>
      <x:c r="C49" s="5" t="str">
        <x:v>컴포넌트</x:v>
      </x:c>
      <x:c r="D49" s="5" t="str">
        <x:v>선택 / 라디오 버튼</x:v>
      </x:c>
      <x:c r="E49" s="5" t="n">
        <x:v>523</x:v>
      </x:c>
      <x:c r="F49" s="5" t="n">
        <x:v>537</x:v>
      </x:c>
      <x:c r="G49" s="5" t="n">
        <x:v>523</x:v>
      </x:c>
      <x:c r="H49" s="5" t="n">
        <x:v>12</x:v>
      </x:c>
      <x:c r="I49" s="5" t="str">
        <x:v>UI-042</x:v>
      </x:c>
      <x:c r="J49" s="5" t="str">
        <x:v>소개·개요 또는 번호 없는 스타일/원칙/상호작용·예시의 개별 기준은 원문으로 보완해야 함. 섹션 매핑 자체는 전체 세부규칙 준수증거가 아님.</x:v>
      </x:c>
      <x:c r="K49" s="5" t="str">
        <x:v>재확인필요</x:v>
      </x:c>
    </x:row>
    <x:row r="50" ht="26.399999618530273" hidden="0" customHeight="1">
      <x:c r="A50" s="5" t="str">
        <x:v>목차·구조</x:v>
      </x:c>
      <x:c r="B50" s="5" t="str">
        <x:v>KRDS-SEC-044</x:v>
      </x:c>
      <x:c r="C50" s="5" t="str">
        <x:v>컴포넌트</x:v>
      </x:c>
      <x:c r="D50" s="5" t="str">
        <x:v>선택 / 체크박스</x:v>
      </x:c>
      <x:c r="E50" s="5" t="n">
        <x:v>538</x:v>
      </x:c>
      <x:c r="F50" s="5" t="n">
        <x:v>550</x:v>
      </x:c>
      <x:c r="G50" s="5" t="n">
        <x:v>538</x:v>
      </x:c>
      <x:c r="H50" s="5" t="n">
        <x:v>10</x:v>
      </x:c>
      <x:c r="I50" s="5" t="str">
        <x:v>UI-043
UI-107</x:v>
      </x:c>
      <x:c r="J50" s="5" t="str">
        <x:v>소개·개요 또는 번호 없는 스타일/원칙/상호작용·예시의 개별 기준은 원문으로 보완해야 함. 섹션 매핑 자체는 전체 세부규칙 준수증거가 아님.</x:v>
      </x:c>
      <x:c r="K50" s="5" t="str">
        <x:v>재확인필요</x:v>
      </x:c>
    </x:row>
    <x:row r="51" ht="26.399999618530273" hidden="0" customHeight="1">
      <x:c r="A51" s="5" t="str">
        <x:v>목차·구조</x:v>
      </x:c>
      <x:c r="B51" s="5" t="str">
        <x:v>KRDS-SEC-045</x:v>
      </x:c>
      <x:c r="C51" s="5" t="str">
        <x:v>컴포넌트</x:v>
      </x:c>
      <x:c r="D51" s="5" t="str">
        <x:v>선택 / 셀렉트</x:v>
      </x:c>
      <x:c r="E51" s="5" t="n">
        <x:v>551</x:v>
      </x:c>
      <x:c r="F51" s="5" t="n">
        <x:v>558</x:v>
      </x:c>
      <x:c r="G51" s="5" t="n">
        <x:v>551</x:v>
      </x:c>
      <x:c r="H51" s="5" t="n">
        <x:v>5</x:v>
      </x:c>
      <x:c r="I51" s="5" t="str">
        <x:v>UI-044
UI-108</x:v>
      </x:c>
      <x:c r="J51" s="5" t="str">
        <x:v>소개·개요 또는 번호 없는 스타일/원칙/상호작용·예시의 개별 기준은 원문으로 보완해야 함. 섹션 매핑 자체는 전체 세부규칙 준수증거가 아님.</x:v>
      </x:c>
      <x:c r="K51" s="5" t="str">
        <x:v>재확인필요</x:v>
      </x:c>
    </x:row>
    <x:row r="52" ht="15" hidden="0" customHeight="1">
      <x:c r="A52" s="5" t="str">
        <x:v>목차·구조</x:v>
      </x:c>
      <x:c r="B52" s="5" t="str">
        <x:v>KRDS-SEC-046</x:v>
      </x:c>
      <x:c r="C52" s="5" t="str">
        <x:v>컴포넌트</x:v>
      </x:c>
      <x:c r="D52" s="5" t="str">
        <x:v>선택 / 태그</x:v>
      </x:c>
      <x:c r="E52" s="5" t="n">
        <x:v>559</x:v>
      </x:c>
      <x:c r="F52" s="5" t="n">
        <x:v>569</x:v>
      </x:c>
      <x:c r="G52" s="5" t="n">
        <x:v>559</x:v>
      </x:c>
      <x:c r="H52" s="5" t="n">
        <x:v>10</x:v>
      </x:c>
      <x:c r="I52" s="5" t="str">
        <x:v>UI-045</x:v>
      </x:c>
      <x:c r="J52" s="5" t="str">
        <x:v>소개·개요 또는 번호 없는 스타일/원칙/상호작용·예시의 개별 기준은 원문으로 보완해야 함. 섹션 매핑 자체는 전체 세부규칙 준수증거가 아님.</x:v>
      </x:c>
      <x:c r="K52" s="5" t="str">
        <x:v>재확인필요</x:v>
      </x:c>
    </x:row>
    <x:row r="53" ht="26.399999618530273" hidden="0" customHeight="1">
      <x:c r="A53" s="5" t="str">
        <x:v>목차·구조</x:v>
      </x:c>
      <x:c r="B53" s="5" t="str">
        <x:v>KRDS-SEC-047</x:v>
      </x:c>
      <x:c r="C53" s="5" t="str">
        <x:v>컴포넌트</x:v>
      </x:c>
      <x:c r="D53" s="5" t="str">
        <x:v>선택 / 토글 스위치</x:v>
      </x:c>
      <x:c r="E53" s="5" t="n">
        <x:v>570</x:v>
      </x:c>
      <x:c r="F53" s="5" t="n">
        <x:v>581</x:v>
      </x:c>
      <x:c r="G53" s="5" t="n">
        <x:v>570</x:v>
      </x:c>
      <x:c r="H53" s="5" t="n">
        <x:v>9</x:v>
      </x:c>
      <x:c r="I53" s="5" t="str">
        <x:v>UI-046
UI-109</x:v>
      </x:c>
      <x:c r="J53" s="5" t="str">
        <x:v>소개·개요 또는 번호 없는 스타일/원칙/상호작용·예시의 개별 기준은 원문으로 보완해야 함. 섹션 매핑 자체는 전체 세부규칙 준수증거가 아님.</x:v>
      </x:c>
      <x:c r="K53" s="5" t="str">
        <x:v>재확인필요</x:v>
      </x:c>
    </x:row>
    <x:row r="54" ht="15" hidden="0" customHeight="1">
      <x:c r="A54" s="5" t="str">
        <x:v>목차·구조</x:v>
      </x:c>
      <x:c r="B54" s="5" t="str">
        <x:v>KRDS-SEC-048</x:v>
      </x:c>
      <x:c r="C54" s="5" t="str">
        <x:v>컴포넌트</x:v>
      </x:c>
      <x:c r="D54" s="5" t="str">
        <x:v>피드백 / 단계 표시기</x:v>
      </x:c>
      <x:c r="E54" s="5" t="n">
        <x:v>582</x:v>
      </x:c>
      <x:c r="F54" s="5" t="n">
        <x:v>588</x:v>
      </x:c>
      <x:c r="G54" s="5" t="n">
        <x:v>582</x:v>
      </x:c>
      <x:c r="H54" s="5" t="n">
        <x:v>9</x:v>
      </x:c>
      <x:c r="I54" s="5" t="str">
        <x:v>UI-047</x:v>
      </x:c>
      <x:c r="J54" s="5" t="str">
        <x:v>소개·개요 또는 번호 없는 스타일/원칙/상호작용·예시의 개별 기준은 원문으로 보완해야 함. 섹션 매핑 자체는 전체 세부규칙 준수증거가 아님.</x:v>
      </x:c>
      <x:c r="K54" s="5" t="str">
        <x:v>재확인필요</x:v>
      </x:c>
    </x:row>
    <x:row r="55" ht="15" hidden="0" customHeight="1">
      <x:c r="A55" s="5" t="str">
        <x:v>목차·구조</x:v>
      </x:c>
      <x:c r="B55" s="5" t="str">
        <x:v>KRDS-SEC-049</x:v>
      </x:c>
      <x:c r="C55" s="5" t="str">
        <x:v>컴포넌트</x:v>
      </x:c>
      <x:c r="D55" s="5" t="str">
        <x:v>피드백 / 스피너</x:v>
      </x:c>
      <x:c r="E55" s="5" t="n">
        <x:v>589</x:v>
      </x:c>
      <x:c r="F55" s="5" t="n">
        <x:v>597</x:v>
      </x:c>
      <x:c r="G55" s="5" t="n">
        <x:v>589</x:v>
      </x:c>
      <x:c r="H55" s="5" t="n">
        <x:v>7</x:v>
      </x:c>
      <x:c r="I55" s="5" t="str">
        <x:v>UI-048</x:v>
      </x:c>
      <x:c r="J55" s="5" t="str">
        <x:v>소개·개요 또는 번호 없는 스타일/원칙/상호작용·예시의 개별 기준은 원문으로 보완해야 함. 섹션 매핑 자체는 전체 세부규칙 준수증거가 아님.</x:v>
      </x:c>
      <x:c r="K55" s="5" t="str">
        <x:v>재확인필요</x:v>
      </x:c>
    </x:row>
    <x:row r="56" ht="15" hidden="0" customHeight="1">
      <x:c r="A56" s="5" t="str">
        <x:v>목차·구조</x:v>
      </x:c>
      <x:c r="B56" s="5" t="str">
        <x:v>KRDS-SEC-050</x:v>
      </x:c>
      <x:c r="C56" s="5" t="str">
        <x:v>컴포넌트</x:v>
      </x:c>
      <x:c r="D56" s="5" t="str">
        <x:v>도움 / 도움 패널</x:v>
      </x:c>
      <x:c r="E56" s="5" t="n">
        <x:v>598</x:v>
      </x:c>
      <x:c r="F56" s="5" t="n">
        <x:v>610</x:v>
      </x:c>
      <x:c r="G56" s="5" t="n">
        <x:v>598</x:v>
      </x:c>
      <x:c r="H56" s="5" t="n">
        <x:v>15</x:v>
      </x:c>
      <x:c r="I56" s="5" t="str">
        <x:v>UI-049</x:v>
      </x:c>
      <x:c r="J56" s="5" t="str">
        <x:v>소개·개요 또는 번호 없는 스타일/원칙/상호작용·예시의 개별 기준은 원문으로 보완해야 함. 섹션 매핑 자체는 전체 세부규칙 준수증거가 아님.</x:v>
      </x:c>
      <x:c r="K56" s="5" t="str">
        <x:v>재확인필요</x:v>
      </x:c>
    </x:row>
    <x:row r="57" ht="15" hidden="0" customHeight="1">
      <x:c r="A57" s="5" t="str">
        <x:v>목차·구조</x:v>
      </x:c>
      <x:c r="B57" s="5" t="str">
        <x:v>KRDS-SEC-051</x:v>
      </x:c>
      <x:c r="C57" s="5" t="str">
        <x:v>컴포넌트</x:v>
      </x:c>
      <x:c r="D57" s="5" t="str">
        <x:v>도움 / 따라하기 패널</x:v>
      </x:c>
      <x:c r="E57" s="5" t="n">
        <x:v>611</x:v>
      </x:c>
      <x:c r="F57" s="5" t="n">
        <x:v>619</x:v>
      </x:c>
      <x:c r="G57" s="5" t="n">
        <x:v>611</x:v>
      </x:c>
      <x:c r="H57" s="5" t="n">
        <x:v>7</x:v>
      </x:c>
      <x:c r="I57" s="5" t="str">
        <x:v>UI-050</x:v>
      </x:c>
      <x:c r="J57" s="5" t="str">
        <x:v>소개·개요 또는 번호 없는 스타일/원칙/상호작용·예시의 개별 기준은 원문으로 보완해야 함. 섹션 매핑 자체는 전체 세부규칙 준수증거가 아님.</x:v>
      </x:c>
      <x:c r="K57" s="5" t="str">
        <x:v>재확인필요</x:v>
      </x:c>
    </x:row>
    <x:row r="58" ht="15" hidden="0" customHeight="1">
      <x:c r="A58" s="5" t="str">
        <x:v>목차·구조</x:v>
      </x:c>
      <x:c r="B58" s="5" t="str">
        <x:v>KRDS-SEC-052</x:v>
      </x:c>
      <x:c r="C58" s="5" t="str">
        <x:v>컴포넌트</x:v>
      </x:c>
      <x:c r="D58" s="5" t="str">
        <x:v>도움 / 맥락적 도움말</x:v>
      </x:c>
      <x:c r="E58" s="5" t="n">
        <x:v>620</x:v>
      </x:c>
      <x:c r="F58" s="5" t="n">
        <x:v>635</x:v>
      </x:c>
      <x:c r="G58" s="5" t="n">
        <x:v>620</x:v>
      </x:c>
      <x:c r="H58" s="5" t="n">
        <x:v>15</x:v>
      </x:c>
      <x:c r="I58" s="5" t="str">
        <x:v>UI-051</x:v>
      </x:c>
      <x:c r="J58" s="5" t="str">
        <x:v>소개·개요 또는 번호 없는 스타일/원칙/상호작용·예시의 개별 기준은 원문으로 보완해야 함. 섹션 매핑 자체는 전체 세부규칙 준수증거가 아님.</x:v>
      </x:c>
      <x:c r="K58" s="5" t="str">
        <x:v>재확인필요</x:v>
      </x:c>
    </x:row>
    <x:row r="59" ht="15" hidden="0" customHeight="1">
      <x:c r="A59" s="5" t="str">
        <x:v>목차·구조</x:v>
      </x:c>
      <x:c r="B59" s="5" t="str">
        <x:v>KRDS-SEC-053</x:v>
      </x:c>
      <x:c r="C59" s="5" t="str">
        <x:v>컴포넌트</x:v>
      </x:c>
      <x:c r="D59" s="5" t="str">
        <x:v>도움 / 코치마크</x:v>
      </x:c>
      <x:c r="E59" s="5" t="n">
        <x:v>636</x:v>
      </x:c>
      <x:c r="F59" s="5" t="n">
        <x:v>648</x:v>
      </x:c>
      <x:c r="G59" s="5" t="n">
        <x:v>636</x:v>
      </x:c>
      <x:c r="H59" s="5" t="n">
        <x:v>16</x:v>
      </x:c>
      <x:c r="I59" s="5" t="str">
        <x:v>UI-052</x:v>
      </x:c>
      <x:c r="J59" s="5" t="str">
        <x:v>소개·개요 또는 번호 없는 스타일/원칙/상호작용·예시의 개별 기준은 원문으로 보완해야 함. 섹션 매핑 자체는 전체 세부규칙 준수증거가 아님.</x:v>
      </x:c>
      <x:c r="K59" s="5" t="str">
        <x:v>재확인필요</x:v>
      </x:c>
    </x:row>
    <x:row r="60" ht="26.399999618530273" hidden="0" customHeight="1">
      <x:c r="A60" s="5" t="str">
        <x:v>목차·구조</x:v>
      </x:c>
      <x:c r="B60" s="5" t="str">
        <x:v>KRDS-SEC-054</x:v>
      </x:c>
      <x:c r="C60" s="5" t="str">
        <x:v>컴포넌트</x:v>
      </x:c>
      <x:c r="D60" s="5" t="str">
        <x:v>도움 / 툴팁</x:v>
      </x:c>
      <x:c r="E60" s="5" t="n">
        <x:v>649</x:v>
      </x:c>
      <x:c r="F60" s="5" t="n">
        <x:v>663</x:v>
      </x:c>
      <x:c r="G60" s="5" t="n">
        <x:v>649</x:v>
      </x:c>
      <x:c r="H60" s="5" t="n">
        <x:v>12</x:v>
      </x:c>
      <x:c r="I60" s="5" t="str">
        <x:v>UI-053
UI-110</x:v>
      </x:c>
      <x:c r="J60" s="5" t="str">
        <x:v>소개·개요 또는 번호 없는 스타일/원칙/상호작용·예시의 개별 기준은 원문으로 보완해야 함. 섹션 매핑 자체는 전체 세부규칙 준수증거가 아님.</x:v>
      </x:c>
      <x:c r="K60" s="5" t="str">
        <x:v>재확인필요</x:v>
      </x:c>
    </x:row>
    <x:row r="61" ht="15" hidden="0" customHeight="1">
      <x:c r="A61" s="5" t="str">
        <x:v>목차·구조</x:v>
      </x:c>
      <x:c r="B61" s="5" t="str">
        <x:v>KRDS-SEC-055</x:v>
      </x:c>
      <x:c r="C61" s="5" t="str">
        <x:v>컴포넌트</x:v>
      </x:c>
      <x:c r="D61" s="5" t="str">
        <x:v>입력 / 날짜 입력 필드</x:v>
      </x:c>
      <x:c r="E61" s="5" t="n">
        <x:v>664</x:v>
      </x:c>
      <x:c r="F61" s="5" t="n">
        <x:v>676</x:v>
      </x:c>
      <x:c r="G61" s="5" t="n">
        <x:v>664</x:v>
      </x:c>
      <x:c r="H61" s="5" t="n">
        <x:v>8</x:v>
      </x:c>
      <x:c r="I61" s="5" t="str">
        <x:v>UI-054</x:v>
      </x:c>
      <x:c r="J61" s="5" t="str">
        <x:v>소개·개요 또는 번호 없는 스타일/원칙/상호작용·예시의 개별 기준은 원문으로 보완해야 함. 섹션 매핑 자체는 전체 세부규칙 준수증거가 아님.</x:v>
      </x:c>
      <x:c r="K61" s="5" t="str">
        <x:v>재확인필요</x:v>
      </x:c>
    </x:row>
    <x:row r="62" ht="15" hidden="0" customHeight="1">
      <x:c r="A62" s="5" t="str">
        <x:v>목차·구조</x:v>
      </x:c>
      <x:c r="B62" s="5" t="str">
        <x:v>KRDS-SEC-056</x:v>
      </x:c>
      <x:c r="C62" s="5" t="str">
        <x:v>컴포넌트</x:v>
      </x:c>
      <x:c r="D62" s="5" t="str">
        <x:v>입력 / 텍스트 영역</x:v>
      </x:c>
      <x:c r="E62" s="5" t="n">
        <x:v>677</x:v>
      </x:c>
      <x:c r="F62" s="5" t="n">
        <x:v>685</x:v>
      </x:c>
      <x:c r="G62" s="5" t="n">
        <x:v>677</x:v>
      </x:c>
      <x:c r="H62" s="5" t="n">
        <x:v>7</x:v>
      </x:c>
      <x:c r="I62" s="5" t="str">
        <x:v>UI-055</x:v>
      </x:c>
      <x:c r="J62" s="5" t="str">
        <x:v>소개·개요 또는 번호 없는 스타일/원칙/상호작용·예시의 개별 기준은 원문으로 보완해야 함. 섹션 매핑 자체는 전체 세부규칙 준수증거가 아님.</x:v>
      </x:c>
      <x:c r="K62" s="5" t="str">
        <x:v>재확인필요</x:v>
      </x:c>
    </x:row>
    <x:row r="63" ht="15" hidden="0" customHeight="1">
      <x:c r="A63" s="5" t="str">
        <x:v>목차·구조</x:v>
      </x:c>
      <x:c r="B63" s="5" t="str">
        <x:v>KRDS-SEC-057</x:v>
      </x:c>
      <x:c r="C63" s="5" t="str">
        <x:v>컴포넌트</x:v>
      </x:c>
      <x:c r="D63" s="5" t="str">
        <x:v>입력 / 텍스트 입력 필드</x:v>
      </x:c>
      <x:c r="E63" s="5" t="n">
        <x:v>686</x:v>
      </x:c>
      <x:c r="F63" s="5" t="n">
        <x:v>696</x:v>
      </x:c>
      <x:c r="G63" s="5" t="n">
        <x:v>686</x:v>
      </x:c>
      <x:c r="H63" s="5" t="n">
        <x:v>8</x:v>
      </x:c>
      <x:c r="I63" s="5" t="str">
        <x:v>UI-056</x:v>
      </x:c>
      <x:c r="J63" s="5" t="str">
        <x:v>소개·개요 또는 번호 없는 스타일/원칙/상호작용·예시의 개별 기준은 원문으로 보완해야 함. 섹션 매핑 자체는 전체 세부규칙 준수증거가 아님.</x:v>
      </x:c>
      <x:c r="K63" s="5" t="str">
        <x:v>재확인필요</x:v>
      </x:c>
    </x:row>
    <x:row r="64" ht="66" hidden="0" customHeight="1">
      <x:c r="A64" s="5" t="str">
        <x:v>목차·구조</x:v>
      </x:c>
      <x:c r="B64" s="5" t="str">
        <x:v>KRDS-SEC-058</x:v>
      </x:c>
      <x:c r="C64" s="5" t="str">
        <x:v>컴포넌트</x:v>
      </x:c>
      <x:c r="D64" s="5" t="str">
        <x:v>입력 / 파일 업로드</x:v>
      </x:c>
      <x:c r="E64" s="5" t="n">
        <x:v>697</x:v>
      </x:c>
      <x:c r="F64" s="5" t="n">
        <x:v>715</x:v>
      </x:c>
      <x:c r="G64" s="5" t="n">
        <x:v>697</x:v>
      </x:c>
      <x:c r="H64" s="5" t="n">
        <x:v>16</x:v>
      </x:c>
      <x:c r="I64" s="5" t="str">
        <x:v>UI-057
UI-111
UI-112
UI-113
UI-114</x:v>
      </x:c>
      <x:c r="J64" s="5" t="str">
        <x:v>소개·개요 또는 번호 없는 스타일/원칙/상호작용·예시의 개별 기준은 원문으로 보완해야 함. 섹션 매핑 자체는 전체 세부규칙 준수증거가 아님.</x:v>
      </x:c>
      <x:c r="K64" s="5" t="str">
        <x:v>재확인필요</x:v>
      </x:c>
    </x:row>
    <x:row r="65" ht="15" hidden="0" customHeight="1">
      <x:c r="A65" s="5" t="str">
        <x:v>목차·구조</x:v>
      </x:c>
      <x:c r="B65" s="5" t="str">
        <x:v>KRDS-SEC-059</x:v>
      </x:c>
      <x:c r="C65" s="5" t="str">
        <x:v>컴포넌트</x:v>
      </x:c>
      <x:c r="D65" s="5" t="str">
        <x:v>설정 / 언어 변경</x:v>
      </x:c>
      <x:c r="E65" s="5" t="n">
        <x:v>716</x:v>
      </x:c>
      <x:c r="F65" s="5" t="n">
        <x:v>726</x:v>
      </x:c>
      <x:c r="G65" s="5" t="n">
        <x:v>716</x:v>
      </x:c>
      <x:c r="H65" s="5" t="n">
        <x:v>6</x:v>
      </x:c>
      <x:c r="I65" s="5" t="str">
        <x:v>UI-058</x:v>
      </x:c>
      <x:c r="J65" s="5" t="str">
        <x:v>소개·개요 또는 번호 없는 스타일/원칙/상호작용·예시의 개별 기준은 원문으로 보완해야 함. 섹션 매핑 자체는 전체 세부규칙 준수증거가 아님.</x:v>
      </x:c>
      <x:c r="K65" s="5" t="str">
        <x:v>재확인필요</x:v>
      </x:c>
    </x:row>
    <x:row r="66" ht="15" hidden="0" customHeight="1">
      <x:c r="A66" s="5" t="str">
        <x:v>목차·구조</x:v>
      </x:c>
      <x:c r="B66" s="5" t="str">
        <x:v>KRDS-SEC-060</x:v>
      </x:c>
      <x:c r="C66" s="5" t="str">
        <x:v>컴포넌트</x:v>
      </x:c>
      <x:c r="D66" s="5" t="str">
        <x:v>설정 / 화면 크기 조정</x:v>
      </x:c>
      <x:c r="E66" s="5" t="n">
        <x:v>727</x:v>
      </x:c>
      <x:c r="F66" s="5" t="n">
        <x:v>737</x:v>
      </x:c>
      <x:c r="G66" s="5" t="n">
        <x:v>727</x:v>
      </x:c>
      <x:c r="H66" s="5" t="n">
        <x:v>6</x:v>
      </x:c>
      <x:c r="I66" s="5" t="str">
        <x:v>UI-059</x:v>
      </x:c>
      <x:c r="J66" s="5" t="str">
        <x:v>소개·개요 또는 번호 없는 스타일/원칙/상호작용·예시의 개별 기준은 원문으로 보완해야 함. 섹션 매핑 자체는 전체 세부규칙 준수증거가 아님.</x:v>
      </x:c>
      <x:c r="K66" s="5" t="str">
        <x:v>재확인필요</x:v>
      </x:c>
    </x:row>
    <x:row r="67" ht="15" hidden="0" customHeight="1">
      <x:c r="A67" s="5" t="str">
        <x:v>목차·구조</x:v>
      </x:c>
      <x:c r="B67" s="5" t="str">
        <x:v>KRDS-SEC-061</x:v>
      </x:c>
      <x:c r="C67" s="5" t="str">
        <x:v>컴포넌트</x:v>
      </x:c>
      <x:c r="D67" s="5" t="str">
        <x:v>콘텐츠 / 접근 가능한 미디어</x:v>
      </x:c>
      <x:c r="E67" s="5" t="n">
        <x:v>738</x:v>
      </x:c>
      <x:c r="F67" s="5" t="n">
        <x:v>746</x:v>
      </x:c>
      <x:c r="G67" s="5" t="n">
        <x:v>738</x:v>
      </x:c>
      <x:c r="H67" s="5" t="n">
        <x:v>7</x:v>
      </x:c>
      <x:c r="I67" s="5" t="str">
        <x:v>UI-060</x:v>
      </x:c>
      <x:c r="J67" s="5" t="str">
        <x:v>소개·개요 또는 번호 없는 스타일/원칙/상호작용·예시의 개별 기준은 원문으로 보완해야 함. 섹션 매핑 자체는 전체 세부규칙 준수증거가 아님.</x:v>
      </x:c>
      <x:c r="K67" s="5" t="str">
        <x:v>재확인필요</x:v>
      </x:c>
    </x:row>
    <x:row r="68" ht="26.399999618530273" hidden="0" customHeight="1">
      <x:c r="A68" s="5" t="str">
        <x:v>목차·구조</x:v>
      </x:c>
      <x:c r="B68" s="5" t="str">
        <x:v>KRDS-SEC-062</x:v>
      </x:c>
      <x:c r="C68" s="5" t="str">
        <x:v>컴포넌트</x:v>
      </x:c>
      <x:c r="D68" s="5" t="str">
        <x:v>콘텐츠 / 숨긴 콘텐츠</x:v>
      </x:c>
      <x:c r="E68" s="5" t="n">
        <x:v>747</x:v>
      </x:c>
      <x:c r="F68" s="5" t="n">
        <x:v>753</x:v>
      </x:c>
      <x:c r="G68" s="5" t="n">
        <x:v>747</x:v>
      </x:c>
      <x:c r="H68" s="5" t="n">
        <x:v>9</x:v>
      </x:c>
      <x:c r="I68" s="5" t="str">
        <x:v>UI-061
UI-115</x:v>
      </x:c>
      <x:c r="J68" s="5" t="str">
        <x:v>소개·개요 또는 번호 없는 스타일/원칙/상호작용·예시의 개별 기준은 원문으로 보완해야 함. 섹션 매핑 자체는 전체 세부규칙 준수증거가 아님.</x:v>
      </x:c>
      <x:c r="K68" s="5" t="str">
        <x:v>재확인필요</x:v>
      </x:c>
    </x:row>
    <x:row r="69" ht="15" hidden="0" customHeight="1">
      <x:c r="A69" s="5" t="str">
        <x:v>목차·구조</x:v>
      </x:c>
      <x:c r="B69" s="5" t="str">
        <x:v>KRDS-SEC-063</x:v>
      </x:c>
      <x:c r="C69" s="5" t="str">
        <x:v>기본 패턴</x:v>
      </x:c>
      <x:c r="D69" s="5" t="str">
        <x:v>패턴 / 개인 식별 정보 입력</x:v>
      </x:c>
      <x:c r="E69" s="5" t="n">
        <x:v>754</x:v>
      </x:c>
      <x:c r="F69" s="5" t="n">
        <x:v>773</x:v>
      </x:c>
      <x:c r="G69" s="5" t="n">
        <x:v>754</x:v>
      </x:c>
      <x:c r="H69" s="5" t="n">
        <x:v>7</x:v>
      </x:c>
      <x:c r="I69" s="5" t="str">
        <x:v>UI-062</x:v>
      </x:c>
      <x:c r="J69" s="5" t="str">
        <x:v>소개·개요 또는 번호 없는 스타일/원칙/상호작용·예시의 개별 기준은 원문으로 보완해야 함. 섹션 매핑 자체는 전체 세부규칙 준수증거가 아님.</x:v>
      </x:c>
      <x:c r="K69" s="5" t="str">
        <x:v>재확인필요</x:v>
      </x:c>
    </x:row>
    <x:row r="70" ht="15" hidden="0" customHeight="1">
      <x:c r="A70" s="5" t="str">
        <x:v>목차·구조</x:v>
      </x:c>
      <x:c r="B70" s="5" t="str">
        <x:v>KRDS-SEC-064</x:v>
      </x:c>
      <x:c r="C70" s="5" t="str">
        <x:v>기본 패턴</x:v>
      </x:c>
      <x:c r="D70" s="5" t="str">
        <x:v>패턴 / 도움</x:v>
      </x:c>
      <x:c r="E70" s="5" t="n">
        <x:v>774</x:v>
      </x:c>
      <x:c r="F70" s="5" t="n">
        <x:v>790</x:v>
      </x:c>
      <x:c r="G70" s="5" t="n">
        <x:v>774</x:v>
      </x:c>
      <x:c r="H70" s="5" t="n">
        <x:v>6</x:v>
      </x:c>
      <x:c r="I70" s="5" t="str">
        <x:v>UI-063</x:v>
      </x:c>
      <x:c r="J70" s="5" t="str">
        <x:v>소개·개요 또는 번호 없는 스타일/원칙/상호작용·예시의 개별 기준은 원문으로 보완해야 함. 섹션 매핑 자체는 전체 세부규칙 준수증거가 아님.</x:v>
      </x:c>
      <x:c r="K70" s="5" t="str">
        <x:v>재확인필요</x:v>
      </x:c>
    </x:row>
    <x:row r="71" ht="15" hidden="0" customHeight="1">
      <x:c r="A71" s="5" t="str">
        <x:v>목차·구조</x:v>
      </x:c>
      <x:c r="B71" s="5" t="str">
        <x:v>KRDS-SEC-065</x:v>
      </x:c>
      <x:c r="C71" s="5" t="str">
        <x:v>기본 패턴</x:v>
      </x:c>
      <x:c r="D71" s="5" t="str">
        <x:v>패턴 / 동의</x:v>
      </x:c>
      <x:c r="E71" s="5" t="n">
        <x:v>791</x:v>
      </x:c>
      <x:c r="F71" s="5" t="n">
        <x:v>797</x:v>
      </x:c>
      <x:c r="G71" s="5" t="n">
        <x:v>791</x:v>
      </x:c>
      <x:c r="H71" s="5" t="n">
        <x:v>6</x:v>
      </x:c>
      <x:c r="I71" s="5" t="str">
        <x:v>UI-064</x:v>
      </x:c>
      <x:c r="J71" s="5" t="str">
        <x:v>소개·개요 또는 번호 없는 스타일/원칙/상호작용·예시의 개별 기준은 원문으로 보완해야 함. 섹션 매핑 자체는 전체 세부규칙 준수증거가 아님.</x:v>
      </x:c>
      <x:c r="K71" s="5" t="str">
        <x:v>재확인필요</x:v>
      </x:c>
    </x:row>
    <x:row r="72" ht="15" hidden="0" customHeight="1">
      <x:c r="A72" s="5" t="str">
        <x:v>목차·구조</x:v>
      </x:c>
      <x:c r="B72" s="5" t="str">
        <x:v>KRDS-SEC-066</x:v>
      </x:c>
      <x:c r="C72" s="5" t="str">
        <x:v>기본 패턴</x:v>
      </x:c>
      <x:c r="D72" s="5" t="str">
        <x:v>패턴 / 목록 탐색</x:v>
      </x:c>
      <x:c r="E72" s="5" t="n">
        <x:v>798</x:v>
      </x:c>
      <x:c r="F72" s="5" t="n">
        <x:v>802</x:v>
      </x:c>
      <x:c r="G72" s="5" t="n">
        <x:v>798</x:v>
      </x:c>
      <x:c r="H72" s="5" t="n">
        <x:v>9</x:v>
      </x:c>
      <x:c r="I72" s="5" t="str">
        <x:v>UI-065</x:v>
      </x:c>
      <x:c r="J72" s="5" t="str">
        <x:v>소개·개요 또는 번호 없는 스타일/원칙/상호작용·예시의 개별 기준은 원문으로 보완해야 함. 섹션 매핑 자체는 전체 세부규칙 준수증거가 아님.</x:v>
      </x:c>
      <x:c r="K72" s="5" t="str">
        <x:v>재확인필요</x:v>
      </x:c>
    </x:row>
    <x:row r="73" ht="15" hidden="0" customHeight="1">
      <x:c r="A73" s="5" t="str">
        <x:v>목차·구조</x:v>
      </x:c>
      <x:c r="B73" s="5" t="str">
        <x:v>KRDS-SEC-067</x:v>
      </x:c>
      <x:c r="C73" s="5" t="str">
        <x:v>기본 패턴</x:v>
      </x:c>
      <x:c r="D73" s="5" t="str">
        <x:v>패턴 / 사용자 피드백</x:v>
      </x:c>
      <x:c r="E73" s="5" t="n">
        <x:v>803</x:v>
      </x:c>
      <x:c r="F73" s="5" t="n">
        <x:v>812</x:v>
      </x:c>
      <x:c r="G73" s="5" t="n">
        <x:v>803</x:v>
      </x:c>
      <x:c r="H73" s="5" t="n">
        <x:v>9</x:v>
      </x:c>
      <x:c r="I73" s="5" t="str">
        <x:v>UI-066</x:v>
      </x:c>
      <x:c r="J73" s="5" t="str">
        <x:v>소개·개요 또는 번호 없는 스타일/원칙/상호작용·예시의 개별 기준은 원문으로 보완해야 함. 섹션 매핑 자체는 전체 세부규칙 준수증거가 아님.</x:v>
      </x:c>
      <x:c r="K73" s="5" t="str">
        <x:v>재확인필요</x:v>
      </x:c>
    </x:row>
    <x:row r="74" ht="15" hidden="0" customHeight="1">
      <x:c r="A74" s="5" t="str">
        <x:v>목차·구조</x:v>
      </x:c>
      <x:c r="B74" s="5" t="str">
        <x:v>KRDS-SEC-068</x:v>
      </x:c>
      <x:c r="C74" s="5" t="str">
        <x:v>기본 패턴</x:v>
      </x:c>
      <x:c r="D74" s="5" t="str">
        <x:v>패턴 / 상세 정보 확인</x:v>
      </x:c>
      <x:c r="E74" s="5" t="n">
        <x:v>813</x:v>
      </x:c>
      <x:c r="F74" s="5" t="n">
        <x:v>826</x:v>
      </x:c>
      <x:c r="G74" s="5" t="n">
        <x:v>813</x:v>
      </x:c>
      <x:c r="H74" s="5" t="n">
        <x:v>16</x:v>
      </x:c>
      <x:c r="I74" s="5" t="str">
        <x:v>UI-067</x:v>
      </x:c>
      <x:c r="J74" s="5" t="str">
        <x:v>소개·개요 또는 번호 없는 스타일/원칙/상호작용·예시의 개별 기준은 원문으로 보완해야 함. 섹션 매핑 자체는 전체 세부규칙 준수증거가 아님.</x:v>
      </x:c>
      <x:c r="K74" s="5" t="str">
        <x:v>재확인필요</x:v>
      </x:c>
    </x:row>
    <x:row r="75" ht="26.399999618530273" hidden="0" customHeight="1">
      <x:c r="A75" s="5" t="str">
        <x:v>목차·구조</x:v>
      </x:c>
      <x:c r="B75" s="5" t="str">
        <x:v>KRDS-SEC-069</x:v>
      </x:c>
      <x:c r="C75" s="5" t="str">
        <x:v>기본 패턴</x:v>
      </x:c>
      <x:c r="D75" s="5" t="str">
        <x:v>패턴 / 오류</x:v>
      </x:c>
      <x:c r="E75" s="5" t="n">
        <x:v>827</x:v>
      </x:c>
      <x:c r="F75" s="5" t="n">
        <x:v>831</x:v>
      </x:c>
      <x:c r="G75" s="5" t="n">
        <x:v>827</x:v>
      </x:c>
      <x:c r="H75" s="5" t="n">
        <x:v>6</x:v>
      </x:c>
      <x:c r="I75" s="5" t="str">
        <x:v>UI-068
UI-116</x:v>
      </x:c>
      <x:c r="J75" s="5" t="str">
        <x:v>소개·개요 또는 번호 없는 스타일/원칙/상호작용·예시의 개별 기준은 원문으로 보완해야 함. 섹션 매핑 자체는 전체 세부규칙 준수증거가 아님.</x:v>
      </x:c>
      <x:c r="K75" s="5" t="str">
        <x:v>재확인필요</x:v>
      </x:c>
    </x:row>
    <x:row r="76" ht="52.79999923706055" hidden="0" customHeight="1">
      <x:c r="A76" s="5" t="str">
        <x:v>목차·구조</x:v>
      </x:c>
      <x:c r="B76" s="5" t="str">
        <x:v>KRDS-SEC-070</x:v>
      </x:c>
      <x:c r="C76" s="5" t="str">
        <x:v>기본 패턴</x:v>
      </x:c>
      <x:c r="D76" s="5" t="str">
        <x:v>패턴 / 입력폼</x:v>
      </x:c>
      <x:c r="E76" s="5" t="n">
        <x:v>832</x:v>
      </x:c>
      <x:c r="F76" s="5" t="n">
        <x:v>851</x:v>
      </x:c>
      <x:c r="G76" s="5" t="n">
        <x:v>832</x:v>
      </x:c>
      <x:c r="H76" s="5" t="n">
        <x:v>18</x:v>
      </x:c>
      <x:c r="I76" s="5" t="str">
        <x:v>UI-069
UI-117
UI-118
UI-119</x:v>
      </x:c>
      <x:c r="J76" s="5" t="str">
        <x:v>소개·개요 또는 번호 없는 스타일/원칙/상호작용·예시의 개별 기준은 원문으로 보완해야 함. 섹션 매핑 자체는 전체 세부규칙 준수증거가 아님.</x:v>
      </x:c>
      <x:c r="K76" s="5" t="str">
        <x:v>재확인필요</x:v>
      </x:c>
    </x:row>
    <x:row r="77" ht="15" hidden="0" customHeight="1">
      <x:c r="A77" s="5" t="str">
        <x:v>목차·구조</x:v>
      </x:c>
      <x:c r="B77" s="5" t="str">
        <x:v>KRDS-SEC-071</x:v>
      </x:c>
      <x:c r="C77" s="5" t="str">
        <x:v>기본 패턴</x:v>
      </x:c>
      <x:c r="D77" s="5" t="str">
        <x:v>패턴 / 첨부파일</x:v>
      </x:c>
      <x:c r="E77" s="5" t="n">
        <x:v>852</x:v>
      </x:c>
      <x:c r="F77" s="5" t="n">
        <x:v>856</x:v>
      </x:c>
      <x:c r="G77" s="5" t="n">
        <x:v>852</x:v>
      </x:c>
      <x:c r="H77" s="5" t="n">
        <x:v>5</x:v>
      </x:c>
      <x:c r="I77" s="5" t="str">
        <x:v>UI-070</x:v>
      </x:c>
      <x:c r="J77" s="5" t="str">
        <x:v>소개·개요 또는 번호 없는 스타일/원칙/상호작용·예시의 개별 기준은 원문으로 보완해야 함. 섹션 매핑 자체는 전체 세부규칙 준수증거가 아님.</x:v>
      </x:c>
      <x:c r="K77" s="5" t="str">
        <x:v>재확인필요</x:v>
      </x:c>
    </x:row>
    <x:row r="78" ht="15" hidden="0" customHeight="1">
      <x:c r="A78" s="5" t="str">
        <x:v>목차·구조</x:v>
      </x:c>
      <x:c r="B78" s="5" t="str">
        <x:v>KRDS-SEC-072</x:v>
      </x:c>
      <x:c r="C78" s="5" t="str">
        <x:v>기본 패턴</x:v>
      </x:c>
      <x:c r="D78" s="5" t="str">
        <x:v>패턴 / 필터링·정렬</x:v>
      </x:c>
      <x:c r="E78" s="5" t="n">
        <x:v>857</x:v>
      </x:c>
      <x:c r="F78" s="5" t="n">
        <x:v>877</x:v>
      </x:c>
      <x:c r="G78" s="5" t="n">
        <x:v>857</x:v>
      </x:c>
      <x:c r="H78" s="5" t="n">
        <x:v>15</x:v>
      </x:c>
      <x:c r="I78" s="5" t="str">
        <x:v>UI-071</x:v>
      </x:c>
      <x:c r="J78" s="5" t="str">
        <x:v>소개·개요 또는 번호 없는 스타일/원칙/상호작용·예시의 개별 기준은 원문으로 보완해야 함. 섹션 매핑 자체는 전체 세부규칙 준수증거가 아님.</x:v>
      </x:c>
      <x:c r="K78" s="5" t="str">
        <x:v>재확인필요</x:v>
      </x:c>
    </x:row>
    <x:row r="79" ht="15" hidden="0" customHeight="1">
      <x:c r="A79" s="5" t="str">
        <x:v>목차·구조</x:v>
      </x:c>
      <x:c r="B79" s="5" t="str">
        <x:v>KRDS-SEC-073</x:v>
      </x:c>
      <x:c r="C79" s="5" t="str">
        <x:v>기본 패턴</x:v>
      </x:c>
      <x:c r="D79" s="5" t="str">
        <x:v>패턴 / 확인</x:v>
      </x:c>
      <x:c r="E79" s="5" t="n">
        <x:v>878</x:v>
      </x:c>
      <x:c r="F79" s="5" t="n">
        <x:v>884</x:v>
      </x:c>
      <x:c r="G79" s="5" t="n">
        <x:v>878</x:v>
      </x:c>
      <x:c r="H79" s="5" t="n">
        <x:v>4</x:v>
      </x:c>
      <x:c r="I79" s="5" t="str">
        <x:v>UI-072</x:v>
      </x:c>
      <x:c r="J79" s="5" t="str">
        <x:v>소개·개요 또는 번호 없는 스타일/원칙/상호작용·예시의 개별 기준은 원문으로 보완해야 함. 섹션 매핑 자체는 전체 세부규칙 준수증거가 아님.</x:v>
      </x:c>
      <x:c r="K79" s="5" t="str">
        <x:v>재확인필요</x:v>
      </x:c>
    </x:row>
    <x:row r="80" ht="15" hidden="0" customHeight="1">
      <x:c r="A80" s="5" t="str">
        <x:v>목차·구조</x:v>
      </x:c>
      <x:c r="B80" s="5" t="str">
        <x:v>KRDS-SEC-074</x:v>
      </x:c>
      <x:c r="C80" s="5" t="str">
        <x:v>서비스 패턴</x:v>
      </x:c>
      <x:c r="D80" s="5" t="str">
        <x:v>방문 / 방문 개요</x:v>
      </x:c>
      <x:c r="E80" s="5" t="n">
        <x:v>885</x:v>
      </x:c>
      <x:c r="F80" s="5" t="n">
        <x:v>887</x:v>
      </x:c>
      <x:c r="G80" s="5" t="n">
        <x:v>885</x:v>
      </x:c>
      <x:c r="H80" s="5" t="n">
        <x:v>0</x:v>
      </x:c>
      <x:c r="I80" s="5" t="str"/>
      <x:c r="J80" s="5" t="str">
        <x:v>소개·개요 또는 번호 없는 스타일/원칙/상호작용·예시의 개별 기준은 원문으로 보완해야 함. 섹션 매핑 자체는 전체 세부규칙 준수증거가 아님.</x:v>
      </x:c>
      <x:c r="K80" s="5" t="str">
        <x:v>재확인필요</x:v>
      </x:c>
    </x:row>
    <x:row r="81" ht="15" hidden="0" customHeight="1">
      <x:c r="A81" s="5" t="str">
        <x:v>목차·구조</x:v>
      </x:c>
      <x:c r="B81" s="5" t="str">
        <x:v>KRDS-SEC-075</x:v>
      </x:c>
      <x:c r="C81" s="5" t="str">
        <x:v>서비스 패턴</x:v>
      </x:c>
      <x:c r="D81" s="5" t="str">
        <x:v>방문 / 방문</x:v>
      </x:c>
      <x:c r="E81" s="5" t="n">
        <x:v>888</x:v>
      </x:c>
      <x:c r="F81" s="5" t="n">
        <x:v>898</x:v>
      </x:c>
      <x:c r="G81" s="5" t="n">
        <x:v>888</x:v>
      </x:c>
      <x:c r="H81" s="5" t="n">
        <x:v>9</x:v>
      </x:c>
      <x:c r="I81" s="5" t="str">
        <x:v>UI-073</x:v>
      </x:c>
      <x:c r="J81" s="5" t="str">
        <x:v>소개·개요 또는 번호 없는 스타일/원칙/상호작용·예시의 개별 기준은 원문으로 보완해야 함. 섹션 매핑 자체는 전체 세부규칙 준수증거가 아님.</x:v>
      </x:c>
      <x:c r="K81" s="5" t="str">
        <x:v>재확인필요</x:v>
      </x:c>
    </x:row>
    <x:row r="82" ht="15" hidden="0" customHeight="1">
      <x:c r="A82" s="5" t="str">
        <x:v>목차·구조</x:v>
      </x:c>
      <x:c r="B82" s="5" t="str">
        <x:v>KRDS-SEC-076</x:v>
      </x:c>
      <x:c r="C82" s="5" t="str">
        <x:v>서비스 패턴</x:v>
      </x:c>
      <x:c r="D82" s="5" t="str">
        <x:v>검색 / 검색 개요</x:v>
      </x:c>
      <x:c r="E82" s="5" t="n">
        <x:v>899</x:v>
      </x:c>
      <x:c r="F82" s="5" t="n">
        <x:v>903</x:v>
      </x:c>
      <x:c r="G82" s="5" t="n">
        <x:v>899</x:v>
      </x:c>
      <x:c r="H82" s="5" t="n">
        <x:v>0</x:v>
      </x:c>
      <x:c r="I82" s="5" t="str"/>
      <x:c r="J82" s="5" t="str">
        <x:v>소개·개요 또는 번호 없는 스타일/원칙/상호작용·예시의 개별 기준은 원문으로 보완해야 함. 섹션 매핑 자체는 전체 세부규칙 준수증거가 아님.</x:v>
      </x:c>
      <x:c r="K82" s="5" t="str">
        <x:v>재확인필요</x:v>
      </x:c>
    </x:row>
    <x:row r="83" ht="15" hidden="0" customHeight="1">
      <x:c r="A83" s="5" t="str">
        <x:v>목차·구조</x:v>
      </x:c>
      <x:c r="B83" s="5" t="str">
        <x:v>KRDS-SEC-077</x:v>
      </x:c>
      <x:c r="C83" s="5" t="str">
        <x:v>서비스 패턴</x:v>
      </x:c>
      <x:c r="D83" s="5" t="str">
        <x:v>검색 / 검색 기능 찾기</x:v>
      </x:c>
      <x:c r="E83" s="5" t="n">
        <x:v>904</x:v>
      </x:c>
      <x:c r="F83" s="5" t="n">
        <x:v>912</x:v>
      </x:c>
      <x:c r="G83" s="5" t="n">
        <x:v>904</x:v>
      </x:c>
      <x:c r="H83" s="5" t="n">
        <x:v>7</x:v>
      </x:c>
      <x:c r="I83" s="5" t="str">
        <x:v>UI-074</x:v>
      </x:c>
      <x:c r="J83" s="5" t="str">
        <x:v>소개·개요 또는 번호 없는 스타일/원칙/상호작용·예시의 개별 기준은 원문으로 보완해야 함. 섹션 매핑 자체는 전체 세부규칙 준수증거가 아님.</x:v>
      </x:c>
      <x:c r="K83" s="5" t="str">
        <x:v>재확인필요</x:v>
      </x:c>
    </x:row>
    <x:row r="84" ht="15" hidden="0" customHeight="1">
      <x:c r="A84" s="5" t="str">
        <x:v>목차·구조</x:v>
      </x:c>
      <x:c r="B84" s="5" t="str">
        <x:v>KRDS-SEC-078</x:v>
      </x:c>
      <x:c r="C84" s="5" t="str">
        <x:v>서비스 패턴</x:v>
      </x:c>
      <x:c r="D84" s="5" t="str">
        <x:v>검색 / 검색어 입력</x:v>
      </x:c>
      <x:c r="E84" s="5" t="n">
        <x:v>913</x:v>
      </x:c>
      <x:c r="F84" s="5" t="n">
        <x:v>928</x:v>
      </x:c>
      <x:c r="G84" s="5" t="n">
        <x:v>913</x:v>
      </x:c>
      <x:c r="H84" s="5" t="n">
        <x:v>14</x:v>
      </x:c>
      <x:c r="I84" s="5" t="str">
        <x:v>UI-075</x:v>
      </x:c>
      <x:c r="J84" s="5" t="str">
        <x:v>소개·개요 또는 번호 없는 스타일/원칙/상호작용·예시의 개별 기준은 원문으로 보완해야 함. 섹션 매핑 자체는 전체 세부규칙 준수증거가 아님.</x:v>
      </x:c>
      <x:c r="K84" s="5" t="str">
        <x:v>재확인필요</x:v>
      </x:c>
    </x:row>
    <x:row r="85" ht="15" hidden="0" customHeight="1">
      <x:c r="A85" s="5" t="str">
        <x:v>목차·구조</x:v>
      </x:c>
      <x:c r="B85" s="5" t="str">
        <x:v>KRDS-SEC-079</x:v>
      </x:c>
      <x:c r="C85" s="5" t="str">
        <x:v>서비스 패턴</x:v>
      </x:c>
      <x:c r="D85" s="5" t="str">
        <x:v>검색 / 검색 결과 확인</x:v>
      </x:c>
      <x:c r="E85" s="5" t="n">
        <x:v>929</x:v>
      </x:c>
      <x:c r="F85" s="5" t="n">
        <x:v>943</x:v>
      </x:c>
      <x:c r="G85" s="5" t="n">
        <x:v>929</x:v>
      </x:c>
      <x:c r="H85" s="5" t="n">
        <x:v>10</x:v>
      </x:c>
      <x:c r="I85" s="5" t="str">
        <x:v>UI-076</x:v>
      </x:c>
      <x:c r="J85" s="5" t="str">
        <x:v>소개·개요 또는 번호 없는 스타일/원칙/상호작용·예시의 개별 기준은 원문으로 보완해야 함. 섹션 매핑 자체는 전체 세부규칙 준수증거가 아님.</x:v>
      </x:c>
      <x:c r="K85" s="5" t="str">
        <x:v>재확인필요</x:v>
      </x:c>
    </x:row>
    <x:row r="86" ht="26.399999618530273" hidden="0" customHeight="1">
      <x:c r="A86" s="5" t="str">
        <x:v>목차·구조</x:v>
      </x:c>
      <x:c r="B86" s="5" t="str">
        <x:v>KRDS-SEC-080</x:v>
      </x:c>
      <x:c r="C86" s="5" t="str">
        <x:v>서비스 패턴</x:v>
      </x:c>
      <x:c r="D86" s="5" t="str">
        <x:v>검색 / 상세 검색</x:v>
      </x:c>
      <x:c r="E86" s="5" t="n">
        <x:v>944</x:v>
      </x:c>
      <x:c r="F86" s="5" t="n">
        <x:v>955</x:v>
      </x:c>
      <x:c r="G86" s="5" t="n">
        <x:v>944</x:v>
      </x:c>
      <x:c r="H86" s="5" t="n">
        <x:v>6</x:v>
      </x:c>
      <x:c r="I86" s="5" t="str">
        <x:v>UI-077
UI-120</x:v>
      </x:c>
      <x:c r="J86" s="5" t="str">
        <x:v>소개·개요 또는 번호 없는 스타일/원칙/상호작용·예시의 개별 기준은 원문으로 보완해야 함. 섹션 매핑 자체는 전체 세부규칙 준수증거가 아님.</x:v>
      </x:c>
      <x:c r="K86" s="5" t="str">
        <x:v>재확인필요</x:v>
      </x:c>
    </x:row>
    <x:row r="87" ht="15" hidden="0" customHeight="1">
      <x:c r="A87" s="5" t="str">
        <x:v>목차·구조</x:v>
      </x:c>
      <x:c r="B87" s="5" t="str">
        <x:v>KRDS-SEC-081</x:v>
      </x:c>
      <x:c r="C87" s="5" t="str">
        <x:v>서비스 패턴</x:v>
      </x:c>
      <x:c r="D87" s="5" t="str">
        <x:v>검색 / 검색 결과 이용</x:v>
      </x:c>
      <x:c r="E87" s="5" t="n">
        <x:v>956</x:v>
      </x:c>
      <x:c r="F87" s="5" t="n">
        <x:v>967</x:v>
      </x:c>
      <x:c r="G87" s="5" t="n">
        <x:v>956</x:v>
      </x:c>
      <x:c r="H87" s="5" t="n">
        <x:v>8</x:v>
      </x:c>
      <x:c r="I87" s="5" t="str">
        <x:v>UI-078</x:v>
      </x:c>
      <x:c r="J87" s="5" t="str">
        <x:v>소개·개요 또는 번호 없는 스타일/원칙/상호작용·예시의 개별 기준은 원문으로 보완해야 함. 섹션 매핑 자체는 전체 세부규칙 준수증거가 아님.</x:v>
      </x:c>
      <x:c r="K87" s="5" t="str">
        <x:v>재확인필요</x:v>
      </x:c>
    </x:row>
    <x:row r="88" ht="15" hidden="0" customHeight="1">
      <x:c r="A88" s="5" t="str">
        <x:v>목차·구조</x:v>
      </x:c>
      <x:c r="B88" s="5" t="str">
        <x:v>KRDS-SEC-082</x:v>
      </x:c>
      <x:c r="C88" s="5" t="str">
        <x:v>서비스 패턴</x:v>
      </x:c>
      <x:c r="D88" s="5" t="str">
        <x:v>검색 / 재검색</x:v>
      </x:c>
      <x:c r="E88" s="5" t="n">
        <x:v>968</x:v>
      </x:c>
      <x:c r="F88" s="5" t="n">
        <x:v>972</x:v>
      </x:c>
      <x:c r="G88" s="5" t="n">
        <x:v>968</x:v>
      </x:c>
      <x:c r="H88" s="5" t="n">
        <x:v>3</x:v>
      </x:c>
      <x:c r="I88" s="5" t="str">
        <x:v>UI-079</x:v>
      </x:c>
      <x:c r="J88" s="5" t="str">
        <x:v>소개·개요 또는 번호 없는 스타일/원칙/상호작용·예시의 개별 기준은 원문으로 보완해야 함. 섹션 매핑 자체는 전체 세부규칙 준수증거가 아님.</x:v>
      </x:c>
      <x:c r="K88" s="5" t="str">
        <x:v>재확인필요</x:v>
      </x:c>
    </x:row>
    <x:row r="89" ht="15" hidden="0" customHeight="1">
      <x:c r="A89" s="5" t="str">
        <x:v>목차·구조</x:v>
      </x:c>
      <x:c r="B89" s="5" t="str">
        <x:v>KRDS-SEC-083</x:v>
      </x:c>
      <x:c r="C89" s="5" t="str">
        <x:v>서비스 패턴</x:v>
      </x:c>
      <x:c r="D89" s="5" t="str">
        <x:v>검색 / 검색 종료</x:v>
      </x:c>
      <x:c r="E89" s="5" t="n">
        <x:v>973</x:v>
      </x:c>
      <x:c r="F89" s="5" t="n">
        <x:v>976</x:v>
      </x:c>
      <x:c r="G89" s="5" t="n">
        <x:v>973</x:v>
      </x:c>
      <x:c r="H89" s="5" t="n">
        <x:v>1</x:v>
      </x:c>
      <x:c r="I89" s="5" t="str">
        <x:v>UI-080</x:v>
      </x:c>
      <x:c r="J89" s="5" t="str">
        <x:v>소개·개요 또는 번호 없는 스타일/원칙/상호작용·예시의 개별 기준은 원문으로 보완해야 함. 섹션 매핑 자체는 전체 세부규칙 준수증거가 아님.</x:v>
      </x:c>
      <x:c r="K89" s="5" t="str">
        <x:v>재확인필요</x:v>
      </x:c>
    </x:row>
    <x:row r="90" ht="15" hidden="0" customHeight="1">
      <x:c r="A90" s="5" t="str">
        <x:v>목차·구조</x:v>
      </x:c>
      <x:c r="B90" s="5" t="str">
        <x:v>KRDS-SEC-084</x:v>
      </x:c>
      <x:c r="C90" s="5" t="str">
        <x:v>서비스 패턴</x:v>
      </x:c>
      <x:c r="D90" s="5" t="str">
        <x:v>로그인 / 로그인 개요</x:v>
      </x:c>
      <x:c r="E90" s="5" t="n">
        <x:v>977</x:v>
      </x:c>
      <x:c r="F90" s="5" t="n">
        <x:v>979</x:v>
      </x:c>
      <x:c r="G90" s="5" t="n">
        <x:v>977</x:v>
      </x:c>
      <x:c r="H90" s="5" t="n">
        <x:v>0</x:v>
      </x:c>
      <x:c r="I90" s="5" t="str"/>
      <x:c r="J90" s="5" t="str">
        <x:v>소개·개요 또는 번호 없는 스타일/원칙/상호작용·예시의 개별 기준은 원문으로 보완해야 함. 섹션 매핑 자체는 전체 세부규칙 준수증거가 아님.</x:v>
      </x:c>
      <x:c r="K90" s="5" t="str">
        <x:v>재확인필요</x:v>
      </x:c>
    </x:row>
    <x:row r="91" ht="15" hidden="0" customHeight="1">
      <x:c r="A91" s="5" t="str">
        <x:v>목차·구조</x:v>
      </x:c>
      <x:c r="B91" s="5" t="str">
        <x:v>KRDS-SEC-085</x:v>
      </x:c>
      <x:c r="C91" s="5" t="str">
        <x:v>서비스 패턴</x:v>
      </x:c>
      <x:c r="D91" s="5" t="str">
        <x:v>로그인 / 로그인 기능 찾기</x:v>
      </x:c>
      <x:c r="E91" s="5" t="n">
        <x:v>980</x:v>
      </x:c>
      <x:c r="F91" s="5" t="n">
        <x:v>987</x:v>
      </x:c>
      <x:c r="G91" s="5" t="n">
        <x:v>980</x:v>
      </x:c>
      <x:c r="H91" s="5" t="n">
        <x:v>5</x:v>
      </x:c>
      <x:c r="I91" s="5" t="str">
        <x:v>UI-081</x:v>
      </x:c>
      <x:c r="J91" s="5" t="str">
        <x:v>소개·개요 또는 번호 없는 스타일/원칙/상호작용·예시의 개별 기준은 원문으로 보완해야 함. 섹션 매핑 자체는 전체 세부규칙 준수증거가 아님.</x:v>
      </x:c>
      <x:c r="K91" s="5" t="str">
        <x:v>재확인필요</x:v>
      </x:c>
    </x:row>
    <x:row r="92" ht="15" hidden="0" customHeight="1">
      <x:c r="A92" s="5" t="str">
        <x:v>목차·구조</x:v>
      </x:c>
      <x:c r="B92" s="5" t="str">
        <x:v>KRDS-SEC-086</x:v>
      </x:c>
      <x:c r="C92" s="5" t="str">
        <x:v>서비스 패턴</x:v>
      </x:c>
      <x:c r="D92" s="5" t="str">
        <x:v>로그인 / 로그인 안내</x:v>
      </x:c>
      <x:c r="E92" s="5" t="n">
        <x:v>988</x:v>
      </x:c>
      <x:c r="F92" s="5" t="n">
        <x:v>997</x:v>
      </x:c>
      <x:c r="G92" s="5" t="n">
        <x:v>988</x:v>
      </x:c>
      <x:c r="H92" s="5" t="n">
        <x:v>5</x:v>
      </x:c>
      <x:c r="I92" s="5" t="str">
        <x:v>UI-082</x:v>
      </x:c>
      <x:c r="J92" s="5" t="str">
        <x:v>소개·개요 또는 번호 없는 스타일/원칙/상호작용·예시의 개별 기준은 원문으로 보완해야 함. 섹션 매핑 자체는 전체 세부규칙 준수증거가 아님.</x:v>
      </x:c>
      <x:c r="K92" s="5" t="str">
        <x:v>재확인필요</x:v>
      </x:c>
    </x:row>
    <x:row r="93" ht="39.599998474121094" hidden="0" customHeight="1">
      <x:c r="A93" s="5" t="str">
        <x:v>목차·구조</x:v>
      </x:c>
      <x:c r="B93" s="5" t="str">
        <x:v>KRDS-SEC-087</x:v>
      </x:c>
      <x:c r="C93" s="5" t="str">
        <x:v>서비스 패턴</x:v>
      </x:c>
      <x:c r="D93" s="5" t="str">
        <x:v>로그인 / 로그인 방식 확인·선택</x:v>
      </x:c>
      <x:c r="E93" s="5" t="n">
        <x:v>998</x:v>
      </x:c>
      <x:c r="F93" s="5" t="n">
        <x:v>1013</x:v>
      </x:c>
      <x:c r="G93" s="5" t="n">
        <x:v>998</x:v>
      </x:c>
      <x:c r="H93" s="5" t="n">
        <x:v>8</x:v>
      </x:c>
      <x:c r="I93" s="5" t="str">
        <x:v>UI-083
UI-121
UI-128</x:v>
      </x:c>
      <x:c r="J93" s="5" t="str">
        <x:v>소개·개요 또는 번호 없는 스타일/원칙/상호작용·예시의 개별 기준은 원문으로 보완해야 함. 섹션 매핑 자체는 전체 세부규칙 준수증거가 아님.</x:v>
      </x:c>
      <x:c r="K93" s="5" t="str">
        <x:v>재확인필요</x:v>
      </x:c>
    </x:row>
    <x:row r="94" ht="26.399999618530273" hidden="0" customHeight="1">
      <x:c r="A94" s="5" t="str">
        <x:v>목차·구조</x:v>
      </x:c>
      <x:c r="B94" s="5" t="str">
        <x:v>KRDS-SEC-088</x:v>
      </x:c>
      <x:c r="C94" s="5" t="str">
        <x:v>서비스 패턴</x:v>
      </x:c>
      <x:c r="D94" s="5" t="str">
        <x:v>로그인 / 로그인 정보 입력</x:v>
      </x:c>
      <x:c r="E94" s="5" t="n">
        <x:v>1014</x:v>
      </x:c>
      <x:c r="F94" s="5" t="n">
        <x:v>1026</x:v>
      </x:c>
      <x:c r="G94" s="5" t="n">
        <x:v>1014</x:v>
      </x:c>
      <x:c r="H94" s="5" t="n">
        <x:v>8</x:v>
      </x:c>
      <x:c r="I94" s="5" t="str">
        <x:v>UI-084
UI-122</x:v>
      </x:c>
      <x:c r="J94" s="5" t="str">
        <x:v>소개·개요 또는 번호 없는 스타일/원칙/상호작용·예시의 개별 기준은 원문으로 보완해야 함. 섹션 매핑 자체는 전체 세부규칙 준수증거가 아님.</x:v>
      </x:c>
      <x:c r="K94" s="5" t="str">
        <x:v>재확인필요</x:v>
      </x:c>
    </x:row>
    <x:row r="95" ht="15" hidden="0" customHeight="1">
      <x:c r="A95" s="5" t="str">
        <x:v>목차·구조</x:v>
      </x:c>
      <x:c r="B95" s="5" t="str">
        <x:v>KRDS-SEC-089</x:v>
      </x:c>
      <x:c r="C95" s="5" t="str">
        <x:v>서비스 패턴</x:v>
      </x:c>
      <x:c r="D95" s="5" t="str">
        <x:v>로그인 / 로그인 완료</x:v>
      </x:c>
      <x:c r="E95" s="5" t="n">
        <x:v>1027</x:v>
      </x:c>
      <x:c r="F95" s="5" t="n">
        <x:v>1033</x:v>
      </x:c>
      <x:c r="G95" s="5" t="n">
        <x:v>1027</x:v>
      </x:c>
      <x:c r="H95" s="5" t="n">
        <x:v>3</x:v>
      </x:c>
      <x:c r="I95" s="5" t="str">
        <x:v>UI-085</x:v>
      </x:c>
      <x:c r="J95" s="5" t="str">
        <x:v>소개·개요 또는 번호 없는 스타일/원칙/상호작용·예시의 개별 기준은 원문으로 보완해야 함. 섹션 매핑 자체는 전체 세부규칙 준수증거가 아님.</x:v>
      </x:c>
      <x:c r="K95" s="5" t="str">
        <x:v>재확인필요</x:v>
      </x:c>
    </x:row>
    <x:row r="96" ht="26.399999618530273" hidden="0" customHeight="1">
      <x:c r="A96" s="5" t="str">
        <x:v>목차·구조</x:v>
      </x:c>
      <x:c r="B96" s="5" t="str">
        <x:v>KRDS-SEC-090</x:v>
      </x:c>
      <x:c r="C96" s="5" t="str">
        <x:v>서비스 패턴</x:v>
      </x:c>
      <x:c r="D96" s="5" t="str">
        <x:v>로그인 / 서비스 이용</x:v>
      </x:c>
      <x:c r="E96" s="5" t="n">
        <x:v>1034</x:v>
      </x:c>
      <x:c r="F96" s="5" t="n">
        <x:v>1042</x:v>
      </x:c>
      <x:c r="G96" s="5" t="n">
        <x:v>1034</x:v>
      </x:c>
      <x:c r="H96" s="5" t="n">
        <x:v>6</x:v>
      </x:c>
      <x:c r="I96" s="5" t="str">
        <x:v>UI-086
UI-123</x:v>
      </x:c>
      <x:c r="J96" s="5" t="str">
        <x:v>소개·개요 또는 번호 없는 스타일/원칙/상호작용·예시의 개별 기준은 원문으로 보완해야 함. 섹션 매핑 자체는 전체 세부규칙 준수증거가 아님.</x:v>
      </x:c>
      <x:c r="K96" s="5" t="str">
        <x:v>재확인필요</x:v>
      </x:c>
    </x:row>
    <x:row r="97" ht="15" hidden="0" customHeight="1">
      <x:c r="A97" s="5" t="str">
        <x:v>목차·구조</x:v>
      </x:c>
      <x:c r="B97" s="5" t="str">
        <x:v>KRDS-SEC-091</x:v>
      </x:c>
      <x:c r="C97" s="5" t="str">
        <x:v>서비스 패턴</x:v>
      </x:c>
      <x:c r="D97" s="5" t="str">
        <x:v>로그인 / 로그아웃</x:v>
      </x:c>
      <x:c r="E97" s="5" t="n">
        <x:v>1043</x:v>
      </x:c>
      <x:c r="F97" s="5" t="n">
        <x:v>1051</x:v>
      </x:c>
      <x:c r="G97" s="5" t="n">
        <x:v>1043</x:v>
      </x:c>
      <x:c r="H97" s="5" t="n">
        <x:v>5</x:v>
      </x:c>
      <x:c r="I97" s="5" t="str">
        <x:v>UI-087</x:v>
      </x:c>
      <x:c r="J97" s="5" t="str">
        <x:v>소개·개요 또는 번호 없는 스타일/원칙/상호작용·예시의 개별 기준은 원문으로 보완해야 함. 섹션 매핑 자체는 전체 세부규칙 준수증거가 아님.</x:v>
      </x:c>
      <x:c r="K97" s="5" t="str">
        <x:v>재확인필요</x:v>
      </x:c>
    </x:row>
    <x:row r="98" ht="15" hidden="0" customHeight="1">
      <x:c r="A98" s="5" t="str">
        <x:v>목차·구조</x:v>
      </x:c>
      <x:c r="B98" s="5" t="str">
        <x:v>KRDS-SEC-092</x:v>
      </x:c>
      <x:c r="C98" s="5" t="str">
        <x:v>서비스 패턴</x:v>
      </x:c>
      <x:c r="D98" s="5" t="str">
        <x:v>신청 / 신청 개요</x:v>
      </x:c>
      <x:c r="E98" s="5" t="n">
        <x:v>1052</x:v>
      </x:c>
      <x:c r="F98" s="5" t="n">
        <x:v>1054</x:v>
      </x:c>
      <x:c r="G98" s="5" t="n">
        <x:v>1052</x:v>
      </x:c>
      <x:c r="H98" s="5" t="n">
        <x:v>0</x:v>
      </x:c>
      <x:c r="I98" s="5" t="str"/>
      <x:c r="J98" s="5" t="str">
        <x:v>소개·개요 또는 번호 없는 스타일/원칙/상호작용·예시의 개별 기준은 원문으로 보완해야 함. 섹션 매핑 자체는 전체 세부규칙 준수증거가 아님.</x:v>
      </x:c>
      <x:c r="K98" s="5" t="str">
        <x:v>재확인필요</x:v>
      </x:c>
    </x:row>
    <x:row r="99" ht="15" hidden="0" customHeight="1">
      <x:c r="A99" s="5" t="str">
        <x:v>목차·구조</x:v>
      </x:c>
      <x:c r="B99" s="5" t="str">
        <x:v>KRDS-SEC-093</x:v>
      </x:c>
      <x:c r="C99" s="5" t="str">
        <x:v>서비스 패턴</x:v>
      </x:c>
      <x:c r="D99" s="5" t="str">
        <x:v>신청 / 신청 대상 탐색</x:v>
      </x:c>
      <x:c r="E99" s="5" t="n">
        <x:v>1055</x:v>
      </x:c>
      <x:c r="F99" s="5" t="n">
        <x:v>1068</x:v>
      </x:c>
      <x:c r="G99" s="5" t="n">
        <x:v>1055</x:v>
      </x:c>
      <x:c r="H99" s="5" t="n">
        <x:v>10</x:v>
      </x:c>
      <x:c r="I99" s="5" t="str">
        <x:v>UI-088</x:v>
      </x:c>
      <x:c r="J99" s="5" t="str">
        <x:v>소개·개요 또는 번호 없는 스타일/원칙/상호작용·예시의 개별 기준은 원문으로 보완해야 함. 섹션 매핑 자체는 전체 세부규칙 준수증거가 아님.</x:v>
      </x:c>
      <x:c r="K99" s="5" t="str">
        <x:v>재확인필요</x:v>
      </x:c>
    </x:row>
    <x:row r="100" ht="15" hidden="0" customHeight="1">
      <x:c r="A100" s="5" t="str">
        <x:v>목차·구조</x:v>
      </x:c>
      <x:c r="B100" s="5" t="str">
        <x:v>KRDS-SEC-094</x:v>
      </x:c>
      <x:c r="C100" s="5" t="str">
        <x:v>서비스 패턴</x:v>
      </x:c>
      <x:c r="D100" s="5" t="str">
        <x:v>신청 / 서비스 정보 확인</x:v>
      </x:c>
      <x:c r="E100" s="5" t="n">
        <x:v>1069</x:v>
      </x:c>
      <x:c r="F100" s="5" t="n">
        <x:v>1087</x:v>
      </x:c>
      <x:c r="G100" s="5" t="n">
        <x:v>1069</x:v>
      </x:c>
      <x:c r="H100" s="5" t="n">
        <x:v>14</x:v>
      </x:c>
      <x:c r="I100" s="5" t="str">
        <x:v>UI-089</x:v>
      </x:c>
      <x:c r="J100" s="5" t="str">
        <x:v>소개·개요 또는 번호 없는 스타일/원칙/상호작용·예시의 개별 기준은 원문으로 보완해야 함. 섹션 매핑 자체는 전체 세부규칙 준수증거가 아님.</x:v>
      </x:c>
      <x:c r="K100" s="5" t="str">
        <x:v>재확인필요</x:v>
      </x:c>
    </x:row>
    <x:row r="101" ht="15" hidden="0" customHeight="1">
      <x:c r="A101" s="5" t="str">
        <x:v>목차·구조</x:v>
      </x:c>
      <x:c r="B101" s="5" t="str">
        <x:v>KRDS-SEC-095</x:v>
      </x:c>
      <x:c r="C101" s="5" t="str">
        <x:v>서비스 패턴</x:v>
      </x:c>
      <x:c r="D101" s="5" t="str">
        <x:v>신청 / 유의 사항·자격 확인</x:v>
      </x:c>
      <x:c r="E101" s="5" t="n">
        <x:v>1088</x:v>
      </x:c>
      <x:c r="F101" s="5" t="n">
        <x:v>1096</x:v>
      </x:c>
      <x:c r="G101" s="5" t="n">
        <x:v>1088</x:v>
      </x:c>
      <x:c r="H101" s="5" t="n">
        <x:v>4</x:v>
      </x:c>
      <x:c r="I101" s="5" t="str">
        <x:v>UI-090</x:v>
      </x:c>
      <x:c r="J101" s="5" t="str">
        <x:v>소개·개요 또는 번호 없는 스타일/원칙/상호작용·예시의 개별 기준은 원문으로 보완해야 함. 섹션 매핑 자체는 전체 세부규칙 준수증거가 아님.</x:v>
      </x:c>
      <x:c r="K101" s="5" t="str">
        <x:v>재확인필요</x:v>
      </x:c>
    </x:row>
    <x:row r="102" ht="15" hidden="0" customHeight="1">
      <x:c r="A102" s="5" t="str">
        <x:v>목차·구조</x:v>
      </x:c>
      <x:c r="B102" s="5" t="str">
        <x:v>KRDS-SEC-096</x:v>
      </x:c>
      <x:c r="C102" s="5" t="str">
        <x:v>서비스 패턴</x:v>
      </x:c>
      <x:c r="D102" s="5" t="str">
        <x:v>신청 / 신청서 작성</x:v>
      </x:c>
      <x:c r="E102" s="5" t="n">
        <x:v>1097</x:v>
      </x:c>
      <x:c r="F102" s="5" t="n">
        <x:v>1111</x:v>
      </x:c>
      <x:c r="G102" s="5" t="n">
        <x:v>1097</x:v>
      </x:c>
      <x:c r="H102" s="5" t="n">
        <x:v>12</x:v>
      </x:c>
      <x:c r="I102" s="5" t="str">
        <x:v>UI-091</x:v>
      </x:c>
      <x:c r="J102" s="5" t="str">
        <x:v>소개·개요 또는 번호 없는 스타일/원칙/상호작용·예시의 개별 기준은 원문으로 보완해야 함. 섹션 매핑 자체는 전체 세부규칙 준수증거가 아님.</x:v>
      </x:c>
      <x:c r="K102" s="5" t="str">
        <x:v>재확인필요</x:v>
      </x:c>
    </x:row>
    <x:row r="103" ht="26.399999618530273" hidden="0" customHeight="1">
      <x:c r="A103" s="5" t="str">
        <x:v>목차·구조</x:v>
      </x:c>
      <x:c r="B103" s="5" t="str">
        <x:v>KRDS-SEC-097</x:v>
      </x:c>
      <x:c r="C103" s="5" t="str">
        <x:v>서비스 패턴</x:v>
      </x:c>
      <x:c r="D103" s="5" t="str">
        <x:v>신청 / 확인·확정</x:v>
      </x:c>
      <x:c r="E103" s="5" t="n">
        <x:v>1112</x:v>
      </x:c>
      <x:c r="F103" s="5" t="n">
        <x:v>1120</x:v>
      </x:c>
      <x:c r="G103" s="5" t="n">
        <x:v>1112</x:v>
      </x:c>
      <x:c r="H103" s="5" t="n">
        <x:v>4</x:v>
      </x:c>
      <x:c r="I103" s="5" t="str">
        <x:v>UI-092
UI-124</x:v>
      </x:c>
      <x:c r="J103" s="5" t="str">
        <x:v>소개·개요 또는 번호 없는 스타일/원칙/상호작용·예시의 개별 기준은 원문으로 보완해야 함. 섹션 매핑 자체는 전체 세부규칙 준수증거가 아님.</x:v>
      </x:c>
      <x:c r="K103" s="5" t="str">
        <x:v>재확인필요</x:v>
      </x:c>
    </x:row>
    <x:row r="104" ht="15" hidden="0" customHeight="1">
      <x:c r="A104" s="5" t="str">
        <x:v>목차·구조</x:v>
      </x:c>
      <x:c r="B104" s="5" t="str">
        <x:v>KRDS-SEC-098</x:v>
      </x:c>
      <x:c r="C104" s="5" t="str">
        <x:v>서비스 패턴</x:v>
      </x:c>
      <x:c r="D104" s="5" t="str">
        <x:v>신청 / 완료</x:v>
      </x:c>
      <x:c r="E104" s="5" t="n">
        <x:v>1121</x:v>
      </x:c>
      <x:c r="F104" s="5" t="n">
        <x:v>1128</x:v>
      </x:c>
      <x:c r="G104" s="5" t="n">
        <x:v>1121</x:v>
      </x:c>
      <x:c r="H104" s="5" t="n">
        <x:v>5</x:v>
      </x:c>
      <x:c r="I104" s="5" t="str">
        <x:v>UI-093</x:v>
      </x:c>
      <x:c r="J104" s="5" t="str">
        <x:v>소개·개요 또는 번호 없는 스타일/원칙/상호작용·예시의 개별 기준은 원문으로 보완해야 함. 섹션 매핑 자체는 전체 세부규칙 준수증거가 아님.</x:v>
      </x:c>
      <x:c r="K104" s="5" t="str">
        <x:v>재확인필요</x:v>
      </x:c>
    </x:row>
    <x:row r="105" ht="15" hidden="0" customHeight="1">
      <x:c r="A105" s="5" t="str">
        <x:v>목차·구조</x:v>
      </x:c>
      <x:c r="B105" s="5" t="str">
        <x:v>KRDS-SEC-099</x:v>
      </x:c>
      <x:c r="C105" s="5" t="str">
        <x:v>서비스 패턴</x:v>
      </x:c>
      <x:c r="D105" s="5" t="str">
        <x:v>신청 / 신청 결과 확인</x:v>
      </x:c>
      <x:c r="E105" s="5" t="n">
        <x:v>1129</x:v>
      </x:c>
      <x:c r="F105" s="5" t="n">
        <x:v>1142</x:v>
      </x:c>
      <x:c r="G105" s="5" t="n">
        <x:v>1129</x:v>
      </x:c>
      <x:c r="H105" s="5" t="n">
        <x:v>9</x:v>
      </x:c>
      <x:c r="I105" s="5" t="str">
        <x:v>UI-094</x:v>
      </x:c>
      <x:c r="J105" s="5" t="str">
        <x:v>소개·개요 또는 번호 없는 스타일/원칙/상호작용·예시의 개별 기준은 원문으로 보완해야 함. 섹션 매핑 자체는 전체 세부규칙 준수증거가 아님.</x:v>
      </x:c>
      <x:c r="K105" s="5" t="str">
        <x:v>재확인필요</x:v>
      </x:c>
    </x:row>
    <x:row r="106" ht="15" hidden="0" customHeight="1">
      <x:c r="A106" s="5" t="str">
        <x:v>목차·구조</x:v>
      </x:c>
      <x:c r="B106" s="5" t="str">
        <x:v>KRDS-SEC-100</x:v>
      </x:c>
      <x:c r="C106" s="5" t="str">
        <x:v>서비스 패턴</x:v>
      </x:c>
      <x:c r="D106" s="5" t="str">
        <x:v>정책 정보 확인 / 정책 정보 확인 개요</x:v>
      </x:c>
      <x:c r="E106" s="5" t="n">
        <x:v>1143</x:v>
      </x:c>
      <x:c r="F106" s="5" t="n">
        <x:v>1145</x:v>
      </x:c>
      <x:c r="G106" s="5" t="n">
        <x:v>1143</x:v>
      </x:c>
      <x:c r="H106" s="5" t="n">
        <x:v>0</x:v>
      </x:c>
      <x:c r="I106" s="5" t="str"/>
      <x:c r="J106" s="5" t="str">
        <x:v>소개·개요 또는 번호 없는 스타일/원칙/상호작용·예시의 개별 기준은 원문으로 보완해야 함. 섹션 매핑 자체는 전체 세부규칙 준수증거가 아님.</x:v>
      </x:c>
      <x:c r="K106" s="5" t="str">
        <x:v>재확인필요</x:v>
      </x:c>
    </x:row>
    <x:row r="107" ht="15" hidden="0" customHeight="1">
      <x:c r="A107" s="5" t="str">
        <x:v>목차·구조</x:v>
      </x:c>
      <x:c r="B107" s="5" t="str">
        <x:v>KRDS-SEC-101</x:v>
      </x:c>
      <x:c r="C107" s="5" t="str">
        <x:v>서비스 패턴</x:v>
      </x:c>
      <x:c r="D107" s="5" t="str">
        <x:v>정책 정보 확인 / 정책 탐색</x:v>
      </x:c>
      <x:c r="E107" s="5" t="n">
        <x:v>1146</x:v>
      </x:c>
      <x:c r="F107" s="5" t="n">
        <x:v>1154</x:v>
      </x:c>
      <x:c r="G107" s="5" t="n">
        <x:v>1146</x:v>
      </x:c>
      <x:c r="H107" s="5" t="n">
        <x:v>5</x:v>
      </x:c>
      <x:c r="I107" s="5" t="str">
        <x:v>UI-095</x:v>
      </x:c>
      <x:c r="J107" s="5" t="str">
        <x:v>소개·개요 또는 번호 없는 스타일/원칙/상호작용·예시의 개별 기준은 원문으로 보완해야 함. 섹션 매핑 자체는 전체 세부규칙 준수증거가 아님.</x:v>
      </x:c>
      <x:c r="K107" s="5" t="str">
        <x:v>재확인필요</x:v>
      </x:c>
    </x:row>
    <x:row r="108" ht="15" hidden="0" customHeight="1">
      <x:c r="A108" s="5" t="str">
        <x:v>목차·구조</x:v>
      </x:c>
      <x:c r="B108" s="5" t="str">
        <x:v>KRDS-SEC-102</x:v>
      </x:c>
      <x:c r="C108" s="5" t="str">
        <x:v>서비스 패턴</x:v>
      </x:c>
      <x:c r="D108" s="5" t="str">
        <x:v>정책 정보 확인 / 정보 확인</x:v>
      </x:c>
      <x:c r="E108" s="5" t="n">
        <x:v>1155</x:v>
      </x:c>
      <x:c r="F108" s="5" t="n">
        <x:v>1164</x:v>
      </x:c>
      <x:c r="G108" s="5" t="n">
        <x:v>1155</x:v>
      </x:c>
      <x:c r="H108" s="5" t="n">
        <x:v>8</x:v>
      </x:c>
      <x:c r="I108" s="5" t="str">
        <x:v>UI-096</x:v>
      </x:c>
      <x:c r="J108" s="5" t="str">
        <x:v>소개·개요 또는 번호 없는 스타일/원칙/상호작용·예시의 개별 기준은 원문으로 보완해야 함. 섹션 매핑 자체는 전체 세부규칙 준수증거가 아님.</x:v>
      </x:c>
      <x:c r="K108" s="5" t="str">
        <x:v>재확인필요</x:v>
      </x:c>
    </x:row>
    <x:row r="109" ht="15" hidden="0" customHeight="1">
      <x:c r="A109" s="5" t="str">
        <x:v>목차·구조</x:v>
      </x:c>
      <x:c r="B109" s="5" t="str">
        <x:v>KRDS-SEC-103</x:v>
      </x:c>
      <x:c r="C109" s="5" t="str">
        <x:v>서비스 패턴</x:v>
      </x:c>
      <x:c r="D109" s="5" t="str">
        <x:v>정책 정보 확인 / 정책 자료 탐색</x:v>
      </x:c>
      <x:c r="E109" s="5" t="n">
        <x:v>1165</x:v>
      </x:c>
      <x:c r="F109" s="5" t="n">
        <x:v>1173</x:v>
      </x:c>
      <x:c r="G109" s="5" t="n">
        <x:v>1165</x:v>
      </x:c>
      <x:c r="H109" s="5" t="n">
        <x:v>3</x:v>
      </x:c>
      <x:c r="I109" s="5" t="str">
        <x:v>UI-097</x:v>
      </x:c>
      <x:c r="J109" s="5" t="str">
        <x:v>소개·개요 또는 번호 없는 스타일/원칙/상호작용·예시의 개별 기준은 원문으로 보완해야 함. 섹션 매핑 자체는 전체 세부규칙 준수증거가 아님.</x:v>
      </x:c>
      <x:c r="K109" s="5" t="str">
        <x:v>재확인필요</x:v>
      </x:c>
    </x:row>
    <x:row r="110" ht="52.79999923706055" hidden="0" customHeight="1">
      <x:c r="A110" s="5" t="str">
        <x:v>비번호 상호작용</x:v>
      </x:c>
      <x:c r="B110" s="5" t="str">
        <x:v>KRDS-INT-P0262</x:v>
      </x:c>
      <x:c r="C110" s="5" t="str"/>
      <x:c r="D110" s="5" t="str">
        <x:v>컴포넌트 / 탐색 / 건너뛰기 링크</x:v>
      </x:c>
      <x:c r="E110" s="5" t="n">
        <x:v>262</x:v>
      </x:c>
      <x:c r="F110" s="5" t="n">
        <x:v>262</x:v>
      </x:c>
      <x:c r="G110" s="5" t="n">
        <x:v>262</x:v>
      </x:c>
      <x:c r="H110" s="5" t="str"/>
      <x:c r="I110" s="5" t="str">
        <x:v>UI-020
UI-102</x:v>
      </x:c>
      <x:c r="J110" s="5" t="str">
        <x:v>목적지 섹션으로의 이동 / 건너뛰기 링크가 초점을 가진 상태에서 Enter 키를 누르면 목적지 섹션으로 / 건너뛰기 링크 영역을 Tap 하면 목적지 섹션으로 화면이 스크롤 된다. 만약 / Tap / 콘텐츠 탐색 / 목적지 섹션으로 스크롤 된 상태에서 Tab 키를 누르면 이동한 섹션 내부
마우스·키보드·터치·보조기술의 원문 동작과 초점·열림/선택 상태를 각각 검사 사례로 분해
페이지 색인이다. 독립 검사항목 개수나 적용 완료 수가 아니다.</x:v>
      </x:c>
      <x:c r="K110" s="5" t="str">
        <x:v>원문 재검토·시험사례 분해 필요</x:v>
      </x:c>
    </x:row>
    <x:row r="111" ht="52.79999923706055" hidden="0" customHeight="1">
      <x:c r="A111" s="5" t="str">
        <x:v>비번호 상호작용</x:v>
      </x:c>
      <x:c r="B111" s="5" t="str">
        <x:v>KRDS-INT-P0279</x:v>
      </x:c>
      <x:c r="C111" s="5" t="str"/>
      <x:c r="D111" s="5" t="str">
        <x:v>컴포넌트 / 탐색 / 메인 메뉴</x:v>
      </x:c>
      <x:c r="E111" s="5" t="n">
        <x:v>279</x:v>
      </x:c>
      <x:c r="F111" s="5" t="n">
        <x:v>279</x:v>
      </x:c>
      <x:c r="G111" s="5" t="n">
        <x:v>279</x:v>
      </x:c>
      <x:c r="H111" s="5" t="str"/>
      <x:c r="I111" s="5" t="str">
        <x:v>UI-021
UI-103</x:v>
      </x:c>
      <x:c r="J111" s="5" t="str">
        <x:v>메뉴 영역 확장 및 축소 / 메뉴 링크를 Click 하였을 때 하위 수준 메뉴가 펼쳐진다. 활성화된 1수준 / 메뉴 링크가 초점을 가진 상태에서 Enter 키를 눌렀을 때 하위 수준 메뉴가 / 펼쳐진 드롭다운 메뉴가 모두 축소되며 펼쳐졌던 메뉴의 상위 수준에 속하는 / Esc / 메뉴 링크 탐색
마우스·키보드·터치·보조기술의 원문 동작과 초점·열림/선택 상태를 각각 검사 사례로 분해
페이지 색인이다. 독립 검사항목 개수나 적용 완료 수가 아니다.</x:v>
      </x:c>
      <x:c r="K111" s="5" t="str">
        <x:v>원문 재검토·시험사례 분해 필요</x:v>
      </x:c>
    </x:row>
    <x:row r="112" ht="39.599998474121094" hidden="0" customHeight="1">
      <x:c r="A112" s="5" t="str">
        <x:v>비번호 상호작용</x:v>
      </x:c>
      <x:c r="B112" s="5" t="str">
        <x:v>KRDS-INT-P0292</x:v>
      </x:c>
      <x:c r="C112" s="5" t="str"/>
      <x:c r="D112" s="5" t="str">
        <x:v>컴포넌트 / 탐색 / 브레드크럼</x:v>
      </x:c>
      <x:c r="E112" s="5" t="n">
        <x:v>292</x:v>
      </x:c>
      <x:c r="F112" s="5" t="n">
        <x:v>292</x:v>
      </x:c>
      <x:c r="G112" s="5" t="n">
        <x:v>292</x:v>
      </x:c>
      <x:c r="H112" s="5" t="str"/>
      <x:c r="I112" s="5" t="str">
        <x:v>UI-022</x:v>
      </x:c>
      <x:c r="J112" s="5" t="str">
        <x:v>탐색 / 관련 화면으로 이동
마우스·키보드·터치·보조기술의 원문 동작과 초점·열림/선택 상태를 각각 검사 사례로 분해
페이지 색인이다. 독립 검사항목 개수나 적용 완료 수가 아니다.</x:v>
      </x:c>
      <x:c r="K112" s="5" t="str">
        <x:v>원문 재검토·시험사례 분해 필요</x:v>
      </x:c>
    </x:row>
    <x:row r="113" ht="52.79999923706055" hidden="0" customHeight="1">
      <x:c r="A113" s="5" t="str">
        <x:v>비번호 상호작용</x:v>
      </x:c>
      <x:c r="B113" s="5" t="str">
        <x:v>KRDS-INT-P0307</x:v>
      </x:c>
      <x:c r="C113" s="5" t="str"/>
      <x:c r="D113" s="5" t="str">
        <x:v>컴포넌트 / 탐색 / 사이드 메뉴</x:v>
      </x:c>
      <x:c r="E113" s="5" t="n">
        <x:v>307</x:v>
      </x:c>
      <x:c r="F113" s="5" t="n">
        <x:v>307</x:v>
      </x:c>
      <x:c r="G113" s="5" t="n">
        <x:v>307</x:v>
      </x:c>
      <x:c r="H113" s="5" t="str"/>
      <x:c r="I113" s="5" t="str">
        <x:v>UI-023</x:v>
      </x:c>
      <x:c r="J113" s="5" t="str">
        <x:v>메뉴 링크 탐색 / 메뉴 영역 확장 및 축소 / 꺾쇠 아이콘이 있는 메뉴 링크가 초점을 가진 상태에서 마우스 Click 이벤트가 / 않는다. 즉, 어떤 하위 메뉴가 확장되어 있는 상태에서 다른 하위 링크 목록이 / 꺾쇠 아이콘이 있는 메뉴 링크가 초점을 가진 상태에서 키보드 Enter 이벤트가 / 않는다. 즉, 어떤 하위 메뉴가 확장되어 있는 상태에서 다른 하위 링크 목록이
마우스·키보드·터치·보조기술의 원문 동작과 초점·열림/선택 상태를 각각 검사 사례로 분해
페이지 색인이다. 독립 검사항목 개수나 적용 완료 수가 아니다.</x:v>
      </x:c>
      <x:c r="K113" s="5" t="str">
        <x:v>원문 재검토·시험사례 분해 필요</x:v>
      </x:c>
    </x:row>
    <x:row r="114" ht="39.599998474121094" hidden="0" customHeight="1">
      <x:c r="A114" s="5" t="str">
        <x:v>비번호 상호작용</x:v>
      </x:c>
      <x:c r="B114" s="5" t="str">
        <x:v>KRDS-INT-P0316</x:v>
      </x:c>
      <x:c r="C114" s="5" t="str"/>
      <x:c r="D114" s="5" t="str">
        <x:v>컴포넌트 / 탐색 / 콘텐츠 내 탐색</x:v>
      </x:c>
      <x:c r="E114" s="5" t="n">
        <x:v>316</x:v>
      </x:c>
      <x:c r="F114" s="5" t="n">
        <x:v>316</x:v>
      </x:c>
      <x:c r="G114" s="5" t="n">
        <x:v>316</x:v>
      </x:c>
      <x:c r="H114" s="5" t="str"/>
      <x:c r="I114" s="5" t="str">
        <x:v>UI-024</x:v>
      </x:c>
      <x:c r="J114" s="5" t="str">
        <x:v>목록 탐색 / 콘텐츠 섹션 이동
마우스·키보드·터치·보조기술의 원문 동작과 초점·열림/선택 상태를 각각 검사 사례로 분해
페이지 색인이다. 독립 검사항목 개수나 적용 완료 수가 아니다.</x:v>
      </x:c>
      <x:c r="K114" s="5" t="str">
        <x:v>원문 재검토·시험사례 분해 필요</x:v>
      </x:c>
    </x:row>
    <x:row r="115" ht="52.79999923706055" hidden="0" customHeight="1">
      <x:c r="A115" s="5" t="str">
        <x:v>비번호 상호작용</x:v>
      </x:c>
      <x:c r="B115" s="5" t="str">
        <x:v>KRDS-INT-P0337</x:v>
      </x:c>
      <x:c r="C115" s="5" t="str"/>
      <x:c r="D115" s="5" t="str">
        <x:v>컴포넌트 / 탐색 / 페이지네이션</x:v>
      </x:c>
      <x:c r="E115" s="5" t="n">
        <x:v>337</x:v>
      </x:c>
      <x:c r="F115" s="5" t="n">
        <x:v>337</x:v>
      </x:c>
      <x:c r="G115" s="5" t="n">
        <x:v>337</x:v>
      </x:c>
      <x:c r="H115" s="5" t="str"/>
      <x:c r="I115" s="5" t="str">
        <x:v>UI-025</x:v>
      </x:c>
      <x:c r="J115" s="5" t="str">
        <x:v>숫자 링크 목록 / 기본 상태의 이전/다음 버튼, 숫자 링크를 Click 하면 해당 화면으로 / Click / 기본 상태의 이전/다음 버튼, 숫자 링크가 초점을 가진 상태에서 Enter 키를 / 화면 직접 이동 / 숫자 입력 필드에 숫자를 입력한 후 이동 버튼을 Click 하면 해당 화면으로
마우스·키보드·터치·보조기술의 원문 동작과 초점·열림/선택 상태를 각각 검사 사례로 분해
페이지 색인이다. 독립 검사항목 개수나 적용 완료 수가 아니다.</x:v>
      </x:c>
      <x:c r="K115" s="5" t="str">
        <x:v>원문 재검토·시험사례 분해 필요</x:v>
      </x:c>
    </x:row>
    <x:row r="116" ht="52.79999923706055" hidden="0" customHeight="1">
      <x:c r="A116" s="5" t="str">
        <x:v>비번호 상호작용</x:v>
      </x:c>
      <x:c r="B116" s="5" t="str">
        <x:v>KRDS-INT-P0338</x:v>
      </x:c>
      <x:c r="C116" s="5" t="str"/>
      <x:c r="D116" s="5" t="str">
        <x:v>컴포넌트 / 탐색 / 페이지네이션</x:v>
      </x:c>
      <x:c r="E116" s="5" t="n">
        <x:v>338</x:v>
      </x:c>
      <x:c r="F116" s="5" t="n">
        <x:v>338</x:v>
      </x:c>
      <x:c r="G116" s="5" t="n">
        <x:v>338</x:v>
      </x:c>
      <x:c r="H116" s="5" t="str"/>
      <x:c r="I116" s="5" t="str">
        <x:v>UI-025</x:v>
      </x:c>
      <x:c r="J116" s="5" t="str">
        <x:v>목록 확장 / 더보기 버튼을 Click 하면 목록과 더보기 버튼 사이에 새로운 항목이 / Focus 이벤트가 발생한다. 표시된 항목 수 정보가 실제 내용에 맞추어 / 더보기 버튼이 초점을 가진 상태에서 Space 키를 누르면 목록과 더보기 / Focus 이벤트가 발생한다. 표시된 항목 수 정보가 실제 내용에 맞추어
마우스·키보드·터치·보조기술의 원문 동작과 초점·열림/선택 상태를 각각 검사 사례로 분해
페이지 색인이다. 독립 검사항목 개수나 적용 완료 수가 아니다.</x:v>
      </x:c>
      <x:c r="K116" s="5" t="str">
        <x:v>원문 재검토·시험사례 분해 필요</x:v>
      </x:c>
    </x:row>
    <x:row r="117" ht="39.599998474121094" hidden="0" customHeight="1">
      <x:c r="A117" s="5" t="str">
        <x:v>비번호 상호작용</x:v>
      </x:c>
      <x:c r="B117" s="5" t="str">
        <x:v>KRDS-INT-P0359</x:v>
      </x:c>
      <x:c r="C117" s="5" t="str"/>
      <x:c r="D117" s="5" t="str">
        <x:v>컴포넌트 / 레이아웃·표현 / 구조화 목록</x:v>
      </x:c>
      <x:c r="E117" s="5" t="n">
        <x:v>359</x:v>
      </x:c>
      <x:c r="F117" s="5" t="n">
        <x:v>359</x:v>
      </x:c>
      <x:c r="G117" s="5" t="n">
        <x:v>359</x:v>
      </x:c>
      <x:c r="H117" s="5" t="str"/>
      <x:c r="I117" s="5" t="str">
        <x:v>UI-027</x:v>
      </x:c>
      <x:c r="J117" s="5" t="str">
        <x:v>탐색 / 기능 실행 또는 이동
마우스·키보드·터치·보조기술의 원문 동작과 초점·열림/선택 상태를 각각 검사 사례로 분해
페이지 색인이다. 독립 검사항목 개수나 적용 완료 수가 아니다.</x:v>
      </x:c>
      <x:c r="K117" s="5" t="str">
        <x:v>원문 재검토·시험사례 분해 필요</x:v>
      </x:c>
    </x:row>
    <x:row r="118" ht="39.599998474121094" hidden="0" customHeight="1">
      <x:c r="A118" s="5" t="str">
        <x:v>비번호 상호작용</x:v>
      </x:c>
      <x:c r="B118" s="5" t="str">
        <x:v>KRDS-INT-P0378</x:v>
      </x:c>
      <x:c r="C118" s="5" t="str"/>
      <x:c r="D118" s="5" t="str">
        <x:v>컴포넌트 / 레이아웃·표현 / 달력</x:v>
      </x:c>
      <x:c r="E118" s="5" t="n">
        <x:v>378</x:v>
      </x:c>
      <x:c r="F118" s="5" t="n">
        <x:v>378</x:v>
      </x:c>
      <x:c r="G118" s="5" t="n">
        <x:v>378</x:v>
      </x:c>
      <x:c r="H118" s="5" t="str"/>
      <x:c r="I118" s="5" t="str">
        <x:v>UI-029</x:v>
      </x:c>
      <x:c r="J118" s="5" t="str">
        <x:v>날짜 링크 탐색 / 기능 실행 또는 이동
마우스·키보드·터치·보조기술의 원문 동작과 초점·열림/선택 상태를 각각 검사 사례로 분해
페이지 색인이다. 독립 검사항목 개수나 적용 완료 수가 아니다.</x:v>
      </x:c>
      <x:c r="K118" s="5" t="str">
        <x:v>원문 재검토·시험사례 분해 필요</x:v>
      </x:c>
    </x:row>
    <x:row r="119" ht="39.599998474121094" hidden="0" customHeight="1">
      <x:c r="A119" s="5" t="str">
        <x:v>비번호 상호작용</x:v>
      </x:c>
      <x:c r="B119" s="5" t="str">
        <x:v>KRDS-INT-P0386</x:v>
      </x:c>
      <x:c r="C119" s="5" t="str"/>
      <x:c r="D119" s="5" t="str">
        <x:v>컴포넌트 / 레이아웃·표현 / 디스클로저</x:v>
      </x:c>
      <x:c r="E119" s="5" t="n">
        <x:v>386</x:v>
      </x:c>
      <x:c r="F119" s="5" t="n">
        <x:v>386</x:v>
      </x:c>
      <x:c r="G119" s="5" t="n">
        <x:v>386</x:v>
      </x:c>
      <x:c r="H119" s="5" t="str"/>
      <x:c r="I119" s="5" t="str">
        <x:v>UI-030</x:v>
      </x:c>
      <x:c r="J119" s="5" t="str">
        <x:v>디스클로저 탐색 / 디스클로저 확장 및 축소 / 디스클로저 컨트롤이 초점을 가진 상태에서 Enter 또는 Space 키를 눌러
마우스·키보드·터치·보조기술의 원문 동작과 초점·열림/선택 상태를 각각 검사 사례로 분해
페이지 색인이다. 독립 검사항목 개수나 적용 완료 수가 아니다.</x:v>
      </x:c>
      <x:c r="K119" s="5" t="str">
        <x:v>원문 재검토·시험사례 분해 필요</x:v>
      </x:c>
    </x:row>
    <x:row r="120" ht="52.79999923706055" hidden="0" customHeight="1">
      <x:c r="A120" s="5" t="str">
        <x:v>비번호 상호작용</x:v>
      </x:c>
      <x:c r="B120" s="5" t="str">
        <x:v>KRDS-INT-P0398</x:v>
      </x:c>
      <x:c r="C120" s="5" t="str"/>
      <x:c r="D120" s="5" t="str">
        <x:v>컴포넌트 / 레이아웃·표현 / 모달</x:v>
      </x:c>
      <x:c r="E120" s="5" t="n">
        <x:v>398</x:v>
      </x:c>
      <x:c r="F120" s="5" t="n">
        <x:v>398</x:v>
      </x:c>
      <x:c r="G120" s="5" t="n">
        <x:v>398</x:v>
      </x:c>
      <x:c r="H120" s="5" t="str"/>
      <x:c r="I120" s="5" t="str">
        <x:v>UI-031
UI-104
UI-105</x:v>
      </x:c>
      <x:c r="J120" s="5" t="str">
        <x:v>모달 열기/닫기 / 내부 콘텐츠 탐색 / 모달 내부의 다음 상호작용 요소로 초점이 이동한다. 모달의 가장 마지막 상호작용 / 모달 내부의 이전 상호작용 요소로 초점이 이동한다. 모달의 가장 첫 번째
마우스·키보드·터치·보조기술의 원문 동작과 초점·열림/선택 상태를 각각 검사 사례로 분해
페이지 색인이다. 독립 검사항목 개수나 적용 완료 수가 아니다.</x:v>
      </x:c>
      <x:c r="K120" s="5" t="str">
        <x:v>원문 재검토·시험사례 분해 필요</x:v>
      </x:c>
    </x:row>
    <x:row r="121" ht="39.599998474121094" hidden="0" customHeight="1">
      <x:c r="A121" s="5" t="str">
        <x:v>비번호 상호작용</x:v>
      </x:c>
      <x:c r="B121" s="5" t="str">
        <x:v>KRDS-INT-P0415</x:v>
      </x:c>
      <x:c r="C121" s="5" t="str"/>
      <x:c r="D121" s="5" t="str">
        <x:v>컴포넌트 / 레이아웃·표현 / 아코디언</x:v>
      </x:c>
      <x:c r="E121" s="5" t="n">
        <x:v>415</x:v>
      </x:c>
      <x:c r="F121" s="5" t="n">
        <x:v>415</x:v>
      </x:c>
      <x:c r="G121" s="5" t="n">
        <x:v>415</x:v>
      </x:c>
      <x:c r="H121" s="5" t="str"/>
      <x:c r="I121" s="5" t="str">
        <x:v>UI-033</x:v>
      </x:c>
      <x:c r="J121" s="5" t="str">
        <x:v>헤더 목록 탐색 / 패널 확장 또는 축소 / 사용자가 헤더 영역 전체 또는 아이콘을 Click 하면 아코디언의 확장 상태가 / Click
마우스·키보드·터치·보조기술의 원문 동작과 초점·열림/선택 상태를 각각 검사 사례로 분해
페이지 색인이다. 독립 검사항목 개수나 적용 완료 수가 아니다.</x:v>
      </x:c>
      <x:c r="K121" s="5" t="str">
        <x:v>원문 재검토·시험사례 분해 필요</x:v>
      </x:c>
    </x:row>
    <x:row r="122" ht="39.599998474121094" hidden="0" customHeight="1">
      <x:c r="A122" s="5" t="str">
        <x:v>비번호 상호작용</x:v>
      </x:c>
      <x:c r="B122" s="5" t="str">
        <x:v>KRDS-INT-P0423</x:v>
      </x:c>
      <x:c r="C122" s="5" t="str"/>
      <x:c r="D122" s="5" t="str">
        <x:v>컴포넌트 / 레이아웃·표현 / 이미지</x:v>
      </x:c>
      <x:c r="E122" s="5" t="n">
        <x:v>423</x:v>
      </x:c>
      <x:c r="F122" s="5" t="n">
        <x:v>423</x:v>
      </x:c>
      <x:c r="G122" s="5" t="n">
        <x:v>423</x:v>
      </x:c>
      <x:c r="H122" s="5" t="str"/>
      <x:c r="I122" s="5" t="str">
        <x:v>UI-034</x:v>
      </x:c>
      <x:c r="J122" s="5" t="str">
        <x:v>'
마우스·키보드·터치·보조기술의 원문 동작과 초점·열림/선택 상태를 각각 검사 사례로 분해
페이지 색인이다. 독립 검사항목 개수나 적용 완료 수가 아니다.</x:v>
      </x:c>
      <x:c r="K122" s="5" t="str">
        <x:v>원문 재검토·시험사례 분해 필요</x:v>
      </x:c>
    </x:row>
    <x:row r="123" ht="39.599998474121094" hidden="0" customHeight="1">
      <x:c r="A123" s="5" t="str">
        <x:v>비번호 상호작용</x:v>
      </x:c>
      <x:c r="B123" s="5" t="str">
        <x:v>KRDS-INT-P0443</x:v>
      </x:c>
      <x:c r="C123" s="5" t="str"/>
      <x:c r="D123" s="5" t="str">
        <x:v>컴포넌트 / 레이아웃·표현 / 캐러셀</x:v>
      </x:c>
      <x:c r="E123" s="5" t="n">
        <x:v>443</x:v>
      </x:c>
      <x:c r="F123" s="5" t="n">
        <x:v>443</x:v>
      </x:c>
      <x:c r="G123" s="5" t="n">
        <x:v>443</x:v>
      </x:c>
      <x:c r="H123" s="5" t="str"/>
      <x:c r="I123" s="5" t="str">
        <x:v>UI-035</x:v>
      </x:c>
      <x:c r="J123" s="5" t="str">
        <x:v>슬라이드 탐색 / 페이지네이션 인디케이터의 경우 인디케이터 그룹에 초점이 있을 때 키보드 / 방향키 ←, →
마우스·키보드·터치·보조기술의 원문 동작과 초점·열림/선택 상태를 각각 검사 사례로 분해
페이지 색인이다. 독립 검사항목 개수나 적용 완료 수가 아니다.</x:v>
      </x:c>
      <x:c r="K123" s="5" t="str">
        <x:v>원문 재검토·시험사례 분해 필요</x:v>
      </x:c>
    </x:row>
    <x:row r="124" ht="52.79999923706055" hidden="0" customHeight="1">
      <x:c r="A124" s="5" t="str">
        <x:v>비번호 상호작용</x:v>
      </x:c>
      <x:c r="B124" s="5" t="str">
        <x:v>KRDS-INT-P0444</x:v>
      </x:c>
      <x:c r="C124" s="5" t="str"/>
      <x:c r="D124" s="5" t="str">
        <x:v>컴포넌트 / 레이아웃·표현 / 캐러셀</x:v>
      </x:c>
      <x:c r="E124" s="5" t="n">
        <x:v>444</x:v>
      </x:c>
      <x:c r="F124" s="5" t="n">
        <x:v>444</x:v>
      </x:c>
      <x:c r="G124" s="5" t="n">
        <x:v>444</x:v>
      </x:c>
      <x:c r="H124" s="5" t="str"/>
      <x:c r="I124" s="5" t="str">
        <x:v>UI-035</x:v>
      </x:c>
      <x:c r="J124" s="5" t="str">
        <x:v>자동 재생 중지 및 재생 / 자동 재생 캐러셀의 경우 Tab 키를 눌러 캐러셀의 요소에 키보드 초점이 들어가면 / 자동 재생 캐러셀의 재생 컨트롤에 초점이 있을 때 Enter 키를 눌러 기능을 / 자동 재생 캐러셀의 경우 정지 버튼을 Click 하면 슬라이드가 정지되고, 재생 / Click
마우스·키보드·터치·보조기술의 원문 동작과 초점·열림/선택 상태를 각각 검사 사례로 분해
페이지 색인이다. 독립 검사항목 개수나 적용 완료 수가 아니다.</x:v>
      </x:c>
      <x:c r="K124" s="5" t="str">
        <x:v>원문 재검토·시험사례 분해 필요</x:v>
      </x:c>
    </x:row>
    <x:row r="125" ht="39.599998474121094" hidden="0" customHeight="1">
      <x:c r="A125" s="5" t="str">
        <x:v>비번호 상호작용</x:v>
      </x:c>
      <x:c r="B125" s="5" t="str">
        <x:v>KRDS-INT-P0458</x:v>
      </x:c>
      <x:c r="C125" s="5" t="str"/>
      <x:c r="D125" s="5" t="str">
        <x:v>컴포넌트 / 레이아웃·표현 / 탭</x:v>
      </x:c>
      <x:c r="E125" s="5" t="n">
        <x:v>458</x:v>
      </x:c>
      <x:c r="F125" s="5" t="n">
        <x:v>458</x:v>
      </x:c>
      <x:c r="G125" s="5" t="n">
        <x:v>458</x:v>
      </x:c>
      <x:c r="H125" s="5" t="str"/>
      <x:c r="I125" s="5" t="str">
        <x:v>UI-036</x:v>
      </x:c>
      <x:c r="J125" s="5" t="str">
        <x:v>탭 탐색 / 탭 패널 전환
마우스·키보드·터치·보조기술의 원문 동작과 초점·열림/선택 상태를 각각 검사 사례로 분해
페이지 색인이다. 독립 검사항목 개수나 적용 완료 수가 아니다.</x:v>
      </x:c>
      <x:c r="K125" s="5" t="str">
        <x:v>원문 재검토·시험사례 분해 필요</x:v>
      </x:c>
    </x:row>
    <x:row r="126" ht="39.599998474121094" hidden="0" customHeight="1">
      <x:c r="A126" s="5" t="str">
        <x:v>비번호 상호작용</x:v>
      </x:c>
      <x:c r="B126" s="5" t="str">
        <x:v>KRDS-INT-P0509</x:v>
      </x:c>
      <x:c r="C126" s="5" t="str"/>
      <x:c r="D126" s="5" t="str">
        <x:v>컴포넌트 / 액션 / 링크</x:v>
      </x:c>
      <x:c r="E126" s="5" t="n">
        <x:v>509</x:v>
      </x:c>
      <x:c r="F126" s="5" t="n">
        <x:v>509</x:v>
      </x:c>
      <x:c r="G126" s="5" t="n">
        <x:v>509</x:v>
      </x:c>
      <x:c r="H126" s="5" t="str"/>
      <x:c r="I126" s="5" t="str">
        <x:v>UI-040</x:v>
      </x:c>
      <x:c r="J126" s="5" t="str">
        <x:v>탐색 / 링크 실행
마우스·키보드·터치·보조기술의 원문 동작과 초점·열림/선택 상태를 각각 검사 사례로 분해
페이지 색인이다. 독립 검사항목 개수나 적용 완료 수가 아니다.</x:v>
      </x:c>
      <x:c r="K126" s="5" t="str">
        <x:v>원문 재검토·시험사례 분해 필요</x:v>
      </x:c>
    </x:row>
    <x:row r="127" ht="39.599998474121094" hidden="0" customHeight="1">
      <x:c r="A127" s="5" t="str">
        <x:v>비번호 상호작용</x:v>
      </x:c>
      <x:c r="B127" s="5" t="str">
        <x:v>KRDS-INT-P0521</x:v>
      </x:c>
      <x:c r="C127" s="5" t="str"/>
      <x:c r="D127" s="5" t="str">
        <x:v>컴포넌트 / 액션 / 버튼</x:v>
      </x:c>
      <x:c r="E127" s="5" t="n">
        <x:v>521</x:v>
      </x:c>
      <x:c r="F127" s="5" t="n">
        <x:v>521</x:v>
      </x:c>
      <x:c r="G127" s="5" t="n">
        <x:v>521</x:v>
      </x:c>
      <x:c r="H127" s="5" t="str"/>
      <x:c r="I127" s="5" t="str">
        <x:v>UI-041</x:v>
      </x:c>
      <x:c r="J127" s="5" t="str">
        <x:v>탐색 / 실행
마우스·키보드·터치·보조기술의 원문 동작과 초점·열림/선택 상태를 각각 검사 사례로 분해
페이지 색인이다. 독립 검사항목 개수나 적용 완료 수가 아니다.</x:v>
      </x:c>
      <x:c r="K127" s="5" t="str">
        <x:v>원문 재검토·시험사례 분해 필요</x:v>
      </x:c>
    </x:row>
    <x:row r="128" ht="52.79999923706055" hidden="0" customHeight="1">
      <x:c r="A128" s="5" t="str">
        <x:v>비번호 상호작용</x:v>
      </x:c>
      <x:c r="B128" s="5" t="str">
        <x:v>KRDS-INT-P0537</x:v>
      </x:c>
      <x:c r="C128" s="5" t="str"/>
      <x:c r="D128" s="5" t="str">
        <x:v>컴포넌트 / 선택 / 라디오 버튼</x:v>
      </x:c>
      <x:c r="E128" s="5" t="n">
        <x:v>537</x:v>
      </x:c>
      <x:c r="F128" s="5" t="n">
        <x:v>537</x:v>
      </x:c>
      <x:c r="G128" s="5" t="n">
        <x:v>537</x:v>
      </x:c>
      <x:c r="H128" s="5" t="str"/>
      <x:c r="I128" s="5" t="str">
        <x:v>UI-042</x:v>
      </x:c>
      <x:c r="J128" s="5" t="str">
        <x:v>탐색 / 방향키 ↑, ↓를 눌렀을 때 다음/이전 라디오 버튼 양식으로 초점이 이동하고 값이 / 방향키 ↑, ↓ / 실행 / 라디오 버튼 양식에 초점이 있는 상태에서 Space 키를 누르면 값이 선택되어야 / 방향키 ↑, ↓를 눌렀을 때 다음/이전 라디오 버튼 양식으로 초점이 이동하고 값이
마우스·키보드·터치·보조기술의 원문 동작과 초점·열림/선택 상태를 각각 검사 사례로 분해
페이지 색인이다. 독립 검사항목 개수나 적용 완료 수가 아니다.</x:v>
      </x:c>
      <x:c r="K128" s="5" t="str">
        <x:v>원문 재검토·시험사례 분해 필요</x:v>
      </x:c>
    </x:row>
    <x:row r="129" ht="39.599998474121094" hidden="0" customHeight="1">
      <x:c r="A129" s="5" t="str">
        <x:v>비번호 상호작용</x:v>
      </x:c>
      <x:c r="B129" s="5" t="str">
        <x:v>KRDS-INT-P0550</x:v>
      </x:c>
      <x:c r="C129" s="5" t="str"/>
      <x:c r="D129" s="5" t="str">
        <x:v>컴포넌트 / 선택 / 체크박스</x:v>
      </x:c>
      <x:c r="E129" s="5" t="n">
        <x:v>550</x:v>
      </x:c>
      <x:c r="F129" s="5" t="n">
        <x:v>550</x:v>
      </x:c>
      <x:c r="G129" s="5" t="n">
        <x:v>550</x:v>
      </x:c>
      <x:c r="H129" s="5" t="str"/>
      <x:c r="I129" s="5" t="str">
        <x:v>UI-043
UI-107</x:v>
      </x:c>
      <x:c r="J129" s="5" t="str">
        <x:v>옵션 탐색 / 옵션 선택 및 선택 해제 / 사용자는 체크박스 양식 또는 체크박스 레이블을 눌러 옵션을 선택하거나 선택
마우스·키보드·터치·보조기술의 원문 동작과 초점·열림/선택 상태를 각각 검사 사례로 분해
페이지 색인이다. 독립 검사항목 개수나 적용 완료 수가 아니다.</x:v>
      </x:c>
      <x:c r="K129" s="5" t="str">
        <x:v>원문 재검토·시험사례 분해 필요</x:v>
      </x:c>
    </x:row>
    <x:row r="130" ht="39.599998474121094" hidden="0" customHeight="1">
      <x:c r="A130" s="5" t="str">
        <x:v>비번호 상호작용</x:v>
      </x:c>
      <x:c r="B130" s="5" t="str">
        <x:v>KRDS-INT-P0557</x:v>
      </x:c>
      <x:c r="C130" s="5" t="str"/>
      <x:c r="D130" s="5" t="str">
        <x:v>컴포넌트 / 선택 / 셀렉트</x:v>
      </x:c>
      <x:c r="E130" s="5" t="n">
        <x:v>557</x:v>
      </x:c>
      <x:c r="F130" s="5" t="n">
        <x:v>557</x:v>
      </x:c>
      <x:c r="G130" s="5" t="n">
        <x:v>557</x:v>
      </x:c>
      <x:c r="H130" s="5" t="str"/>
      <x:c r="I130" s="5" t="str">
        <x:v>UI-044
UI-108</x:v>
      </x:c>
      <x:c r="J130" s="5" t="str">
        <x:v>목록 확장 및 축소 / 탐색
마우스·키보드·터치·보조기술의 원문 동작과 초점·열림/선택 상태를 각각 검사 사례로 분해
페이지 색인이다. 독립 검사항목 개수나 적용 완료 수가 아니다.</x:v>
      </x:c>
      <x:c r="K130" s="5" t="str">
        <x:v>원문 재검토·시험사례 분해 필요</x:v>
      </x:c>
    </x:row>
    <x:row r="131" ht="39.599998474121094" hidden="0" customHeight="1">
      <x:c r="A131" s="5" t="str">
        <x:v>비번호 상호작용</x:v>
      </x:c>
      <x:c r="B131" s="5" t="str">
        <x:v>KRDS-INT-P0558</x:v>
      </x:c>
      <x:c r="C131" s="5" t="str"/>
      <x:c r="D131" s="5" t="str">
        <x:v>컴포넌트 / 선택 / 셀렉트</x:v>
      </x:c>
      <x:c r="E131" s="5" t="n">
        <x:v>558</x:v>
      </x:c>
      <x:c r="F131" s="5" t="n">
        <x:v>558</x:v>
      </x:c>
      <x:c r="G131" s="5" t="n">
        <x:v>558</x:v>
      </x:c>
      <x:c r="H131" s="5" t="str"/>
      <x:c r="I131" s="5" t="str">
        <x:v>UI-044
UI-108</x:v>
      </x:c>
      <x:c r="J131" s="5" t="str">
        <x:v>옵션 선택 / 컨테이너에 초점이 있고 옵션 목록이 축소된 경우, 이전/다음 옵션으로 선택값이 / 방향키 ↑, ↓
마우스·키보드·터치·보조기술의 원문 동작과 초점·열림/선택 상태를 각각 검사 사례로 분해
페이지 색인이다. 독립 검사항목 개수나 적용 완료 수가 아니다.</x:v>
      </x:c>
      <x:c r="K131" s="5" t="str">
        <x:v>원문 재검토·시험사례 분해 필요</x:v>
      </x:c>
    </x:row>
    <x:row r="132" ht="39.599998474121094" hidden="0" customHeight="1">
      <x:c r="A132" s="5" t="str">
        <x:v>비번호 상호작용</x:v>
      </x:c>
      <x:c r="B132" s="5" t="str">
        <x:v>KRDS-INT-P0568</x:v>
      </x:c>
      <x:c r="C132" s="5" t="str"/>
      <x:c r="D132" s="5" t="str">
        <x:v>컴포넌트 / 선택 / 태그</x:v>
      </x:c>
      <x:c r="E132" s="5" t="n">
        <x:v>568</x:v>
      </x:c>
      <x:c r="F132" s="5" t="n">
        <x:v>568</x:v>
      </x:c>
      <x:c r="G132" s="5" t="n">
        <x:v>568</x:v>
      </x:c>
      <x:c r="H132" s="5" t="str"/>
      <x:c r="I132" s="5" t="str">
        <x:v>UI-045</x:v>
      </x:c>
      <x:c r="J132" s="5" t="str">
        <x:v>태그 탐색과 실행 / Click / 태그 선택 / Click / 태그가 초점을 가진 상태에서 Space 또는 Enter 키에서 Keyup 이벤트가
마우스·키보드·터치·보조기술의 원문 동작과 초점·열림/선택 상태를 각각 검사 사례로 분해
페이지 색인이다. 독립 검사항목 개수나 적용 완료 수가 아니다.</x:v>
      </x:c>
      <x:c r="K132" s="5" t="str">
        <x:v>원문 재검토·시험사례 분해 필요</x:v>
      </x:c>
    </x:row>
    <x:row r="133" ht="52.79999923706055" hidden="0" customHeight="1">
      <x:c r="A133" s="5" t="str">
        <x:v>비번호 상호작용</x:v>
      </x:c>
      <x:c r="B133" s="5" t="str">
        <x:v>KRDS-INT-P0569</x:v>
      </x:c>
      <x:c r="C133" s="5" t="str"/>
      <x:c r="D133" s="5" t="str">
        <x:v>컴포넌트 / 선택 / 태그</x:v>
      </x:c>
      <x:c r="E133" s="5" t="n">
        <x:v>569</x:v>
      </x:c>
      <x:c r="F133" s="5" t="n">
        <x:v>569</x:v>
      </x:c>
      <x:c r="G133" s="5" t="n">
        <x:v>569</x:v>
      </x:c>
      <x:c r="H133" s="5" t="str"/>
      <x:c r="I133" s="5" t="str">
        <x:v>UI-045</x:v>
      </x:c>
      <x:c r="J133" s="5" t="str">
        <x:v>태그 삭제 / 태그가 초점을 가진 상태에서 Space 또는 Enter 키에서 Keyup 이벤트가 / 발생하면 해당 태그 조건이 목록에서 제거된다. 초점은 삭제된 태그의 이전 / 태그로 이동한다. 만약 초점을 이동할 태그가 목록에 남아 있지 않다면 태그
마우스·키보드·터치·보조기술의 원문 동작과 초점·열림/선택 상태를 각각 검사 사례로 분해
페이지 색인이다. 독립 검사항목 개수나 적용 완료 수가 아니다.</x:v>
      </x:c>
      <x:c r="K133" s="5" t="str">
        <x:v>원문 재검토·시험사례 분해 필요</x:v>
      </x:c>
    </x:row>
    <x:row r="134" ht="39.599998474121094" hidden="0" customHeight="1">
      <x:c r="A134" s="5" t="str">
        <x:v>비번호 상호작용</x:v>
      </x:c>
      <x:c r="B134" s="5" t="str">
        <x:v>KRDS-INT-P0580</x:v>
      </x:c>
      <x:c r="C134" s="5" t="str"/>
      <x:c r="D134" s="5" t="str">
        <x:v>컴포넌트 / 선택 / 토글 스위치</x:v>
      </x:c>
      <x:c r="E134" s="5" t="n">
        <x:v>580</x:v>
      </x:c>
      <x:c r="F134" s="5" t="n">
        <x:v>580</x:v>
      </x:c>
      <x:c r="G134" s="5" t="n">
        <x:v>580</x:v>
      </x:c>
      <x:c r="H134" s="5" t="str"/>
      <x:c r="I134" s="5" t="str">
        <x:v>UI-046
UI-109</x:v>
      </x:c>
      <x:c r="J134" s="5" t="str">
        <x:v>옵션 탐색 / 옵션 선택 및 선택 해제
마우스·키보드·터치·보조기술의 원문 동작과 초점·열림/선택 상태를 각각 검사 사례로 분해
페이지 색인이다. 독립 검사항목 개수나 적용 완료 수가 아니다.</x:v>
      </x:c>
      <x:c r="K134" s="5" t="str">
        <x:v>원문 재검토·시험사례 분해 필요</x:v>
      </x:c>
    </x:row>
    <x:row r="135" ht="39.599998474121094" hidden="0" customHeight="1">
      <x:c r="A135" s="5" t="str">
        <x:v>비번호 상호작용</x:v>
      </x:c>
      <x:c r="B135" s="5" t="str">
        <x:v>KRDS-INT-P0596</x:v>
      </x:c>
      <x:c r="C135" s="5" t="str"/>
      <x:c r="D135" s="5" t="str">
        <x:v>컴포넌트 / 피드백 / 스피너</x:v>
      </x:c>
      <x:c r="E135" s="5" t="n">
        <x:v>596</x:v>
      </x:c>
      <x:c r="F135" s="5" t="n">
        <x:v>596</x:v>
      </x:c>
      <x:c r="G135" s="5" t="n">
        <x:v>596</x:v>
      </x:c>
      <x:c r="H135" s="5" t="str"/>
      <x:c r="I135" s="5" t="str">
        <x:v>UI-048</x:v>
      </x:c>
      <x:c r="J135" s="5" t="str">
        <x:v>확정 스피너 / 불확정 스피너
마우스·키보드·터치·보조기술의 원문 동작과 초점·열림/선택 상태를 각각 검사 사례로 분해
페이지 색인이다. 독립 검사항목 개수나 적용 완료 수가 아니다.</x:v>
      </x:c>
      <x:c r="K135" s="5" t="str">
        <x:v>원문 재검토·시험사례 분해 필요</x:v>
      </x:c>
    </x:row>
    <x:row r="136" ht="39.599998474121094" hidden="0" customHeight="1">
      <x:c r="A136" s="5" t="str">
        <x:v>비번호 상호작용</x:v>
      </x:c>
      <x:c r="B136" s="5" t="str">
        <x:v>KRDS-INT-P0609</x:v>
      </x:c>
      <x:c r="C136" s="5" t="str"/>
      <x:c r="D136" s="5" t="str">
        <x:v>컴포넌트 / 도움 / 도움 패널</x:v>
      </x:c>
      <x:c r="E136" s="5" t="n">
        <x:v>609</x:v>
      </x:c>
      <x:c r="F136" s="5" t="n">
        <x:v>609</x:v>
      </x:c>
      <x:c r="G136" s="5" t="n">
        <x:v>609</x:v>
      </x:c>
      <x:c r="H136" s="5" t="str"/>
      <x:c r="I136" s="5" t="str">
        <x:v>UI-049</x:v>
      </x:c>
      <x:c r="J136" s="5" t="str">
        <x:v>도움 패널 실행 / Click / 도움 패널 내부 콘텐츠 탐색
마우스·키보드·터치·보조기술의 원문 동작과 초점·열림/선택 상태를 각각 검사 사례로 분해
페이지 색인이다. 독립 검사항목 개수나 적용 완료 수가 아니다.</x:v>
      </x:c>
      <x:c r="K136" s="5" t="str">
        <x:v>원문 재검토·시험사례 분해 필요</x:v>
      </x:c>
    </x:row>
    <x:row r="137" ht="39.599998474121094" hidden="0" customHeight="1">
      <x:c r="A137" s="5" t="str">
        <x:v>비번호 상호작용</x:v>
      </x:c>
      <x:c r="B137" s="5" t="str">
        <x:v>KRDS-INT-P0610</x:v>
      </x:c>
      <x:c r="C137" s="5" t="str"/>
      <x:c r="D137" s="5" t="str">
        <x:v>컴포넌트 / 도움 / 도움 패널</x:v>
      </x:c>
      <x:c r="E137" s="5" t="n">
        <x:v>610</x:v>
      </x:c>
      <x:c r="F137" s="5" t="n">
        <x:v>610</x:v>
      </x:c>
      <x:c r="G137" s="5" t="n">
        <x:v>610</x:v>
      </x:c>
      <x:c r="H137" s="5" t="str"/>
      <x:c r="I137" s="5" t="str">
        <x:v>UI-049</x:v>
      </x:c>
      <x:c r="J137" s="5" t="str">
        <x:v>도움 패널 비활성화 / Click
마우스·키보드·터치·보조기술의 원문 동작과 초점·열림/선택 상태를 각각 검사 사례로 분해
페이지 색인이다. 독립 검사항목 개수나 적용 완료 수가 아니다.</x:v>
      </x:c>
      <x:c r="K137" s="5" t="str">
        <x:v>원문 재검토·시험사례 분해 필요</x:v>
      </x:c>
    </x:row>
    <x:row r="138" ht="39.599998474121094" hidden="0" customHeight="1">
      <x:c r="A138" s="5" t="str">
        <x:v>비번호 상호작용</x:v>
      </x:c>
      <x:c r="B138" s="5" t="str">
        <x:v>KRDS-INT-P0618</x:v>
      </x:c>
      <x:c r="C138" s="5" t="str"/>
      <x:c r="D138" s="5" t="str">
        <x:v>컴포넌트 / 도움 / 따라하기 패널</x:v>
      </x:c>
      <x:c r="E138" s="5" t="n">
        <x:v>618</x:v>
      </x:c>
      <x:c r="F138" s="5" t="n">
        <x:v>618</x:v>
      </x:c>
      <x:c r="G138" s="5" t="n">
        <x:v>618</x:v>
      </x:c>
      <x:c r="H138" s="5" t="str"/>
      <x:c r="I138" s="5" t="str">
        <x:v>UI-050</x:v>
      </x:c>
      <x:c r="J138" s="5" t="str">
        <x:v>패널 실행 / Click / 패널 내부 콘텐츠 탐색 / 패널 내부의 확장 가능한 영역을 펼치거나 접는다. 초점은 확장 가능한 영역을
마우스·키보드·터치·보조기술의 원문 동작과 초점·열림/선택 상태를 각각 검사 사례로 분해
페이지 색인이다. 독립 검사항목 개수나 적용 완료 수가 아니다.</x:v>
      </x:c>
      <x:c r="K138" s="5" t="str">
        <x:v>원문 재검토·시험사례 분해 필요</x:v>
      </x:c>
    </x:row>
    <x:row r="139" ht="39.599998474121094" hidden="0" customHeight="1">
      <x:c r="A139" s="5" t="str">
        <x:v>비번호 상호작용</x:v>
      </x:c>
      <x:c r="B139" s="5" t="str">
        <x:v>KRDS-INT-P0619</x:v>
      </x:c>
      <x:c r="C139" s="5" t="str"/>
      <x:c r="D139" s="5" t="str">
        <x:v>컴포넌트 / 도움 / 따라하기 패널</x:v>
      </x:c>
      <x:c r="E139" s="5" t="n">
        <x:v>619</x:v>
      </x:c>
      <x:c r="F139" s="5" t="n">
        <x:v>619</x:v>
      </x:c>
      <x:c r="G139" s="5" t="n">
        <x:v>619</x:v>
      </x:c>
      <x:c r="H139" s="5" t="str"/>
      <x:c r="I139" s="5" t="str">
        <x:v>UI-050</x:v>
      </x:c>
      <x:c r="J139" s="5" t="str">
        <x:v>패널 비활성화 / 패널 닫기 버튼을 Click 하면 도움/따라하기 패널이 닫히고 패널 열기 버튼이
마우스·키보드·터치·보조기술의 원문 동작과 초점·열림/선택 상태를 각각 검사 사례로 분해
페이지 색인이다. 독립 검사항목 개수나 적용 완료 수가 아니다.</x:v>
      </x:c>
      <x:c r="K139" s="5" t="str">
        <x:v>원문 재검토·시험사례 분해 필요</x:v>
      </x:c>
    </x:row>
    <x:row r="140" ht="39.599998474121094" hidden="0" customHeight="1">
      <x:c r="A140" s="5" t="str">
        <x:v>비번호 상호작용</x:v>
      </x:c>
      <x:c r="B140" s="5" t="str">
        <x:v>KRDS-INT-P0634</x:v>
      </x:c>
      <x:c r="C140" s="5" t="str"/>
      <x:c r="D140" s="5" t="str">
        <x:v>컴포넌트 / 도움 / 맥락적 도움말</x:v>
      </x:c>
      <x:c r="E140" s="5" t="n">
        <x:v>634</x:v>
      </x:c>
      <x:c r="F140" s="5" t="n">
        <x:v>634</x:v>
      </x:c>
      <x:c r="G140" s="5" t="n">
        <x:v>634</x:v>
      </x:c>
      <x:c r="H140" s="5" t="str"/>
      <x:c r="I140" s="5" t="str">
        <x:v>UI-051</x:v>
      </x:c>
      <x:c r="J140" s="5" t="str">
        <x:v>맥락적 도움말 실행 / 아이콘 버튼이 초점을 가진 상태에서 Enter 또는 Space 키를 누르면 도움말 / 도움말 내부 콘텐츠 탐색
마우스·키보드·터치·보조기술의 원문 동작과 초점·열림/선택 상태를 각각 검사 사례로 분해
페이지 색인이다. 독립 검사항목 개수나 적용 완료 수가 아니다.</x:v>
      </x:c>
      <x:c r="K140" s="5" t="str">
        <x:v>원문 재검토·시험사례 분해 필요</x:v>
      </x:c>
    </x:row>
    <x:row r="141" ht="39.599998474121094" hidden="0" customHeight="1">
      <x:c r="A141" s="5" t="str">
        <x:v>비번호 상호작용</x:v>
      </x:c>
      <x:c r="B141" s="5" t="str">
        <x:v>KRDS-INT-P0635</x:v>
      </x:c>
      <x:c r="C141" s="5" t="str"/>
      <x:c r="D141" s="5" t="str">
        <x:v>컴포넌트 / 도움 / 맥락적 도움말</x:v>
      </x:c>
      <x:c r="E141" s="5" t="n">
        <x:v>635</x:v>
      </x:c>
      <x:c r="F141" s="5" t="n">
        <x:v>635</x:v>
      </x:c>
      <x:c r="G141" s="5" t="n">
        <x:v>635</x:v>
      </x:c>
      <x:c r="H141" s="5" t="str"/>
      <x:c r="I141" s="5" t="str">
        <x:v>UI-051</x:v>
      </x:c>
      <x:c r="J141" s="5" t="str">
        <x:v>맥락적 도움말 비활성화 / Esc / 아이콘 버튼이 초점을 가진 상태에서 Enter 또는 Space 키를 누르면 도움말
마우스·키보드·터치·보조기술의 원문 동작과 초점·열림/선택 상태를 각각 검사 사례로 분해
페이지 색인이다. 독립 검사항목 개수나 적용 완료 수가 아니다.</x:v>
      </x:c>
      <x:c r="K141" s="5" t="str">
        <x:v>원문 재검토·시험사례 분해 필요</x:v>
      </x:c>
    </x:row>
    <x:row r="142" ht="39.599998474121094" hidden="0" customHeight="1">
      <x:c r="A142" s="5" t="str">
        <x:v>비번호 상호작용</x:v>
      </x:c>
      <x:c r="B142" s="5" t="str">
        <x:v>KRDS-INT-P0648</x:v>
      </x:c>
      <x:c r="C142" s="5" t="str"/>
      <x:c r="D142" s="5" t="str">
        <x:v>컴포넌트 / 도움 / 코치마크</x:v>
      </x:c>
      <x:c r="E142" s="5" t="n">
        <x:v>648</x:v>
      </x:c>
      <x:c r="F142" s="5" t="n">
        <x:v>648</x:v>
      </x:c>
      <x:c r="G142" s="5" t="n">
        <x:v>648</x:v>
      </x:c>
      <x:c r="H142" s="5" t="str"/>
      <x:c r="I142" s="5" t="str">
        <x:v>UI-052</x:v>
      </x:c>
      <x:c r="J142" s="5" t="str">
        <x:v>팝오버 내부 콘텐츠 탐색 / 코치마크 비활성화 / Click
마우스·키보드·터치·보조기술의 원문 동작과 초점·열림/선택 상태를 각각 검사 사례로 분해
페이지 색인이다. 독립 검사항목 개수나 적용 완료 수가 아니다.</x:v>
      </x:c>
      <x:c r="K142" s="5" t="str">
        <x:v>원문 재검토·시험사례 분해 필요</x:v>
      </x:c>
    </x:row>
    <x:row r="143" ht="52.79999923706055" hidden="0" customHeight="1">
      <x:c r="A143" s="5" t="str">
        <x:v>비번호 상호작용</x:v>
      </x:c>
      <x:c r="B143" s="5" t="str">
        <x:v>KRDS-INT-P0662</x:v>
      </x:c>
      <x:c r="C143" s="5" t="str"/>
      <x:c r="D143" s="5" t="str">
        <x:v>컴포넌트 / 도움 / 툴팁</x:v>
      </x:c>
      <x:c r="E143" s="5" t="n">
        <x:v>662</x:v>
      </x:c>
      <x:c r="F143" s="5" t="n">
        <x:v>662</x:v>
      </x:c>
      <x:c r="G143" s="5" t="n">
        <x:v>662</x:v>
      </x:c>
      <x:c r="H143" s="5" t="str"/>
      <x:c r="I143" s="5" t="str">
        <x:v>UI-053
UI-110</x:v>
      </x:c>
      <x:c r="J143" s="5" t="str">
        <x:v>팝오버 내부 콘텐츠 탐색 / 코치마크 비활성화 / 터치 인터페이스에서 활성화 버튼 또는 팝오버 영역 외의 화면을 누르면 팝오버가 / Click / Blur / 툴팁 팝오버가 표시된 상태에서 Esc 키를 누르면 팝오버가 닫히면서 키보드
마우스·키보드·터치·보조기술의 원문 동작과 초점·열림/선택 상태를 각각 검사 사례로 분해
페이지 색인이다. 독립 검사항목 개수나 적용 완료 수가 아니다.</x:v>
      </x:c>
      <x:c r="K143" s="5" t="str">
        <x:v>원문 재검토·시험사례 분해 필요</x:v>
      </x:c>
    </x:row>
    <x:row r="144" ht="39.599998474121094" hidden="0" customHeight="1">
      <x:c r="A144" s="5" t="str">
        <x:v>비번호 상호작용</x:v>
      </x:c>
      <x:c r="B144" s="5" t="str">
        <x:v>KRDS-INT-P0676</x:v>
      </x:c>
      <x:c r="C144" s="5" t="str"/>
      <x:c r="D144" s="5" t="str">
        <x:v>컴포넌트 / 입력 / 날짜 입력 필드</x:v>
      </x:c>
      <x:c r="E144" s="5" t="n">
        <x:v>676</x:v>
      </x:c>
      <x:c r="F144" s="5" t="n">
        <x:v>676</x:v>
      </x:c>
      <x:c r="G144" s="5" t="n">
        <x:v>676</x:v>
      </x:c>
      <x:c r="H144" s="5" t="str"/>
      <x:c r="I144" s="5" t="str">
        <x:v>UI-054</x:v>
      </x:c>
      <x:c r="J144" s="5" t="str">
        <x:v>데이터 입력 / 레이블 또는 입력 필드를 Click 하면 입력 필드에 커서가 활성화되면서 텍스트를 / Click
마우스·키보드·터치·보조기술의 원문 동작과 초점·열림/선택 상태를 각각 검사 사례로 분해
페이지 색인이다. 독립 검사항목 개수나 적용 완료 수가 아니다.</x:v>
      </x:c>
      <x:c r="K144" s="5" t="str">
        <x:v>원문 재검토·시험사례 분해 필요</x:v>
      </x:c>
    </x:row>
    <x:row r="145" ht="52.79999923706055" hidden="0" customHeight="1">
      <x:c r="A145" s="5" t="str">
        <x:v>비번호 상호작용</x:v>
      </x:c>
      <x:c r="B145" s="5" t="str">
        <x:v>KRDS-INT-P0685</x:v>
      </x:c>
      <x:c r="C145" s="5" t="str"/>
      <x:c r="D145" s="5" t="str">
        <x:v>컴포넌트 / 입력 / 텍스트 영역</x:v>
      </x:c>
      <x:c r="E145" s="5" t="n">
        <x:v>685</x:v>
      </x:c>
      <x:c r="F145" s="5" t="n">
        <x:v>685</x:v>
      </x:c>
      <x:c r="G145" s="5" t="n">
        <x:v>685</x:v>
      </x:c>
      <x:c r="H145" s="5" t="str"/>
      <x:c r="I145" s="5" t="str">
        <x:v>UI-055</x:v>
      </x:c>
      <x:c r="J145" s="5" t="str">
        <x:v>레이블 또는 입력 영역을 Click 하면 입력 영역에 커서가 활성화되면서 텍스트를 / Click / 사용자가 많은 양의 텍스트를 작성하여 영역의 기본 높이를 초과하는 경우 영역에 / Scroll / 사용자가 많은 양의 텍스트를 작성하여 영역의 기본 높이를 초과하는 경우 영역에 / 방향키 ↑, ↓
마우스·키보드·터치·보조기술의 원문 동작과 초점·열림/선택 상태를 각각 검사 사례로 분해
페이지 색인이다. 독립 검사항목 개수나 적용 완료 수가 아니다.</x:v>
      </x:c>
      <x:c r="K145" s="5" t="str">
        <x:v>원문 재검토·시험사례 분해 필요</x:v>
      </x:c>
    </x:row>
    <x:row r="146" ht="39.599998474121094" hidden="0" customHeight="1">
      <x:c r="A146" s="5" t="str">
        <x:v>비번호 상호작용</x:v>
      </x:c>
      <x:c r="B146" s="5" t="str">
        <x:v>KRDS-INT-P0696</x:v>
      </x:c>
      <x:c r="C146" s="5" t="str"/>
      <x:c r="D146" s="5" t="str">
        <x:v>컴포넌트 / 입력 / 텍스트 입력 필드</x:v>
      </x:c>
      <x:c r="E146" s="5" t="n">
        <x:v>696</x:v>
      </x:c>
      <x:c r="F146" s="5" t="n">
        <x:v>696</x:v>
      </x:c>
      <x:c r="G146" s="5" t="n">
        <x:v>696</x:v>
      </x:c>
      <x:c r="H146" s="5" t="str"/>
      <x:c r="I146" s="5" t="str">
        <x:v>UI-056</x:v>
      </x:c>
      <x:c r="J146" s="5" t="str">
        <x:v>데이터 입력 / 레이블 또는 입력 필드를 Click 하면 입력 필드에 커서가 활성화되면서 텍스트를 / Click
마우스·키보드·터치·보조기술의 원문 동작과 초점·열림/선택 상태를 각각 검사 사례로 분해
페이지 색인이다. 독립 검사항목 개수나 적용 완료 수가 아니다.</x:v>
      </x:c>
      <x:c r="K146" s="5" t="str">
        <x:v>원문 재검토·시험사례 분해 필요</x:v>
      </x:c>
    </x:row>
    <x:row r="147" ht="66" hidden="0" customHeight="1">
      <x:c r="A147" s="5" t="str">
        <x:v>비번호 상호작용</x:v>
      </x:c>
      <x:c r="B147" s="5" t="str">
        <x:v>KRDS-INT-P0713</x:v>
      </x:c>
      <x:c r="C147" s="5" t="str"/>
      <x:c r="D147" s="5" t="str">
        <x:v>컴포넌트 / 입력 / 파일 업로드</x:v>
      </x:c>
      <x:c r="E147" s="5" t="n">
        <x:v>713</x:v>
      </x:c>
      <x:c r="F147" s="5" t="n">
        <x:v>713</x:v>
      </x:c>
      <x:c r="G147" s="5" t="n">
        <x:v>713</x:v>
      </x:c>
      <x:c r="H147" s="5" t="str"/>
      <x:c r="I147" s="5" t="str">
        <x:v>UI-057
UI-111
UI-112
UI-113
UI-114</x:v>
      </x:c>
      <x:c r="J147" s="5" t="str">
        <x:v>탐색 / 파일 선택기가 활성화되었을 때 키보드의 방향키 ↑, ↓을 눌러 파일을 탐색할 수 / 방향키 ↑, ↓ / 파일 업로드 / 파일 선택기가 활성화된 상태에서 파일을 선택하고 '열기' 버튼을 Click 하면 / Click
마우스·키보드·터치·보조기술의 원문 동작과 초점·열림/선택 상태를 각각 검사 사례로 분해
페이지 색인이다. 독립 검사항목 개수나 적용 완료 수가 아니다.</x:v>
      </x:c>
      <x:c r="K147" s="5" t="str">
        <x:v>원문 재검토·시험사례 분해 필요</x:v>
      </x:c>
    </x:row>
    <x:row r="148" ht="66" hidden="0" customHeight="1">
      <x:c r="A148" s="5" t="str">
        <x:v>비번호 상호작용</x:v>
      </x:c>
      <x:c r="B148" s="5" t="str">
        <x:v>KRDS-INT-P0714</x:v>
      </x:c>
      <x:c r="C148" s="5" t="str"/>
      <x:c r="D148" s="5" t="str">
        <x:v>컴포넌트 / 입력 / 파일 업로드</x:v>
      </x:c>
      <x:c r="E148" s="5" t="n">
        <x:v>714</x:v>
      </x:c>
      <x:c r="F148" s="5" t="n">
        <x:v>714</x:v>
      </x:c>
      <x:c r="G148" s="5" t="n">
        <x:v>714</x:v>
      </x:c>
      <x:c r="H148" s="5" t="str"/>
      <x:c r="I148" s="5" t="str">
        <x:v>UI-057
UI-111
UI-112
UI-113
UI-114</x:v>
      </x:c>
      <x:c r="J148" s="5" t="str">
        <x:v>파일 삭제 / 삭제 버튼이 초점을 가진 상태에서 Space 또는 Enter 키를 누르면 파일이
마우스·키보드·터치·보조기술의 원문 동작과 초점·열림/선택 상태를 각각 검사 사례로 분해
페이지 색인이다. 독립 검사항목 개수나 적용 완료 수가 아니다.</x:v>
      </x:c>
      <x:c r="K148" s="5" t="str">
        <x:v>원문 재검토·시험사례 분해 필요</x:v>
      </x:c>
    </x:row>
    <x:row r="149" ht="39.599998474121094" hidden="0" customHeight="1">
      <x:c r="A149" s="5" t="str">
        <x:v>비번호 상호작용</x:v>
      </x:c>
      <x:c r="B149" s="5" t="str">
        <x:v>KRDS-INT-P0726</x:v>
      </x:c>
      <x:c r="C149" s="5" t="str"/>
      <x:c r="D149" s="5" t="str">
        <x:v>컴포넌트 / 설정 / 언어 변경</x:v>
      </x:c>
      <x:c r="E149" s="5" t="n">
        <x:v>726</x:v>
      </x:c>
      <x:c r="F149" s="5" t="n">
        <x:v>726</x:v>
      </x:c>
      <x:c r="G149" s="5" t="n">
        <x:v>726</x:v>
      </x:c>
      <x:c r="H149" s="5" t="str"/>
      <x:c r="I149" s="5" t="str">
        <x:v>UI-058</x:v>
      </x:c>
      <x:c r="J149" s="5" t="str">
        <x:v>드롭다운 목록 확장 및 축소 / 컨테이너를 Click 했을 때, 옵션 목록이 확장되거나 축소된다.옵션 목록이 / 드롭다운 목록 탐색
마우스·키보드·터치·보조기술의 원문 동작과 초점·열림/선택 상태를 각각 검사 사례로 분해
페이지 색인이다. 독립 검사항목 개수나 적용 완료 수가 아니다.</x:v>
      </x:c>
      <x:c r="K149" s="5" t="str">
        <x:v>원문 재검토·시험사례 분해 필요</x:v>
      </x:c>
    </x:row>
    <x:row r="150" ht="39.599998474121094" hidden="0" customHeight="1">
      <x:c r="A150" s="5" t="str">
        <x:v>비번호 상호작용</x:v>
      </x:c>
      <x:c r="B150" s="5" t="str">
        <x:v>KRDS-INT-P0735</x:v>
      </x:c>
      <x:c r="C150" s="5" t="str"/>
      <x:c r="D150" s="5" t="str">
        <x:v>컴포넌트 / 설정 / 화면 크기 조정</x:v>
      </x:c>
      <x:c r="E150" s="5" t="n">
        <x:v>735</x:v>
      </x:c>
      <x:c r="F150" s="5" t="n">
        <x:v>735</x:v>
      </x:c>
      <x:c r="G150" s="5" t="n">
        <x:v>735</x:v>
      </x:c>
      <x:c r="H150" s="5" t="str"/>
      <x:c r="I150" s="5" t="str">
        <x:v>UI-059</x:v>
      </x:c>
      <x:c r="J150" s="5" t="str">
        <x:v>목록 확장 및 축소 / 탐색
마우스·키보드·터치·보조기술의 원문 동작과 초점·열림/선택 상태를 각각 검사 사례로 분해
페이지 색인이다. 독립 검사항목 개수나 적용 완료 수가 아니다.</x:v>
      </x:c>
      <x:c r="K150" s="5" t="str">
        <x:v>원문 재검토·시험사례 분해 필요</x:v>
      </x:c>
    </x:row>
    <x:row r="151" ht="39.599998474121094" hidden="0" customHeight="1">
      <x:c r="A151" s="5" t="str">
        <x:v>비번호 상호작용</x:v>
      </x:c>
      <x:c r="B151" s="5" t="str">
        <x:v>KRDS-INT-P0736</x:v>
      </x:c>
      <x:c r="C151" s="5" t="str"/>
      <x:c r="D151" s="5" t="str">
        <x:v>컴포넌트 / 설정 / 화면 크기 조정</x:v>
      </x:c>
      <x:c r="E151" s="5" t="n">
        <x:v>736</x:v>
      </x:c>
      <x:c r="F151" s="5" t="n">
        <x:v>736</x:v>
      </x:c>
      <x:c r="G151" s="5" t="n">
        <x:v>736</x:v>
      </x:c>
      <x:c r="H151" s="5" t="str"/>
      <x:c r="I151" s="5" t="str">
        <x:v>UI-059</x:v>
      </x:c>
      <x:c r="J151" s="5" t="str">
        <x:v>옵션 선택 / 컨테이너에 초점이 있고 옵션 목록이 축소된 경우, 이전/다음 옵션으로 / 방향키 ↑, ↓
마우스·키보드·터치·보조기술의 원문 동작과 초점·열림/선택 상태를 각각 검사 사례로 분해
페이지 색인이다. 독립 검사항목 개수나 적용 완료 수가 아니다.</x:v>
      </x:c>
      <x:c r="K151" s="5" t="str">
        <x:v>원문 재검토·시험사례 분해 필요</x:v>
      </x:c>
    </x:row>
    <x:row r="152" ht="52.79999923706055" hidden="0" customHeight="1">
      <x:c r="A152" s="5" t="str">
        <x:v>비번호 상호작용</x:v>
      </x:c>
      <x:c r="B152" s="5" t="str">
        <x:v>KRDS-INT-P0796</x:v>
      </x:c>
      <x:c r="C152" s="5" t="str"/>
      <x:c r="D152" s="5" t="str">
        <x:v>기본 패턴 / 패턴 / 동의</x:v>
      </x:c>
      <x:c r="E152" s="5" t="n">
        <x:v>796</x:v>
      </x:c>
      <x:c r="F152" s="5" t="n">
        <x:v>796</x:v>
      </x:c>
      <x:c r="G152" s="5" t="n">
        <x:v>796</x:v>
      </x:c>
      <x:c r="H152" s="5" t="str"/>
      <x:c r="I152" s="5" t="str">
        <x:v>UI-064</x:v>
      </x:c>
      <x:c r="J152" s="5" t="str">
        <x:v>목록 탐색 / 목록 내 다음 인터페이스 요소로 키보드 초점이 이동하고 초점을 받은 / 목록 내 이전 인터페이스 요소로 키보드 초점이 이동하고 초점을 받은 / 동의 옵션 선택 / 일괄 선택 / 일괄 선택 체크박스를 Click 하여 값이 선택되면 모든 동의 옵션의 '동의함'
마우스·키보드·터치·보조기술의 원문 동작과 초점·열림/선택 상태를 각각 검사 사례로 분해
페이지 색인이다. 독립 검사항목 개수나 적용 완료 수가 아니다.</x:v>
      </x:c>
      <x:c r="K152" s="5" t="str">
        <x:v>원문 재검토·시험사례 분해 필요</x:v>
      </x:c>
    </x:row>
    <x:row r="153" ht="39.599998474121094" hidden="0" customHeight="1">
      <x:c r="A153" s="5" t="str">
        <x:v>비번호 상호작용</x:v>
      </x:c>
      <x:c r="B153" s="5" t="str">
        <x:v>KRDS-INT-P0797</x:v>
      </x:c>
      <x:c r="C153" s="5" t="str"/>
      <x:c r="D153" s="5" t="str">
        <x:v>기본 패턴 / 패턴 / 동의</x:v>
      </x:c>
      <x:c r="E153" s="5" t="n">
        <x:v>797</x:v>
      </x:c>
      <x:c r="F153" s="5" t="n">
        <x:v>797</x:v>
      </x:c>
      <x:c r="G153" s="5" t="n">
        <x:v>797</x:v>
      </x:c>
      <x:c r="H153" s="5" t="str"/>
      <x:c r="I153" s="5" t="str">
        <x:v>UI-064</x:v>
      </x:c>
      <x:c r="J153" s="5" t="str">
        <x:v>개별 선택
마우스·키보드·터치·보조기술의 원문 동작과 초점·열림/선택 상태를 각각 검사 사례로 분해
페이지 색인이다. 독립 검사항목 개수나 적용 완료 수가 아니다.</x:v>
      </x:c>
      <x:c r="K153" s="5" t="str">
        <x:v>원문 재검토·시험사례 분해 필요</x:v>
      </x:c>
    </x:row>
    <x:row r="154" ht="52.79999923706055" hidden="0" customHeight="1">
      <x:c r="A154" s="5" t="str">
        <x:v>비번호 상호작용</x:v>
      </x:c>
      <x:c r="B154" s="5" t="str">
        <x:v>KRDS-INT-P0811</x:v>
      </x:c>
      <x:c r="C154" s="5" t="str"/>
      <x:c r="D154" s="5" t="str">
        <x:v>기본 패턴 / 패턴 / 사용자 피드백</x:v>
      </x:c>
      <x:c r="E154" s="5" t="n">
        <x:v>811</x:v>
      </x:c>
      <x:c r="F154" s="5" t="n">
        <x:v>811</x:v>
      </x:c>
      <x:c r="G154" s="5" t="n">
        <x:v>811</x:v>
      </x:c>
      <x:c r="H154" s="5" t="str"/>
      <x:c r="I154" s="5" t="str">
        <x:v>UI-066</x:v>
      </x:c>
      <x:c r="J154" s="5" t="str">
        <x:v>평가 선택 / 감정 표현이나 별점 버튼을 Click 하였을 때, / 맞춤 영역이 사용되는 경우 사용자 피드백 컨테이너 높이가 확장되면서 / 맞춤 영역이 없는 경우 평가가 제출되면서 헤딩과 설명은 사라지고 그 / 감정 표현이나 별점 버튼이 초점을 가진 상태에서 Enter 또는 Space 키에 / 대해 Keyup 이벤트가 발생하였을 때,
마우스·키보드·터치·보조기술의 원문 동작과 초점·열림/선택 상태를 각각 검사 사례로 분해
페이지 색인이다. 독립 검사항목 개수나 적용 완료 수가 아니다.</x:v>
      </x:c>
      <x:c r="K154" s="5" t="str">
        <x:v>원문 재검토·시험사례 분해 필요</x:v>
      </x:c>
    </x:row>
    <x:row r="155" ht="39.599998474121094" hidden="0" customHeight="1">
      <x:c r="A155" s="5" t="str">
        <x:v>비번호 상호작용</x:v>
      </x:c>
      <x:c r="B155" s="5" t="str">
        <x:v>KRDS-INT-P0812</x:v>
      </x:c>
      <x:c r="C155" s="5" t="str"/>
      <x:c r="D155" s="5" t="str">
        <x:v>기본 패턴 / 패턴 / 사용자 피드백</x:v>
      </x:c>
      <x:c r="E155" s="5" t="n">
        <x:v>812</x:v>
      </x:c>
      <x:c r="F155" s="5" t="n">
        <x:v>812</x:v>
      </x:c>
      <x:c r="G155" s="5" t="n">
        <x:v>812</x:v>
      </x:c>
      <x:c r="H155" s="5" t="str"/>
      <x:c r="I155" s="5" t="str">
        <x:v>UI-066</x:v>
      </x:c>
      <x:c r="J155" s="5" t="str">
        <x:v>최종 응답 제출 / 맞춤 영역이 존재하는 경우, 취소 또는 평가 완료 버튼을 Click 하면 평가 / Click / 맞춤 영역이 존재하는 경우, 취소 또는 평가 완료 버튼이 초점을 가진
마우스·키보드·터치·보조기술의 원문 동작과 초점·열림/선택 상태를 각각 검사 사례로 분해
페이지 색인이다. 독립 검사항목 개수나 적용 완료 수가 아니다.</x:v>
      </x:c>
      <x:c r="K155" s="5" t="str">
        <x:v>원문 재검토·시험사례 분해 필요</x:v>
      </x:c>
    </x:row>
    <x:row r="156" ht="52.79999923706055" hidden="0" customHeight="1">
      <x:c r="A156" s="5" t="str">
        <x:v>비번호 상호작용</x:v>
      </x:c>
      <x:c r="B156" s="5" t="str">
        <x:v>KRDS-INT-P0850</x:v>
      </x:c>
      <x:c r="C156" s="5" t="str"/>
      <x:c r="D156" s="5" t="str">
        <x:v>기본 패턴 / 패턴 / 입력폼</x:v>
      </x:c>
      <x:c r="E156" s="5" t="n">
        <x:v>850</x:v>
      </x:c>
      <x:c r="F156" s="5" t="n">
        <x:v>850</x:v>
      </x:c>
      <x:c r="G156" s="5" t="n">
        <x:v>850</x:v>
      </x:c>
      <x:c r="H156" s="5" t="str"/>
      <x:c r="I156" s="5" t="str">
        <x:v>UI-069
UI-117
UI-118
UI-119</x:v>
      </x:c>
      <x:c r="J156" s="5" t="str">
        <x:v>'
마우스·키보드·터치·보조기술의 원문 동작과 초점·열림/선택 상태를 각각 검사 사례로 분해
페이지 색인이다. 독립 검사항목 개수나 적용 완료 수가 아니다.</x:v>
      </x:c>
      <x:c r="K156" s="5" t="str">
        <x:v>원문 재검토·시험사례 분해 필요</x:v>
      </x:c>
    </x:row>
    <x:row r="157" ht="52.79999923706055" hidden="0" customHeight="1">
      <x:c r="A157" s="5" t="str">
        <x:v>비번호 상호작용</x:v>
      </x:c>
      <x:c r="B157" s="5" t="str">
        <x:v>KRDS-INT-P0851</x:v>
      </x:c>
      <x:c r="C157" s="5" t="str"/>
      <x:c r="D157" s="5" t="str">
        <x:v>기본 패턴 / 패턴 / 입력폼</x:v>
      </x:c>
      <x:c r="E157" s="5" t="n">
        <x:v>851</x:v>
      </x:c>
      <x:c r="F157" s="5" t="n">
        <x:v>851</x:v>
      </x:c>
      <x:c r="G157" s="5" t="n">
        <x:v>851</x:v>
      </x:c>
      <x:c r="H157" s="5" t="str"/>
      <x:c r="I157" s="5" t="str">
        <x:v>UI-069
UI-117
UI-118
UI-119</x:v>
      </x:c>
      <x:c r="J157" s="5" t="str">
        <x:v>클라이언트 측 검증 / 다른 사용자의 데이터와 중복될 수 없는 아이디, 보안을 위해 작성 규칙이 / 정해진 비밀번호 등 사용자가 텍스트 데이터를 입력하는 동안 실시간으로 / Keyup / 데이터의 적합성을 확인하여 수정해야 할 필요가 있는 경우, 사용자가 / 날짜와 같이 전체 값이 입력되기 전까지 적합성을 판단하기 어려운 경우,
마우스·키보드·터치·보조기술의 원문 동작과 초점·열림/선택 상태를 각각 검사 사례로 분해
페이지 색인이다. 독립 검사항목 개수나 적용 완료 수가 아니다.</x:v>
      </x:c>
      <x:c r="K157" s="5" t="str">
        <x:v>원문 재검토·시험사례 분해 필요</x:v>
      </x:c>
    </x:row>
    <x:row r="158" ht="39.599998474121094" hidden="0" customHeight="1">
      <x:c r="A158" s="5" t="str">
        <x:v>비번호 상호작용</x:v>
      </x:c>
      <x:c r="B158" s="5" t="str">
        <x:v>KRDS-INT-P0877</x:v>
      </x:c>
      <x:c r="C158" s="5" t="str"/>
      <x:c r="D158" s="5" t="str">
        <x:v>기본 패턴 / 패턴 / 필터링·정렬</x:v>
      </x:c>
      <x:c r="E158" s="5" t="n">
        <x:v>877</x:v>
      </x:c>
      <x:c r="F158" s="5" t="n">
        <x:v>877</x:v>
      </x:c>
      <x:c r="G158" s="5" t="n">
        <x:v>877</x:v>
      </x:c>
      <x:c r="H158" s="5" t="str"/>
      <x:c r="I158" s="5" t="str">
        <x:v>UI-071</x:v>
      </x:c>
      <x:c r="J158" s="5" t="str">
        <x:v>즉각 표시 / 일괄 표시 / 인라인 정렬 / 정렬 컨트롤 탐색 / 정렬 순서 변경 / 정렬 버튼이 초점을 가진 상태에서 실행했을 때 오름차순, 내림차순 정렬
마우스·키보드·터치·보조기술의 원문 동작과 초점·열림/선택 상태를 각각 검사 사례로 분해
페이지 색인이다. 독립 검사항목 개수나 적용 완료 수가 아니다.</x:v>
      </x:c>
      <x:c r="K158" s="5" t="str">
        <x:v>원문 재검토·시험사례 분해 필요</x:v>
      </x:c>
    </x:row>
    <x:row r="159" ht="52.79999923706055" hidden="0" customHeight="1">
      <x:c r="A159" s="5" t="str">
        <x:v>비번호 상호작용</x:v>
      </x:c>
      <x:c r="B159" s="5" t="str">
        <x:v>KRDS-INT-P0926</x:v>
      </x:c>
      <x:c r="C159" s="5" t="str"/>
      <x:c r="D159" s="5" t="str">
        <x:v>서비스 패턴 / 검색 / 검색어 입력</x:v>
      </x:c>
      <x:c r="E159" s="5" t="n">
        <x:v>926</x:v>
      </x:c>
      <x:c r="F159" s="5" t="n">
        <x:v>926</x:v>
      </x:c>
      <x:c r="G159" s="5" t="n">
        <x:v>926</x:v>
      </x:c>
      <x:c r="H159" s="5" t="str"/>
      <x:c r="I159" s="5" t="str">
        <x:v>UI-075</x:v>
      </x:c>
      <x:c r="J159" s="5" t="str">
        <x:v>검색어 입력 필드 / 검색어 입력 필드가 키보드 초점을 가진 상태이고 아무런 값이 입력되지 / Focusin / 검색어 입력 필드가 키보드 초점을 가진 상태이고 Keyup 이벤트가 / 검색어 입력 필드가 키보드 초점을 가진 상태에서 Enter 키를 누르면 검색이 / 검색어 입력 필드가 키보드 초점을 가진 상태이면서 검색어 제안 목록이
마우스·키보드·터치·보조기술의 원문 동작과 초점·열림/선택 상태를 각각 검사 사례로 분해
페이지 색인이다. 독립 검사항목 개수나 적용 완료 수가 아니다.</x:v>
      </x:c>
      <x:c r="K159" s="5" t="str">
        <x:v>원문 재검토·시험사례 분해 필요</x:v>
      </x:c>
    </x:row>
    <x:row r="160" ht="52.79999923706055" hidden="0" customHeight="1">
      <x:c r="A160" s="5" t="str">
        <x:v>비번호 상호작용</x:v>
      </x:c>
      <x:c r="B160" s="5" t="str">
        <x:v>KRDS-INT-P0927</x:v>
      </x:c>
      <x:c r="C160" s="5" t="str"/>
      <x:c r="D160" s="5" t="str">
        <x:v>서비스 패턴 / 검색 / 검색어 입력</x:v>
      </x:c>
      <x:c r="E160" s="5" t="n">
        <x:v>927</x:v>
      </x:c>
      <x:c r="F160" s="5" t="n">
        <x:v>927</x:v>
      </x:c>
      <x:c r="G160" s="5" t="n">
        <x:v>927</x:v>
      </x:c>
      <x:c r="H160" s="5" t="str"/>
      <x:c r="I160" s="5" t="str">
        <x:v>UI-075</x:v>
      </x:c>
      <x:c r="J160" s="5" t="str">
        <x:v>실시간 검색어 입력 도움 / 검색어 제안 목록을 순회한다. 목록 가장 첫 번째 항목에서 방향키 ↑를 / 검색어 제안 목록에서 특정 항목을 Click 하면 선택된 항목으로 검색 동작이 / Click / 실시간 검색어 입력 도움창이 활성화된 상태에서 Esc 키를 누르면 창이 / Esc
마우스·키보드·터치·보조기술의 원문 동작과 초점·열림/선택 상태를 각각 검사 사례로 분해
페이지 색인이다. 독립 검사항목 개수나 적용 완료 수가 아니다.</x:v>
      </x:c>
      <x:c r="K160" s="5" t="str">
        <x:v>원문 재검토·시험사례 분해 필요</x:v>
      </x:c>
    </x:row>
    <x:row r="161" ht="39.599998474121094" hidden="0" customHeight="1">
      <x:c r="A161" s="5" t="str">
        <x:v>비번호 상호작용</x:v>
      </x:c>
      <x:c r="B161" s="5" t="str">
        <x:v>KRDS-INT-P1025</x:v>
      </x:c>
      <x:c r="C161" s="5" t="str"/>
      <x:c r="D161" s="5" t="str">
        <x:v>서비스 패턴 / 로그인 / 로그인 정보 입력</x:v>
      </x:c>
      <x:c r="E161" s="5" t="n">
        <x:v>1025</x:v>
      </x:c>
      <x:c r="F161" s="5" t="n">
        <x:v>1025</x:v>
      </x:c>
      <x:c r="G161" s="5" t="n">
        <x:v>1025</x:v>
      </x:c>
      <x:c r="H161" s="5" t="str"/>
      <x:c r="I161" s="5" t="str">
        <x:v>UI-084
UI-122</x:v>
      </x:c>
      <x:c r="J161" s="5" t="str">
        <x:v>'
마우스·키보드·터치·보조기술의 원문 동작과 초점·열림/선택 상태를 각각 검사 사례로 분해
페이지 색인이다. 독립 검사항목 개수나 적용 완료 수가 아니다.</x:v>
      </x:c>
      <x:c r="K161" s="5" t="str">
        <x:v>원문 재검토·시험사례 분해 필요</x:v>
      </x:c>
    </x:row>
  </x:sheetData>
  <x:pageMargins left="0.7" right="0.7" top="0.75" bottom="0.75" header="0.3" footer="0.3"/>
  <x:tableParts count="1">
    <x:tablePart xmlns:r="http://schemas.openxmlformats.org/officeDocument/2006/relationships" r:id="Rdd688ceaf0fe494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6" hidden="0" customWidth="1"/>
    <x:col min="3" max="3" width="62" hidden="0" customWidth="1"/>
    <x:col min="4" max="4" width="28" hidden="0" customWidth="1"/>
    <x:col min="5" max="5" width="24" hidden="0" customWidth="1"/>
    <x:col min="6" max="6" width="29" hidden="0" customWidth="1"/>
    <x:col min="7" max="7" width="90" hidden="0" customWidth="1"/>
    <x:col min="8" max="8" width="45" hidden="0" customWidth="1"/>
    <x:col min="9" max="9" width="24" hidden="0" customWidth="1"/>
    <x:col min="10" max="10" width="28" hidden="0" customWidth="1"/>
    <x:col min="11" max="11" width="100" hidden="0" customWidth="1"/>
  </x:cols>
  <x:sheetData>
    <x:row r="2">
      <x:c r="A2" s="1" t="str">
        <x:v>출처·원문 이상·2025.08 변경관리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법적 의무·외부 권고·회사 기준을 구분하고 출처와 원문 미확정 상태를 보존합니다.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6" ht="42" customHeight="1">
      <x:c r="A6" s="9" t="str">
        <x:v>구분</x:v>
      </x:c>
      <x:c r="B6" s="9" t="str">
        <x:v>ID</x:v>
      </x:c>
      <x:c r="C6" s="9" t="str">
        <x:v>표준·확인 제목</x:v>
      </x:c>
      <x:c r="D6" s="9" t="str">
        <x:v>발행기관</x:v>
      </x:c>
      <x:c r="E6" s="9" t="str">
        <x:v>판본</x:v>
      </x:c>
      <x:c r="F6" s="9" t="str">
        <x:v>유형·등급</x:v>
      </x:c>
      <x:c r="G6" s="9" t="str">
        <x:v>원문 URL·파일</x:v>
      </x:c>
      <x:c r="H6" s="9" t="str">
        <x:v>원문 위치</x:v>
      </x:c>
      <x:c r="I6" s="9" t="str">
        <x:v>확인일·수집일</x:v>
      </x:c>
      <x:c r="J6" s="9" t="str">
        <x:v>접근·확인 상태</x:v>
      </x:c>
      <x:c r="K6" s="9" t="str">
        <x:v>적용범위·영향·후속조치</x:v>
      </x:c>
    </x:row>
    <x:row r="7" ht="15" hidden="0" customHeight="1">
      <x:c r="A7" s="5" t="str">
        <x:v>출처</x:v>
      </x:c>
      <x:c r="B7" s="5" t="str">
        <x:v>SRC-001</x:v>
      </x:c>
      <x:c r="C7" s="5" t="str">
        <x:v>디지털 정부서비스 UI/UX 가이드라인</x:v>
      </x:c>
      <x:c r="D7" s="5" t="str"/>
      <x:c r="E7" s="5" t="str">
        <x:v>2025.08</x:v>
      </x:c>
      <x:c r="F7" s="5" t="str">
        <x:v>사용자 제공 원문</x:v>
      </x:c>
      <x:c r="G7" s="5" t="str">
        <x:v>references/「디지털 정부 UI,UX 가이드라인」 수정본('25.8.).pdf</x:v>
      </x:c>
      <x:c r="H7" s="5" t="str"/>
      <x:c r="I7" s="5" t="str">
        <x:v>2026-10-20</x:v>
      </x:c>
      <x:c r="J7" s="5" t="str">
        <x:v>확인</x:v>
      </x:c>
      <x:c r="K7" s="5" t="str">
        <x:v>번호항목·구조·상호작용 색인 및 회사 채택 통제</x:v>
      </x:c>
    </x:row>
    <x:row r="8" ht="15" hidden="0" customHeight="1">
      <x:c r="A8" s="5" t="str">
        <x:v>출처</x:v>
      </x:c>
      <x:c r="B8" s="5" t="str">
        <x:v>SRC-002</x:v>
      </x:c>
      <x:c r="C8" s="5" t="str">
        <x:v>디지털 서비스 UIUX 가이드라인 변경 대비표</x:v>
      </x:c>
      <x:c r="D8" s="5" t="str"/>
      <x:c r="E8" s="5" t="str">
        <x:v>2025.08</x:v>
      </x:c>
      <x:c r="F8" s="5" t="str">
        <x:v>사용자 제공 원문</x:v>
      </x:c>
      <x:c r="G8" s="5" t="str">
        <x:v>references/「디지털 서비스 UIUX 가이드라인」변경 대비표(´25.8).pdf</x:v>
      </x:c>
      <x:c r="H8" s="5" t="str"/>
      <x:c r="I8" s="5" t="str">
        <x:v>2026-10-20</x:v>
      </x:c>
      <x:c r="J8" s="5" t="str">
        <x:v>확인</x:v>
      </x:c>
      <x:c r="K8" s="5" t="str">
        <x:v>운영기관·푸터·로그인 3개 개정</x:v>
      </x:c>
    </x:row>
    <x:row r="9" ht="15" hidden="0" customHeight="1">
      <x:c r="A9" s="5" t="str">
        <x:v>출처</x:v>
      </x:c>
      <x:c r="B9" s="5" t="str">
        <x:v>SRC-003</x:v>
      </x:c>
      <x:c r="C9" s="5" t="str">
        <x:v>회사 기준 초안</x:v>
      </x:c>
      <x:c r="D9" s="5" t="str"/>
      <x:c r="E9" s="5" t="str">
        <x:v>0.1</x:v>
      </x:c>
      <x:c r="F9" s="5" t="str">
        <x:v>사내 제안</x:v>
      </x:c>
      <x:c r="G9" s="5" t="str"/>
      <x:c r="H9" s="5" t="str"/>
      <x:c r="I9" s="5" t="str">
        <x:v>2026-10-20</x:v>
      </x:c>
      <x:c r="J9" s="5" t="str">
        <x:v>회사 승인 전</x:v>
      </x:c>
      <x:c r="K9" s="5" t="str">
        <x:v>적용성·임계치·샘플·운영·보고 정책</x:v>
      </x:c>
    </x:row>
    <x:row r="10" ht="26.399999618530273" hidden="0" customHeight="1">
      <x:c r="A10" s="5" t="str">
        <x:v>출처</x:v>
      </x:c>
      <x:c r="B10" s="5" t="str">
        <x:v>SRC-004</x:v>
      </x:c>
      <x:c r="C10" s="5" t="str">
        <x:v>한국형 웹 콘텐츠 접근성 지침 2.2</x:v>
      </x:c>
      <x:c r="D10" s="5" t="str"/>
      <x:c r="E10" s="5" t="str">
        <x:v>KS X OT0003:2022 / 2022-12-28</x:v>
      </x:c>
      <x:c r="F10" s="5" t="str">
        <x:v>국가표준</x:v>
      </x:c>
      <x:c r="G10" s="5" t="str">
        <x:v>https://www.rra.go.kr/ko/reference/kcsList_view.do?nb_seq=5247&amp;nb_type=6</x:v>
      </x:c>
      <x:c r="H10" s="5" t="str"/>
      <x:c r="I10" s="5" t="str">
        <x:v>2026-10-20</x:v>
      </x:c>
      <x:c r="J10" s="5" t="str">
        <x:v>확인</x:v>
      </x:c>
      <x:c r="K10" s="5" t="str">
        <x:v>33개 검사 항목 목록</x:v>
      </x:c>
    </x:row>
    <x:row r="11" ht="15" hidden="0" customHeight="1">
      <x:c r="A11" s="5" t="str">
        <x:v>출처</x:v>
      </x:c>
      <x:c r="B11" s="5" t="str">
        <x:v>SRC-005</x:v>
      </x:c>
      <x:c r="C11" s="5" t="str">
        <x:v>Web Content Accessibility Guidelines 2.2</x:v>
      </x:c>
      <x:c r="D11" s="5" t="str"/>
      <x:c r="E11" s="5" t="str">
        <x:v>2024-12-12 Recommendation</x:v>
      </x:c>
      <x:c r="F11" s="5" t="str">
        <x:v>W3C 표준</x:v>
      </x:c>
      <x:c r="G11" s="5" t="str">
        <x:v>https://www.w3.org/TR/WCAG22/</x:v>
      </x:c>
      <x:c r="H11" s="5" t="str"/>
      <x:c r="I11" s="5" t="str">
        <x:v>2026-10-20</x:v>
      </x:c>
      <x:c r="J11" s="5" t="str">
        <x:v>확인</x:v>
      </x:c>
      <x:c r="K11" s="5" t="str">
        <x:v>A 31개와 AA 24개, 총55개</x:v>
      </x:c>
    </x:row>
    <x:row r="12" ht="15" hidden="0" customHeight="1">
      <x:c r="A12" s="5" t="str">
        <x:v>출처</x:v>
      </x:c>
      <x:c r="B12" s="5" t="str">
        <x:v>SRC-006</x:v>
      </x:c>
      <x:c r="C12" s="5" t="str">
        <x:v>KWCAG 2.2 공식 원문 DOCX</x:v>
      </x:c>
      <x:c r="D12" s="5" t="str"/>
      <x:c r="E12" s="5" t="str">
        <x:v>2022-12-28</x:v>
      </x:c>
      <x:c r="F12" s="5" t="str">
        <x:v>공식 첨부</x:v>
      </x:c>
      <x:c r="G12" s="5" t="str">
        <x:v>https://www.rra.go.kr/FileDownSvl?file_parentseq=5247&amp;file_seq=1&amp;file_type=notice</x:v>
      </x:c>
      <x:c r="H12" s="5" t="str"/>
      <x:c r="I12" s="5" t="str">
        <x:v>2026-10-20</x:v>
      </x:c>
      <x:c r="J12" s="5" t="str">
        <x:v>링크 확인 / 웹 도구는 binary 미해석</x:v>
      </x:c>
      <x:c r="K12" s="5" t="str">
        <x:v>원문 다운로드 링크</x:v>
      </x:c>
    </x:row>
    <x:row r="13" ht="15" hidden="0" customHeight="1">
      <x:c r="A13" s="5" t="str">
        <x:v>출처</x:v>
      </x:c>
      <x:c r="B13" s="5" t="str">
        <x:v>SRC-007</x:v>
      </x:c>
      <x:c r="C13" s="5" t="str">
        <x:v>NIST SP 800-218 SSDF 1.1 (Final, 2022-02)</x:v>
      </x:c>
      <x:c r="D13" s="5" t="str"/>
      <x:c r="E13" s="5" t="str"/>
      <x:c r="F13" s="5" t="str">
        <x:v>외부 권고를 사내 기준으로 구체화</x:v>
      </x:c>
      <x:c r="G13" s="5" t="str">
        <x:v>https://csrc.nist.gov/pubs/sp/800/218/final</x:v>
      </x:c>
      <x:c r="H13" s="5" t="str"/>
      <x:c r="I13" s="5" t="str">
        <x:v>2026-10-20</x:v>
      </x:c>
      <x:c r="J13" s="5" t="str">
        <x:v>확인</x:v>
      </x:c>
      <x:c r="K13" s="5" t="str">
        <x:v>선택 항목 참조</x:v>
      </x:c>
    </x:row>
    <x:row r="14" ht="15" hidden="0" customHeight="1">
      <x:c r="A14" s="5" t="str">
        <x:v>출처</x:v>
      </x:c>
      <x:c r="B14" s="5" t="str">
        <x:v>SRC-008</x:v>
      </x:c>
      <x:c r="C14" s="5" t="str">
        <x:v>TypeScript TSConfig strict</x:v>
      </x:c>
      <x:c r="D14" s="5" t="str"/>
      <x:c r="E14" s="5" t="str"/>
      <x:c r="F14" s="5" t="str">
        <x:v>언어 공식 기능을 사내 필수화</x:v>
      </x:c>
      <x:c r="G14" s="5" t="str">
        <x:v>https://www.typescriptlang.org/tsconfig/strict.html</x:v>
      </x:c>
      <x:c r="H14" s="5" t="str"/>
      <x:c r="I14" s="5" t="str">
        <x:v>2026-10-20</x:v>
      </x:c>
      <x:c r="J14" s="5" t="str">
        <x:v>확인</x:v>
      </x:c>
      <x:c r="K14" s="5" t="str">
        <x:v>선택 항목 참조</x:v>
      </x:c>
    </x:row>
    <x:row r="15" ht="15" hidden="0" customHeight="1">
      <x:c r="A15" s="5" t="str">
        <x:v>출처</x:v>
      </x:c>
      <x:c r="B15" s="5" t="str">
        <x:v>SRC-009</x:v>
      </x:c>
      <x:c r="C15" s="5" t="str">
        <x:v>OWASP Input Validation Cheat Sheet</x:v>
      </x:c>
      <x:c r="D15" s="5" t="str"/>
      <x:c r="E15" s="5" t="str"/>
      <x:c r="F15" s="5" t="str">
        <x:v>공식 구현 가이드 참조</x:v>
      </x:c>
      <x:c r="G15" s="5" t="str">
        <x:v>https://cheatsheetseries.owasp.org/cheatsheets/Input_Validation_Cheat_Sheet.html</x:v>
      </x:c>
      <x:c r="H15" s="5" t="str"/>
      <x:c r="I15" s="5" t="str">
        <x:v>2026-10-20</x:v>
      </x:c>
      <x:c r="J15" s="5" t="str">
        <x:v>확인</x:v>
      </x:c>
      <x:c r="K15" s="5" t="str">
        <x:v>선택 항목 참조</x:v>
      </x:c>
    </x:row>
    <x:row r="16" ht="15" hidden="0" customHeight="1">
      <x:c r="A16" s="5" t="str">
        <x:v>출처</x:v>
      </x:c>
      <x:c r="B16" s="5" t="str">
        <x:v>SRC-010</x:v>
      </x:c>
      <x:c r="C16" s="5" t="str">
        <x:v>typescript-eslint no-floating-promises</x:v>
      </x:c>
      <x:c r="D16" s="5" t="str"/>
      <x:c r="E16" s="5" t="str"/>
      <x:c r="F16" s="5" t="str">
        <x:v>공식 도구 규칙을 사내 필수화</x:v>
      </x:c>
      <x:c r="G16" s="5" t="str">
        <x:v>https://typescript-eslint.io/rules/no-floating-promises/</x:v>
      </x:c>
      <x:c r="H16" s="5" t="str"/>
      <x:c r="I16" s="5" t="str">
        <x:v>2026-10-20</x:v>
      </x:c>
      <x:c r="J16" s="5" t="str">
        <x:v>확인</x:v>
      </x:c>
      <x:c r="K16" s="5" t="str">
        <x:v>선택 항목 참조</x:v>
      </x:c>
    </x:row>
    <x:row r="17" ht="15" hidden="0" customHeight="1">
      <x:c r="A17" s="5" t="str">
        <x:v>출처</x:v>
      </x:c>
      <x:c r="B17" s="5" t="str">
        <x:v>SRC-011</x:v>
      </x:c>
      <x:c r="C17" s="5" t="str">
        <x:v>Microsoft C# Coding Conventions</x:v>
      </x:c>
      <x:c r="D17" s="5" t="str"/>
      <x:c r="E17" s="5" t="str"/>
      <x:c r="F17" s="5" t="str">
        <x:v>언어 공식 권고를 사내 조정</x:v>
      </x:c>
      <x:c r="G17" s="5" t="str">
        <x:v>https://learn.microsoft.com/ko-kr/dotnet/csharp/fundamentals/coding-style/coding-conventions</x:v>
      </x:c>
      <x:c r="H17" s="5" t="str"/>
      <x:c r="I17" s="5" t="str">
        <x:v>2026-10-20</x:v>
      </x:c>
      <x:c r="J17" s="5" t="str">
        <x:v>확인</x:v>
      </x:c>
      <x:c r="K17" s="5" t="str">
        <x:v>선택 항목 참조</x:v>
      </x:c>
    </x:row>
    <x:row r="18" ht="15" hidden="0" customHeight="1">
      <x:c r="A18" s="5" t="str">
        <x:v>출처</x:v>
      </x:c>
      <x:c r="B18" s="5" t="str">
        <x:v>SRC-012</x:v>
      </x:c>
      <x:c r="C18" s="5" t="str">
        <x:v>OWASP ASVS 5.0.0 (2025-05)</x:v>
      </x:c>
      <x:c r="D18" s="5" t="str"/>
      <x:c r="E18" s="5" t="str"/>
      <x:c r="F18" s="5" t="str">
        <x:v>외부 검증 표준 참조; 아래는 사내 적용 규칙</x:v>
      </x:c>
      <x:c r="G18" s="5" t="str">
        <x:v>https://owasp.org/projects/asvs</x:v>
      </x:c>
      <x:c r="H18" s="5" t="str"/>
      <x:c r="I18" s="5" t="str">
        <x:v>2026-10-20</x:v>
      </x:c>
      <x:c r="J18" s="5" t="str">
        <x:v>확인</x:v>
      </x:c>
      <x:c r="K18" s="5" t="str">
        <x:v>선택 항목 참조</x:v>
      </x:c>
    </x:row>
    <x:row r="19" ht="15" hidden="0" customHeight="1">
      <x:c r="A19" s="5" t="str">
        <x:v>출처</x:v>
      </x:c>
      <x:c r="B19" s="5" t="str">
        <x:v>SRC-013</x:v>
      </x:c>
      <x:c r="C19" s="5" t="str">
        <x:v>행정안전부 소프트웨어 개발보안 가이드 (2021 수정배포)</x:v>
      </x:c>
      <x:c r="D19" s="5" t="str"/>
      <x:c r="E19" s="5" t="str"/>
      <x:c r="F19" s="5" t="str">
        <x:v>공공 가이드 참조; 계약별 적용성 확인</x:v>
      </x:c>
      <x:c r="G19" s="5" t="str">
        <x:v>https://www.mois.go.kr/frt/bbs/type001/commonSelectBoardArticle.do?bbsId=BBSMSTR_000000000015&amp;nttId=88956</x:v>
      </x:c>
      <x:c r="H19" s="5" t="str"/>
      <x:c r="I19" s="5" t="str">
        <x:v>2026-10-20</x:v>
      </x:c>
      <x:c r="J19" s="5" t="str">
        <x:v>확인</x:v>
      </x:c>
      <x:c r="K19" s="5" t="str">
        <x:v>선택 항목 참조</x:v>
      </x:c>
    </x:row>
    <x:row r="20" ht="15" hidden="0" customHeight="1">
      <x:c r="A20" s="5" t="str">
        <x:v>출처</x:v>
      </x:c>
      <x:c r="B20" s="5" t="str">
        <x:v>SRC-014</x:v>
      </x:c>
      <x:c r="C20" s="5" t="str">
        <x:v>OWASP DotNet Security Cheat Sheet</x:v>
      </x:c>
      <x:c r="D20" s="5" t="str"/>
      <x:c r="E20" s="5" t="str"/>
      <x:c r="F20" s="5" t="str">
        <x:v>공식 구현 가이드 참조</x:v>
      </x:c>
      <x:c r="G20" s="5" t="str">
        <x:v>https://cheatsheetseries.owasp.org/cheatsheets/DotNet_Security_Cheat_Sheet.html</x:v>
      </x:c>
      <x:c r="H20" s="5" t="str"/>
      <x:c r="I20" s="5" t="str">
        <x:v>2026-10-20</x:v>
      </x:c>
      <x:c r="J20" s="5" t="str">
        <x:v>확인</x:v>
      </x:c>
      <x:c r="K20" s="5" t="str">
        <x:v>선택 항목 참조</x:v>
      </x:c>
    </x:row>
    <x:row r="21" ht="15" hidden="0" customHeight="1">
      <x:c r="A21" s="5" t="str">
        <x:v>출처</x:v>
      </x:c>
      <x:c r="B21" s="5" t="str">
        <x:v>SRC-015</x:v>
      </x:c>
      <x:c r="C21" s="5" t="str">
        <x:v>OWASP Authorization Cheat Sheet</x:v>
      </x:c>
      <x:c r="D21" s="5" t="str"/>
      <x:c r="E21" s="5" t="str"/>
      <x:c r="F21" s="5" t="str">
        <x:v>공식 구현 가이드 참조</x:v>
      </x:c>
      <x:c r="G21" s="5" t="str">
        <x:v>https://cheatsheetseries.owasp.org/cheatsheets/Authorization_Cheat_Sheet.html</x:v>
      </x:c>
      <x:c r="H21" s="5" t="str"/>
      <x:c r="I21" s="5" t="str">
        <x:v>2026-10-20</x:v>
      </x:c>
      <x:c r="J21" s="5" t="str">
        <x:v>확인</x:v>
      </x:c>
      <x:c r="K21" s="5" t="str">
        <x:v>선택 항목 참조</x:v>
      </x:c>
    </x:row>
    <x:row r="22" ht="15" hidden="0" customHeight="1">
      <x:c r="A22" s="5" t="str">
        <x:v>출처</x:v>
      </x:c>
      <x:c r="B22" s="5" t="str">
        <x:v>SRC-016</x:v>
      </x:c>
      <x:c r="C22" s="5" t="str">
        <x:v>OWASP File Upload Cheat Sheet</x:v>
      </x:c>
      <x:c r="D22" s="5" t="str"/>
      <x:c r="E22" s="5" t="str"/>
      <x:c r="F22" s="5" t="str">
        <x:v>공식 구현 가이드 참조</x:v>
      </x:c>
      <x:c r="G22" s="5" t="str">
        <x:v>https://cheatsheetseries.owasp.org/cheatsheets/File_Upload_Cheat_Sheet.html</x:v>
      </x:c>
      <x:c r="H22" s="5" t="str"/>
      <x:c r="I22" s="5" t="str">
        <x:v>2026-10-20</x:v>
      </x:c>
      <x:c r="J22" s="5" t="str">
        <x:v>확인</x:v>
      </x:c>
      <x:c r="K22" s="5" t="str">
        <x:v>선택 항목 참조</x:v>
      </x:c>
    </x:row>
    <x:row r="23" ht="15" hidden="0" customHeight="1">
      <x:c r="A23" s="5" t="str">
        <x:v>출처</x:v>
      </x:c>
      <x:c r="B23" s="5" t="str">
        <x:v>SRC-017</x:v>
      </x:c>
      <x:c r="C23" s="5" t="str">
        <x:v>OWASP Logging Cheat Sheet</x:v>
      </x:c>
      <x:c r="D23" s="5" t="str"/>
      <x:c r="E23" s="5" t="str"/>
      <x:c r="F23" s="5" t="str">
        <x:v>공식 구현 가이드 참조</x:v>
      </x:c>
      <x:c r="G23" s="5" t="str">
        <x:v>https://cheatsheetseries.owasp.org/cheatsheets/Logging_Cheat_Sheet.html</x:v>
      </x:c>
      <x:c r="H23" s="5" t="str"/>
      <x:c r="I23" s="5" t="str">
        <x:v>2026-10-20</x:v>
      </x:c>
      <x:c r="J23" s="5" t="str">
        <x:v>확인</x:v>
      </x:c>
      <x:c r="K23" s="5" t="str">
        <x:v>선택 항목 참조</x:v>
      </x:c>
    </x:row>
    <x:row r="24" ht="15" hidden="0" customHeight="1">
      <x:c r="A24" s="5" t="str">
        <x:v>출처</x:v>
      </x:c>
      <x:c r="B24" s="5" t="str">
        <x:v>SRC-018</x:v>
      </x:c>
      <x:c r="C24" s="5" t="str">
        <x:v>OWASP CSV Injection</x:v>
      </x:c>
      <x:c r="D24" s="5" t="str"/>
      <x:c r="E24" s="5" t="str"/>
      <x:c r="F24" s="5" t="str">
        <x:v>공식 취약점 설명 참조</x:v>
      </x:c>
      <x:c r="G24" s="5" t="str">
        <x:v>https://community.owasp.org/attacks/CSV_Injection</x:v>
      </x:c>
      <x:c r="H24" s="5" t="str"/>
      <x:c r="I24" s="5" t="str">
        <x:v>2026-10-20</x:v>
      </x:c>
      <x:c r="J24" s="5" t="str">
        <x:v>확인</x:v>
      </x:c>
      <x:c r="K24" s="5" t="str">
        <x:v>선택 항목 참조</x:v>
      </x:c>
    </x:row>
    <x:row r="25" ht="15" hidden="0" customHeight="1">
      <x:c r="A25" s="5" t="str">
        <x:v>출처</x:v>
      </x:c>
      <x:c r="B25" s="5" t="str">
        <x:v>SRC-019</x:v>
      </x:c>
      <x:c r="C25" s="5" t="str">
        <x:v>포용적 UX 참고: 실제 사용자 참여</x:v>
      </x:c>
      <x:c r="D25" s="5" t="str"/>
      <x:c r="E25" s="5" t="str"/>
      <x:c r="F25" s="5" t="str">
        <x:v>보완 지침 / 회사 목표</x:v>
      </x:c>
      <x:c r="G25" s="5" t="str">
        <x:v>https://www.w3.org/WAI/test-evaluate/involving-users/</x:v>
      </x:c>
      <x:c r="H25" s="5" t="str"/>
      <x:c r="I25" s="5" t="str">
        <x:v>2026-10-20</x:v>
      </x:c>
      <x:c r="J25" s="5" t="str">
        <x:v>확인</x:v>
      </x:c>
      <x:c r="K25" s="5" t="str">
        <x:v>해당 통제의 참고 근거</x:v>
      </x:c>
    </x:row>
    <x:row r="26" ht="15" hidden="0" customHeight="1">
      <x:c r="A26" s="5" t="str">
        <x:v>출처</x:v>
      </x:c>
      <x:c r="B26" s="5" t="str">
        <x:v>SRC-020</x:v>
      </x:c>
      <x:c r="C26" s="5" t="str">
        <x:v>포용적 UX 참고: 개인 설정 존중</x:v>
      </x:c>
      <x:c r="D26" s="5" t="str"/>
      <x:c r="E26" s="5" t="str"/>
      <x:c r="F26" s="5" t="str">
        <x:v>보완 지침 / 회사 목표</x:v>
      </x:c>
      <x:c r="G26" s="5" t="str">
        <x:v>https://www.w3.org/WAI/people-use-web/</x:v>
      </x:c>
      <x:c r="H26" s="5" t="str"/>
      <x:c r="I26" s="5" t="str">
        <x:v>2026-10-20</x:v>
      </x:c>
      <x:c r="J26" s="5" t="str">
        <x:v>확인</x:v>
      </x:c>
      <x:c r="K26" s="5" t="str">
        <x:v>해당 통제의 참고 근거</x:v>
      </x:c>
    </x:row>
    <x:row r="27" ht="15" hidden="0" customHeight="1">
      <x:c r="A27" s="5" t="str">
        <x:v>출처</x:v>
      </x:c>
      <x:c r="B27" s="5" t="str">
        <x:v>SRC-021</x:v>
      </x:c>
      <x:c r="C27" s="5" t="str">
        <x:v>포용적 UX 참고: 쉬운 한국어</x:v>
      </x:c>
      <x:c r="D27" s="5" t="str"/>
      <x:c r="E27" s="5" t="str"/>
      <x:c r="F27" s="5" t="str">
        <x:v>보완 지침 / 회사 목표</x:v>
      </x:c>
      <x:c r="G27" s="5" t="str">
        <x:v>https://www.w3.org/TR/coga-usable/</x:v>
      </x:c>
      <x:c r="H27" s="5" t="str"/>
      <x:c r="I27" s="5" t="str">
        <x:v>2026-10-20</x:v>
      </x:c>
      <x:c r="J27" s="5" t="str">
        <x:v>확인</x:v>
      </x:c>
      <x:c r="K27" s="5" t="str">
        <x:v>해당 통제의 참고 근거</x:v>
      </x:c>
    </x:row>
    <x:row r="28" ht="15" hidden="0" customHeight="1">
      <x:c r="A28" s="5" t="str">
        <x:v>출처</x:v>
      </x:c>
      <x:c r="B28" s="5" t="str">
        <x:v>SRC-022</x:v>
      </x:c>
      <x:c r="C28" s="5" t="str">
        <x:v>포용적 UX 참고: 회사 터치 목표</x:v>
      </x:c>
      <x:c r="D28" s="5" t="str"/>
      <x:c r="E28" s="5" t="str"/>
      <x:c r="F28" s="5" t="str">
        <x:v>보완 지침 / 회사 목표</x:v>
      </x:c>
      <x:c r="G28" s="5" t="str">
        <x:v>https://www.w3.org/WAI/WCAG22/Understanding/target-size-enhanced.html</x:v>
      </x:c>
      <x:c r="H28" s="5" t="str"/>
      <x:c r="I28" s="5" t="str">
        <x:v>2026-10-20</x:v>
      </x:c>
      <x:c r="J28" s="5" t="str">
        <x:v>확인</x:v>
      </x:c>
      <x:c r="K28" s="5" t="str">
        <x:v>해당 통제의 참고 근거</x:v>
      </x:c>
    </x:row>
    <x:row r="29" ht="15" hidden="0" customHeight="1">
      <x:c r="A29" s="5" t="str">
        <x:v>출처</x:v>
      </x:c>
      <x:c r="B29" s="5" t="str">
        <x:v>SRC-023</x:v>
      </x:c>
      <x:c r="C29" s="5" t="str">
        <x:v>포용적 UX 참고: 상태 다중 표현</x:v>
      </x:c>
      <x:c r="D29" s="5" t="str"/>
      <x:c r="E29" s="5" t="str"/>
      <x:c r="F29" s="5" t="str">
        <x:v>보완 지침 / 회사 목표</x:v>
      </x:c>
      <x:c r="G29" s="5" t="str">
        <x:v>https://www.w3.org/WAI/WCAG22/Understanding/status-messages.html</x:v>
      </x:c>
      <x:c r="H29" s="5" t="str"/>
      <x:c r="I29" s="5" t="str">
        <x:v>2026-10-20</x:v>
      </x:c>
      <x:c r="J29" s="5" t="str">
        <x:v>확인</x:v>
      </x:c>
      <x:c r="K29" s="5" t="str">
        <x:v>해당 통제의 참고 근거</x:v>
      </x:c>
    </x:row>
    <x:row r="30" ht="15" hidden="0" customHeight="1">
      <x:c r="A30" s="5" t="str">
        <x:v>출처</x:v>
      </x:c>
      <x:c r="B30" s="5" t="str">
        <x:v>SRC-024</x:v>
      </x:c>
      <x:c r="C30" s="5" t="str">
        <x:v>포용적 UX 참고: 서비스 내 접근성</x:v>
      </x:c>
      <x:c r="D30" s="5" t="str"/>
      <x:c r="E30" s="5" t="str"/>
      <x:c r="F30" s="5" t="str">
        <x:v>보완 지침 / 회사 목표</x:v>
      </x:c>
      <x:c r="G30" s="5" t="str">
        <x:v>https://www.w3.org/WAI/planning/</x:v>
      </x:c>
      <x:c r="H30" s="5" t="str"/>
      <x:c r="I30" s="5" t="str">
        <x:v>2026-10-20</x:v>
      </x:c>
      <x:c r="J30" s="5" t="str">
        <x:v>확인</x:v>
      </x:c>
      <x:c r="K30" s="5" t="str">
        <x:v>해당 통제의 참고 근거</x:v>
      </x:c>
    </x:row>
    <x:row r="31" ht="15" hidden="0" customHeight="1">
      <x:c r="A31" s="5" t="str">
        <x:v>출처</x:v>
      </x:c>
      <x:c r="B31" s="5" t="str">
        <x:v>SRC-025</x:v>
      </x:c>
      <x:c r="C31" s="5" t="str">
        <x:v>포용적 UX 참고: 접근 가능한 첨부</x:v>
      </x:c>
      <x:c r="D31" s="5" t="str"/>
      <x:c r="E31" s="5" t="str"/>
      <x:c r="F31" s="5" t="str">
        <x:v>보완 지침 / 회사 목표</x:v>
      </x:c>
      <x:c r="G31" s="5" t="str">
        <x:v>https://www.w3.org/WAI/WCAG22/Understanding/dragging-movements.html</x:v>
      </x:c>
      <x:c r="H31" s="5" t="str"/>
      <x:c r="I31" s="5" t="str">
        <x:v>2026-10-20</x:v>
      </x:c>
      <x:c r="J31" s="5" t="str">
        <x:v>확인</x:v>
      </x:c>
      <x:c r="K31" s="5" t="str">
        <x:v>해당 통제의 참고 근거</x:v>
      </x:c>
    </x:row>
    <x:row r="32" ht="15" hidden="0" customHeight="1">
      <x:c r="A32" s="5" t="str">
        <x:v>출처</x:v>
      </x:c>
      <x:c r="B32" s="5" t="str">
        <x:v>SRC-026</x:v>
      </x:c>
      <x:c r="C32" s="5" t="str">
        <x:v>포용적 UX 참고: 표와 차트 대안</x:v>
      </x:c>
      <x:c r="D32" s="5" t="str"/>
      <x:c r="E32" s="5" t="str"/>
      <x:c r="F32" s="5" t="str">
        <x:v>보완 지침 / 회사 목표</x:v>
      </x:c>
      <x:c r="G32" s="5" t="str">
        <x:v>https://www.w3.org/WAI/tutorials/images/complex/</x:v>
      </x:c>
      <x:c r="H32" s="5" t="str"/>
      <x:c r="I32" s="5" t="str">
        <x:v>2026-10-20</x:v>
      </x:c>
      <x:c r="J32" s="5" t="str">
        <x:v>확인</x:v>
      </x:c>
      <x:c r="K32" s="5" t="str">
        <x:v>해당 통제의 참고 근거</x:v>
      </x:c>
    </x:row>
    <x:row r="33" ht="15" hidden="0" customHeight="1">
      <x:c r="A33" s="5" t="str">
        <x:v>출처</x:v>
      </x:c>
      <x:c r="B33" s="5" t="str">
        <x:v>SRC-027</x:v>
      </x:c>
      <x:c r="C33" s="5" t="str">
        <x:v>포용적 UX 참고: 설정 개인정보 최소화</x:v>
      </x:c>
      <x:c r="D33" s="5" t="str"/>
      <x:c r="E33" s="5" t="str"/>
      <x:c r="F33" s="5" t="str">
        <x:v>보완 지침 / 회사 목표</x:v>
      </x:c>
      <x:c r="G33" s="5" t="str"/>
      <x:c r="H33" s="5" t="str"/>
      <x:c r="I33" s="5" t="str">
        <x:v>2026-10-20</x:v>
      </x:c>
      <x:c r="J33" s="5" t="str">
        <x:v>확인</x:v>
      </x:c>
      <x:c r="K33" s="5" t="str">
        <x:v>해당 통제의 참고 근거 / 회사 정책 제안</x:v>
      </x:c>
    </x:row>
    <x:row r="34" ht="15" hidden="0" customHeight="1">
      <x:c r="A34" s="5" t="str">
        <x:v>출처</x:v>
      </x:c>
      <x:c r="B34" s="5" t="str">
        <x:v>SRC-028</x:v>
      </x:c>
      <x:c r="C34" s="5" t="str">
        <x:v>포용적 UX 참고: 범위와 결과 공개</x:v>
      </x:c>
      <x:c r="D34" s="5" t="str"/>
      <x:c r="E34" s="5" t="str"/>
      <x:c r="F34" s="5" t="str">
        <x:v>보완 지침 / 회사 목표</x:v>
      </x:c>
      <x:c r="G34" s="5" t="str">
        <x:v>https://www.w3.org/WAI/planning/statements/</x:v>
      </x:c>
      <x:c r="H34" s="5" t="str"/>
      <x:c r="I34" s="5" t="str">
        <x:v>2026-10-20</x:v>
      </x:c>
      <x:c r="J34" s="5" t="str">
        <x:v>확인</x:v>
      </x:c>
      <x:c r="K34" s="5" t="str">
        <x:v>해당 통제의 참고 근거</x:v>
      </x:c>
    </x:row>
    <x:row r="35" ht="15" hidden="0" customHeight="1">
      <x:c r="A35" s="5" t="str">
        <x:v>출처</x:v>
      </x:c>
      <x:c r="B35" s="5" t="str">
        <x:v>SRC-029</x:v>
      </x:c>
      <x:c r="C35" s="5" t="str">
        <x:v>슈어소프트 STATIC 공식 제품문서</x:v>
      </x:c>
      <x:c r="D35" s="5" t="str"/>
      <x:c r="E35" s="5" t="str"/>
      <x:c r="F35" s="5" t="str">
        <x:v>공식 참고</x:v>
      </x:c>
      <x:c r="G35" s="5" t="str">
        <x:v>https://apps.suresofttech.com/static/</x:v>
      </x:c>
      <x:c r="H35" s="5" t="str"/>
      <x:c r="I35" s="5" t="str">
        <x:v>2026-10-20</x:v>
      </x:c>
      <x:c r="J35" s="5" t="str">
        <x:v>공식 공개자료 확인</x:v>
      </x:c>
      <x:c r="K35" s="5" t="str">
        <x:v>MISRA/CERT/AUTOSAR/CWE, 언어/제품별 범위, 정적분석이 동적검증을 대체하지 않음</x:v>
      </x:c>
    </x:row>
    <x:row r="36" ht="15" hidden="0" customHeight="1">
      <x:c r="A36" s="5" t="str">
        <x:v>출처</x:v>
      </x:c>
      <x:c r="B36" s="5" t="str">
        <x:v>SRC-030</x:v>
      </x:c>
      <x:c r="C36" s="5" t="str">
        <x:v>OWASP ASVS 한국어판</x:v>
      </x:c>
      <x:c r="D36" s="5" t="str"/>
      <x:c r="E36" s="5" t="str"/>
      <x:c r="F36" s="5" t="str">
        <x:v>공식 참고</x:v>
      </x:c>
      <x:c r="G36" s="5" t="str">
        <x:v>https://owasp.org/www-chapter-seoul/assets/files/OWASP_Application_Security_Verification_Standard_5.0.0_ko.pdf</x:v>
      </x:c>
      <x:c r="H36" s="5" t="str"/>
      <x:c r="I36" s="5" t="str">
        <x:v>2026-10-20</x:v>
      </x:c>
      <x:c r="J36" s="5" t="str">
        <x:v>공식 공개자료 확인</x:v>
      </x:c>
      <x:c r="K36" s="5" t="str">
        <x:v>Version 5.0.0, May 2025; 직접 전체 원문 분석 미실시</x:v>
      </x:c>
    </x:row>
    <x:row r="37" ht="15" hidden="0" customHeight="1">
      <x:c r="A37" s="5" t="str">
        <x:v>출처</x:v>
      </x:c>
      <x:c r="B37" s="5" t="str">
        <x:v>SRC-031</x:v>
      </x:c>
      <x:c r="C37" s="5" t="str">
        <x:v>NIST SSDF publications</x:v>
      </x:c>
      <x:c r="D37" s="5" t="str"/>
      <x:c r="E37" s="5" t="str"/>
      <x:c r="F37" s="5" t="str">
        <x:v>공식 참고</x:v>
      </x:c>
      <x:c r="G37" s="5" t="str">
        <x:v>https://csrc.nist.gov/projects/ssdf/publications</x:v>
      </x:c>
      <x:c r="H37" s="5" t="str"/>
      <x:c r="I37" s="5" t="str">
        <x:v>2026-10-20</x:v>
      </x:c>
      <x:c r="J37" s="5" t="str">
        <x:v>공식 공개자료 확인</x:v>
      </x:c>
      <x:c r="K37" s="5" t="str">
        <x:v>1.1 Final 2022-02-03, 1.2 Draft 2025-12-17; 페이지 갱신 2026-10-06</x:v>
      </x:c>
    </x:row>
    <x:row r="38" ht="15" hidden="0" customHeight="1">
      <x:c r="A38" s="5" t="str">
        <x:v>출처</x:v>
      </x:c>
      <x:c r="B38" s="5" t="str">
        <x:v>SRC-032</x:v>
      </x:c>
      <x:c r="C38" s="5" t="str">
        <x:v>MISRA C</x:v>
      </x:c>
      <x:c r="D38" s="5" t="str"/>
      <x:c r="E38" s="5" t="str"/>
      <x:c r="F38" s="5" t="str">
        <x:v>공식 참고</x:v>
      </x:c>
      <x:c r="G38" s="5" t="str">
        <x:v>https://misra.org.uk/misra-c/</x:v>
      </x:c>
      <x:c r="H38" s="5" t="str"/>
      <x:c r="I38" s="5" t="str">
        <x:v>2026-10-20</x:v>
      </x:c>
      <x:c r="J38" s="5" t="str">
        <x:v>검색 정보 확인 / 전문 미확보</x:v>
      </x:c>
      <x:c r="K38" s="5" t="str">
        <x:v>MISRA C:2025 2025-03 발행; search 성공, open 실패</x:v>
      </x:c>
    </x:row>
    <x:row r="39" ht="15" hidden="0" customHeight="1">
      <x:c r="A39" s="5" t="str">
        <x:v>출처</x:v>
      </x:c>
      <x:c r="B39" s="5" t="str">
        <x:v>SRC-033</x:v>
      </x:c>
      <x:c r="C39" s="5" t="str">
        <x:v>MISRA C++</x:v>
      </x:c>
      <x:c r="D39" s="5" t="str"/>
      <x:c r="E39" s="5" t="str"/>
      <x:c r="F39" s="5" t="str">
        <x:v>공식 참고</x:v>
      </x:c>
      <x:c r="G39" s="5" t="str">
        <x:v>https://misra.org.uk/product/misra-cpp2023/</x:v>
      </x:c>
      <x:c r="H39" s="5" t="str"/>
      <x:c r="I39" s="5" t="str">
        <x:v>2026-10-20</x:v>
      </x:c>
      <x:c r="J39" s="5" t="str">
        <x:v>검색 정보 확인 / 전문 미확보</x:v>
      </x:c>
      <x:c r="K39" s="5" t="str">
        <x:v>MISRA C++:2023(TC1:2026), C++17 대상; search 성공, open timeout</x:v>
      </x:c>
    </x:row>
    <x:row r="40" ht="15" hidden="0" customHeight="1">
      <x:c r="A40" s="5" t="str">
        <x:v>출처</x:v>
      </x:c>
      <x:c r="B40" s="5" t="str">
        <x:v>SRC-034</x:v>
      </x:c>
      <x:c r="C40" s="5" t="str">
        <x:v>SEI CERT Coding Standards</x:v>
      </x:c>
      <x:c r="D40" s="5" t="str"/>
      <x:c r="E40" s="5" t="str"/>
      <x:c r="F40" s="5" t="str">
        <x:v>공식 참고</x:v>
      </x:c>
      <x:c r="G40" s="5" t="str">
        <x:v>https://www.sei.cmu.edu/library/sei-cert-coding-standards-wiki/</x:v>
      </x:c>
      <x:c r="H40" s="5" t="str"/>
      <x:c r="I40" s="5" t="str">
        <x:v>2026-10-20</x:v>
      </x:c>
      <x:c r="J40" s="5" t="str">
        <x:v>공식 공개자료 확인</x:v>
      </x:c>
      <x:c r="K40" s="5" t="str">
        <x:v>C,C++,Java,Perl,Android 언어별 코딩 표준</x:v>
      </x:c>
    </x:row>
    <x:row r="41" ht="15" hidden="0" customHeight="1">
      <x:c r="A41" s="5" t="str">
        <x:v>출처</x:v>
      </x:c>
      <x:c r="B41" s="5" t="str">
        <x:v>SRC-035</x:v>
      </x:c>
      <x:c r="C41" s="5" t="str">
        <x:v>Microsoft .NET support</x:v>
      </x:c>
      <x:c r="D41" s="5" t="str"/>
      <x:c r="E41" s="5" t="str"/>
      <x:c r="F41" s="5" t="str">
        <x:v>공식 참고</x:v>
      </x:c>
      <x:c r="G41" s="5" t="str">
        <x:v>https://learn.microsoft.com/en-us/dotnet/core/releases-and-support</x:v>
      </x:c>
      <x:c r="H41" s="5" t="str"/>
      <x:c r="I41" s="5" t="str">
        <x:v>2026-10-20</x:v>
      </x:c>
      <x:c r="J41" s="5" t="str">
        <x:v>공식 공개자료 확인</x:v>
      </x:c>
      <x:c r="K41" s="5" t="str">
        <x:v>.NET10 LTS supported until November2028</x:v>
      </x:c>
    </x:row>
    <x:row r="42" ht="15" hidden="0" customHeight="1">
      <x:c r="A42" s="5" t="str">
        <x:v>출처</x:v>
      </x:c>
      <x:c r="B42" s="5" t="str">
        <x:v>SRC-036</x:v>
      </x:c>
      <x:c r="C42" s="5" t="str">
        <x:v>EU MDR</x:v>
      </x:c>
      <x:c r="D42" s="5" t="str"/>
      <x:c r="E42" s="5" t="str"/>
      <x:c r="F42" s="5" t="str">
        <x:v>공식 참고</x:v>
      </x:c>
      <x:c r="G42" s="5" t="str">
        <x:v>https://eur-lex.europa.eu/eli/reg/2017/745/oj/eng</x:v>
      </x:c>
      <x:c r="H42" s="5" t="str"/>
      <x:c r="I42" s="5" t="str">
        <x:v>2026-10-20</x:v>
      </x:c>
      <x:c r="J42" s="5" t="str">
        <x:v>공식 공개자료 확인</x:v>
      </x:c>
      <x:c r="K42" s="5" t="str">
        <x:v>Medical Device Regulation (EU)2017/745 식별; 최신 consolidated 링크 2026-07-19. 본 작업 적용 여부 미정</x:v>
      </x:c>
    </x:row>
    <x:row r="43" ht="15" hidden="0" customHeight="1">
      <x:c r="A43" s="5" t="str">
        <x:v>출처</x:v>
      </x:c>
      <x:c r="B43" s="5" t="str">
        <x:v>SRC-037</x:v>
      </x:c>
      <x:c r="C43" s="5" t="str">
        <x:v>사용자 지정 슈어소프트 네이버 블로그</x:v>
      </x:c>
      <x:c r="D43" s="5" t="str"/>
      <x:c r="E43" s="5" t="str"/>
      <x:c r="F43" s="5" t="str">
        <x:v>사용자 지정 참고</x:v>
      </x:c>
      <x:c r="G43" s="5" t="str">
        <x:v>https://blog.naver.com/suresofttech/224119576754</x:v>
      </x:c>
      <x:c r="H43" s="5" t="str"/>
      <x:c r="I43" s="5" t="str">
        <x:v>2026-10-20</x:v>
      </x:c>
      <x:c r="J43" s="5" t="str">
        <x:v>본문 미확보</x:v>
      </x:c>
      <x:c r="K43" s="5" t="str">
        <x:v>본문을 확보하지 못하여 내용 근거로 사용하지 않음</x:v>
      </x:c>
    </x:row>
    <x:row r="44" ht="15" hidden="0" customHeight="1">
      <x:c r="A44" s="5" t="str">
        <x:v>출처</x:v>
      </x:c>
      <x:c r="B44" s="5" t="str">
        <x:v>SRC-038</x:v>
      </x:c>
      <x:c r="C44" s="5" t="str">
        <x:v>디지털포용법 제19조</x:v>
      </x:c>
      <x:c r="D44" s="5" t="str"/>
      <x:c r="E44" s="5" t="str">
        <x:v>2026-01-22 시행</x:v>
      </x:c>
      <x:c r="F44" s="5" t="str">
        <x:v>법령</x:v>
      </x:c>
      <x:c r="G44" s="5" t="str">
        <x:v>https://www.law.go.kr/LSW/lsLinkCommonInfo.do?chrClsCd=010202&amp;lsJoLnkSeq=1031811027</x:v>
      </x:c>
      <x:c r="H44" s="5" t="str"/>
      <x:c r="I44" s="5" t="str">
        <x:v>2026-10-20</x:v>
      </x:c>
      <x:c r="J44" s="5" t="str">
        <x:v>확인</x:v>
      </x:c>
      <x:c r="K44" s="5" t="str">
        <x:v>기관·서비스별 적용 의무는 별도 판단</x:v>
      </x:c>
    </x:row>
    <x:row r="45" ht="15" hidden="0" customHeight="1">
      <x:c r="A45" s="5" t="str">
        <x:v>출처</x:v>
      </x:c>
      <x:c r="B45" s="5" t="str">
        <x:v>SRC-039</x:v>
      </x:c>
      <x:c r="C45" s="5" t="str">
        <x:v>Microsoft .NET 지원 정책</x:v>
      </x:c>
      <x:c r="D45" s="5" t="str"/>
      <x:c r="E45" s="5" t="str">
        <x:v>2026-10-13 갱신</x:v>
      </x:c>
      <x:c r="F45" s="5" t="str">
        <x:v>공식 지원 정책</x:v>
      </x:c>
      <x:c r="G45" s="5" t="str">
        <x:v>https://dotnet.microsoft.com/en-us/platform/support/policy/dotnet-core</x:v>
      </x:c>
      <x:c r="H45" s="5" t="str"/>
      <x:c r="I45" s="5" t="str">
        <x:v>2026-10-20</x:v>
      </x:c>
      <x:c r="J45" s="5" t="str">
        <x:v>확인</x:v>
      </x:c>
      <x:c r="K45" s="5" t="str">
        <x:v>.NET 10 LTS 2028-11-14까지 지원</x:v>
      </x:c>
    </x:row>
    <x:row r="46" ht="15" hidden="0" customHeight="1">
      <x:c r="A46" s="5" t="str">
        <x:v>출처</x:v>
      </x:c>
      <x:c r="B46" s="5" t="str">
        <x:v>SRC-040</x:v>
      </x:c>
      <x:c r="C46" s="5" t="str">
        <x:v>WAI-ARIA 1.2</x:v>
      </x:c>
      <x:c r="D46" s="5" t="str"/>
      <x:c r="E46" s="5" t="str">
        <x:v>2023-06-06 Recommendation</x:v>
      </x:c>
      <x:c r="F46" s="5" t="str">
        <x:v>W3C 표준</x:v>
      </x:c>
      <x:c r="G46" s="5" t="str">
        <x:v>https://www.w3.org/TR/wai-aria-1.2/</x:v>
      </x:c>
      <x:c r="H46" s="5" t="str"/>
      <x:c r="I46" s="5" t="str">
        <x:v>2026-10-20</x:v>
      </x:c>
      <x:c r="J46" s="5" t="str">
        <x:v>확인</x:v>
      </x:c>
      <x:c r="K46" s="5" t="str">
        <x:v>커스텀 UI의 역할·이름·상태 구현 참고</x:v>
      </x:c>
    </x:row>
    <x:row r="47" ht="15" hidden="0" customHeight="1">
      <x:c r="A47" s="5" t="str">
        <x:v>출처</x:v>
      </x:c>
      <x:c r="B47" s="5" t="str">
        <x:v>SRC-041</x:v>
      </x:c>
      <x:c r="C47" s="5" t="str">
        <x:v>ARIA Authoring Practices Guide</x:v>
      </x:c>
      <x:c r="D47" s="5" t="str"/>
      <x:c r="E47" s="5" t="str">
        <x:v>공식 온라인 참고</x:v>
      </x:c>
      <x:c r="F47" s="5" t="str">
        <x:v>구현 패턴</x:v>
      </x:c>
      <x:c r="G47" s="5" t="str">
        <x:v>https://www.w3.org/WAI/ARIA/apg/</x:v>
      </x:c>
      <x:c r="H47" s="5" t="str"/>
      <x:c r="I47" s="5" t="str">
        <x:v>2026-10-20</x:v>
      </x:c>
      <x:c r="J47" s="5" t="str">
        <x:v>확인</x:v>
      </x:c>
      <x:c r="K47" s="5" t="str">
        <x:v>APG 예제가 전체 적합성을 보장하지 않음</x:v>
      </x:c>
    </x:row>
    <x:row r="48" ht="15" hidden="0" customHeight="1">
      <x:c r="A48" s="5" t="str">
        <x:v>출처</x:v>
      </x:c>
      <x:c r="B48" s="5" t="str">
        <x:v>SRC-042</x:v>
      </x:c>
      <x:c r="C48" s="5" t="str">
        <x:v>WAI 자동 접근성 도구 선택</x:v>
      </x:c>
      <x:c r="D48" s="5" t="str"/>
      <x:c r="E48" s="5" t="str">
        <x:v>공식 온라인 참고</x:v>
      </x:c>
      <x:c r="F48" s="5" t="str">
        <x:v>평가 지침</x:v>
      </x:c>
      <x:c r="G48" s="5" t="str">
        <x:v>https://www.w3.org/WAI/test-evaluate/tools/selecting/</x:v>
      </x:c>
      <x:c r="H48" s="5" t="str"/>
      <x:c r="I48" s="5" t="str">
        <x:v>2026-10-20</x:v>
      </x:c>
      <x:c r="J48" s="5" t="str">
        <x:v>확인</x:v>
      </x:c>
      <x:c r="K48" s="5" t="str">
        <x:v>자동검사와 사람의 평가를 함께 수행</x:v>
      </x:c>
    </x:row>
    <x:row r="49" ht="15" hidden="0" customHeight="1">
      <x:c r="A49" s="5" t="str">
        <x:v>출처</x:v>
      </x:c>
      <x:c r="B49" s="5" t="str">
        <x:v>SRC-043</x:v>
      </x:c>
      <x:c r="C49" s="5" t="str">
        <x:v>국방데이터 코드설계표준 공식 목록</x:v>
      </x:c>
      <x:c r="D49" s="5" t="str"/>
      <x:c r="E49" s="5" t="str">
        <x:v>20260428</x:v>
      </x:c>
      <x:c r="F49" s="5" t="str">
        <x:v>공식 공공데이터 목록</x:v>
      </x:c>
      <x:c r="G49" s="5" t="str">
        <x:v>https://www.data.go.kr/data/15083221/fileData.do?recommendDataYn=Y</x:v>
      </x:c>
      <x:c r="H49" s="5" t="str"/>
      <x:c r="I49" s="5" t="str">
        <x:v>2026-10-20</x:v>
      </x:c>
      <x:c r="J49" s="5" t="str">
        <x:v>목록 확인 / 원본 CSV 미확보</x:v>
      </x:c>
      <x:c r="K49" s="5" t="str">
        <x:v>사용자 제공 OA-9422 연결, 속성/물리명/도메인/유형, 목록성코드와 코드값관리 구분</x:v>
      </x:c>
    </x:row>
    <x:row r="50" ht="26.399999618530273" hidden="0" customHeight="1">
      <x:c r="A50" s="5" t="str">
        <x:v>출처</x:v>
      </x:c>
      <x:c r="B50" s="5" t="str">
        <x:v>SRC-044</x:v>
      </x:c>
      <x:c r="C50" s="5" t="str">
        <x:v>국방 메타데이터 관리시스템 용어 정의</x:v>
      </x:c>
      <x:c r="D50" s="5" t="str"/>
      <x:c r="E50" s="5" t="str">
        <x:v>별표1(최신 적용지침 판본 재확인 필요)</x:v>
      </x:c>
      <x:c r="F50" s="5" t="str">
        <x:v>공식 용어정의</x:v>
      </x:c>
      <x:c r="G50" s="5" t="str">
        <x:v>https://law.go.kr/LSW/flDownload.do?bylClsCd=200201&amp;flSeq=141017277</x:v>
      </x:c>
      <x:c r="H50" s="5" t="str"/>
      <x:c r="I50" s="5" t="str">
        <x:v>2026-10-20</x:v>
      </x:c>
      <x:c r="J50" s="5" t="str">
        <x:v>명칭 확인 / 세부 적용기준 별도</x:v>
      </x:c>
      <x:c r="K50" s="5" t="str">
        <x:v>MDR: Meta Data Registry 명칭 식별</x:v>
      </x:c>
    </x:row>
    <x:row r="51" ht="26.399999618530273" hidden="0" customHeight="1">
      <x:c r="A51" s="5" t="str">
        <x:v>원문 확인사항</x:v>
      </x:c>
      <x:c r="B51" s="5" t="str">
        <x:v>SRC-KRDS-01</x:v>
      </x:c>
      <x:c r="C51" s="5" t="str">
        <x:v>운영기관 식별자 개요p227에 상위기관이라는 구문이 남아 있으나 구조/상세 및 변경 대비표는 운영기관 기준으로 수정됨</x:v>
      </x:c>
      <x:c r="D51" s="5" t="str"/>
      <x:c r="E51" s="5" t="str">
        <x:v>2025.08</x:v>
      </x:c>
      <x:c r="F51" s="5" t="str">
        <x:v>원문 불일치·수정</x:v>
      </x:c>
      <x:c r="G51" s="5" t="str">
        <x:v>references/ 원본 PDF</x:v>
      </x:c>
      <x:c r="H51" s="5" t="str">
        <x:v>227,229-231</x:v>
      </x:c>
      <x:c r="I51" s="5" t="str"/>
      <x:c r="J51" s="5" t="str">
        <x:v>재확인필요</x:v>
      </x:c>
      <x:c r="K51" s="5" t="str">
        <x:v>변경 대비표의 명시적인 개정 내용과 수정된 상세p229-231을 우선 반영. 회사 샘플은 정부 식별자 제외</x:v>
      </x:c>
    </x:row>
    <x:row r="52" ht="15" hidden="0" customHeight="1">
      <x:c r="A52" s="5" t="str">
        <x:v>원문 확인사항</x:v>
      </x:c>
      <x:c r="B52" s="5" t="str">
        <x:v>SRC-KRDS-02</x:v>
      </x:c>
      <x:c r="C52" s="5" t="str">
        <x:v>툴팁 사용성 목록07·08이 빈칸이며09에는 맥락적 도움말/도움패널 관련 문구가 있음</x:v>
      </x:c>
      <x:c r="D52" s="5" t="str"/>
      <x:c r="E52" s="5" t="str">
        <x:v>2025.08</x:v>
      </x:c>
      <x:c r="F52" s="5" t="str">
        <x:v>원문 불일치·수정</x:v>
      </x:c>
      <x:c r="G52" s="5" t="str">
        <x:v>references/ 원본 PDF</x:v>
      </x:c>
      <x:c r="H52" s="5" t="str">
        <x:v>652</x:v>
      </x:c>
      <x:c r="I52" s="5" t="str"/>
      <x:c r="J52" s="5" t="str">
        <x:v>재확인필요</x:v>
      </x:c>
      <x:c r="K52" s="5" t="str">
        <x:v>빈 번호는 생성·추정하지 않음.09는 원문 이상 확인 플래그. CODEX가 최신 공홈의 해당 구성요소와 대조할 대상</x:v>
      </x:c>
    </x:row>
    <x:row r="53" ht="15" hidden="0" customHeight="1">
      <x:c r="A53" s="5" t="str">
        <x:v>원문 확인사항</x:v>
      </x:c>
      <x:c r="B53" s="5" t="str">
        <x:v>SRC-KRDS-03</x:v>
      </x:c>
      <x:c r="C53" s="5" t="str">
        <x:v>일부 러닝헤더의 구분·컴포넌트명이 본문과 다르거나 누락됨</x:v>
      </x:c>
      <x:c r="D53" s="5" t="str"/>
      <x:c r="E53" s="5" t="str">
        <x:v>2025.08</x:v>
      </x:c>
      <x:c r="F53" s="5" t="str">
        <x:v>원문 불일치·수정</x:v>
      </x:c>
      <x:c r="G53" s="5" t="str">
        <x:v>references/ 원본 PDF</x:v>
      </x:c>
      <x:c r="H53" s="5" t="str">
        <x:v>239-242,252,454,506,508,543-548,555,729-736,954,1119 등</x:v>
      </x:c>
      <x:c r="I53" s="5" t="str"/>
      <x:c r="J53" s="5" t="str">
        <x:v>재확인필요</x:v>
      </x:c>
      <x:c r="K53" s="5" t="str">
        <x:v>목차 페이지 범위와 본문의 제목·항목 번호로 분류. 추출 스크립트에 확인한 헤더 예외를 명시</x:v>
      </x:c>
    </x:row>
    <x:row r="54" ht="15" hidden="0" customHeight="1">
      <x:c r="A54" s="5" t="str">
        <x:v>원문 확인사항</x:v>
      </x:c>
      <x:c r="B54" s="5" t="str">
        <x:v>SRC-KRDS-04</x:v>
      </x:c>
      <x:c r="C54" s="5" t="str">
        <x:v>선명한 화면 모드의 구체적 역할별 대비(15/7/4.5)와 일반 최소 대비(4.5, 권장7)가 함께 제시됨</x:v>
      </x:c>
      <x:c r="D54" s="5" t="str"/>
      <x:c r="E54" s="5" t="str">
        <x:v>2025.08</x:v>
      </x:c>
      <x:c r="F54" s="5" t="str">
        <x:v>원문 불일치·수정</x:v>
      </x:c>
      <x:c r="G54" s="5" t="str">
        <x:v>references/ 원본 PDF</x:v>
      </x:c>
      <x:c r="H54" s="5" t="str">
        <x:v>123,204</x:v>
      </x:c>
      <x:c r="I54" s="5" t="str"/>
      <x:c r="J54" s="5" t="str">
        <x:v>재확인필요</x:v>
      </x:c>
      <x:c r="K54" s="5" t="str">
        <x:v>일반 WCAG AA 기준과 KRDS 스타일 강화 목표를 구별. 샘플은 역할별 강화 목표를 회사 채택안에 포함하고 각각 측정</x:v>
      </x:c>
    </x:row>
    <x:row r="55" ht="15" hidden="0" customHeight="1">
      <x:c r="A55" s="5" t="str">
        <x:v>원문 확인사항</x:v>
      </x:c>
      <x:c r="B55" s="5" t="str">
        <x:v>SRC-KRDS-05</x:v>
      </x:c>
      <x:c r="C55" s="5" t="str">
        <x:v>가능하면 파일 형식·크기 제한을 줄이라는 사용성 방향과 보안·용량 통제 요구가 동시에 존재</x:v>
      </x:c>
      <x:c r="D55" s="5" t="str"/>
      <x:c r="E55" s="5" t="str">
        <x:v>2025.08</x:v>
      </x:c>
      <x:c r="F55" s="5" t="str">
        <x:v>원문 불일치·수정</x:v>
      </x:c>
      <x:c r="G55" s="5" t="str">
        <x:v>references/ 원본 PDF</x:v>
      </x:c>
      <x:c r="H55" s="5" t="str">
        <x:v>704</x:v>
      </x:c>
      <x:c r="I55" s="5" t="str"/>
      <x:c r="J55" s="5" t="str">
        <x:v>재확인필요</x:v>
      </x:c>
      <x:c r="K55" s="5" t="str">
        <x:v>형식 허용목록·크기/개수 제한을 업무·보안상 필요한 범위로 정하고 사전 안내. 원문 조건과 회사 보안설계의 결정 근거를 별도 기록</x:v>
      </x:c>
    </x:row>
    <x:row r="56" ht="26.399999618530273" hidden="0" customHeight="1">
      <x:c r="A56" s="5" t="str">
        <x:v>원문 확인사항</x:v>
      </x:c>
      <x:c r="B56" s="5" t="str">
        <x:v>SRC-KRDS-06</x:v>
      </x:c>
      <x:c r="C56" s="5" t="str">
        <x:v>문서의 접근성 목표는 WCAG2.1 AA, 서비스 패턴 사용성은 필수/권장/우수 구분. 모든 문장을 동일한 법적 강제기준으로 볼 수 없음</x:v>
      </x:c>
      <x:c r="D56" s="5" t="str"/>
      <x:c r="E56" s="5" t="str">
        <x:v>2025.08</x:v>
      </x:c>
      <x:c r="F56" s="5" t="str">
        <x:v>원문 불일치·수정</x:v>
      </x:c>
      <x:c r="G56" s="5" t="str">
        <x:v>references/ 원본 PDF</x:v>
      </x:c>
      <x:c r="H56" s="5" t="str">
        <x:v>14,15-20</x:v>
      </x:c>
      <x:c r="I56" s="5" t="str"/>
      <x:c r="J56" s="5" t="str">
        <x:v>재확인필요</x:v>
      </x:c>
      <x:c r="K56" s="5" t="str">
        <x:v>국내 접근성 기준과 WCAG2.2 AA의 추가요건은 별도 기준ID로 관리. 회사 우선순위P0/P1/P2와 원문 수준을 분리</x:v>
      </x:c>
    </x:row>
    <x:row r="57" ht="15" hidden="0" customHeight="1">
      <x:c r="A57" s="5" t="str">
        <x:v>원문 확인사항</x:v>
      </x:c>
      <x:c r="B57" s="5" t="str">
        <x:v>SRC-KRDS-07</x:v>
      </x:c>
      <x:c r="C57" s="5" t="str">
        <x:v>2025.08 로그인 방식 분류/배치 항목의 원문 적용수준은 권장으로 표시</x:v>
      </x:c>
      <x:c r="D57" s="5" t="str"/>
      <x:c r="E57" s="5" t="str">
        <x:v>2025.08</x:v>
      </x:c>
      <x:c r="F57" s="5" t="str">
        <x:v>원문 불일치·수정</x:v>
      </x:c>
      <x:c r="G57" s="5" t="str">
        <x:v>references/ 원본 PDF</x:v>
      </x:c>
      <x:c r="H57" s="5" t="str">
        <x:v>1007</x:v>
      </x:c>
      <x:c r="I57" s="5" t="str"/>
      <x:c r="J57" s="5" t="str">
        <x:v>재확인필요</x:v>
      </x:c>
      <x:c r="K57" s="5" t="str">
        <x:v>변경 반영 여부는 추적하되 법적 필수라고 표시하지 않음</x:v>
      </x:c>
    </x:row>
    <x:row r="58" ht="15" hidden="0" customHeight="1">
      <x:c r="A58" s="5" t="str">
        <x:v>원문 확인사항</x:v>
      </x:c>
      <x:c r="B58" s="5" t="str">
        <x:v>SRC-KRDS-08</x:v>
      </x:c>
      <x:c r="C58" s="5" t="str">
        <x:v>정부 공식서비스가 아닌 사이트는 공식 배너와 운영기관 식별자 사용 금지</x:v>
      </x:c>
      <x:c r="D58" s="5" t="str"/>
      <x:c r="E58" s="5" t="str">
        <x:v>2025.08</x:v>
      </x:c>
      <x:c r="F58" s="5" t="str">
        <x:v>원문 불일치·수정</x:v>
      </x:c>
      <x:c r="G58" s="5" t="str">
        <x:v>references/ 원본 PDF</x:v>
      </x:c>
      <x:c r="H58" s="5" t="str">
        <x:v>225,231</x:v>
      </x:c>
      <x:c r="I58" s="5" t="str"/>
      <x:c r="J58" s="5" t="str">
        <x:v>재확인필요</x:v>
      </x:c>
      <x:c r="K58" s="5" t="str">
        <x:v>회사 자체브랜드 샘플의 두 컴포넌트는 해당없음. 공공 고객에게 납품할 때 기관 유형과 권한에 따라 다시 선정</x:v>
      </x:c>
    </x:row>
    <x:row r="59" ht="26.399999618530273" hidden="0" customHeight="1">
      <x:c r="A59" s="5" t="str">
        <x:v>원문 확인사항</x:v>
      </x:c>
      <x:c r="B59" s="5" t="str">
        <x:v>SRC-KRDS-09</x:v>
      </x:c>
      <x:c r="C59" s="5" t="str">
        <x:v>원문은 opacity:0도 보조기술·키보드 인지를 막는 것으로 예시하지만 실제 접근성 영향은 CSS/DOM 조합에 따라 달라짐</x:v>
      </x:c>
      <x:c r="D59" s="5" t="str"/>
      <x:c r="E59" s="5" t="str">
        <x:v>2025.08</x:v>
      </x:c>
      <x:c r="F59" s="5" t="str">
        <x:v>원문 불일치·수정</x:v>
      </x:c>
      <x:c r="G59" s="5" t="str">
        <x:v>references/ 원본 PDF</x:v>
      </x:c>
      <x:c r="H59" s="5" t="str">
        <x:v>578</x:v>
      </x:c>
      <x:c r="I59" s="5" t="str"/>
      <x:c r="J59" s="5" t="str">
        <x:v>재확인필요</x:v>
      </x:c>
      <x:c r="K59" s="5" t="str">
        <x:v>문장을 기계적으로 린트 규칙으로 만들지 않음. native 요소·접근성 트리·실제 키보드/스크린리더 시험으로 판정</x:v>
      </x:c>
    </x:row>
    <x:row r="60" ht="26.399999618530273" hidden="0" customHeight="1">
      <x:c r="A60" s="5" t="str">
        <x:v>원문 확인사항</x:v>
      </x:c>
      <x:c r="B60" s="5" t="str">
        <x:v>SRC-KRDS-10</x:v>
      </x:c>
      <x:c r="C60" s="5" t="str">
        <x:v>WCAG 출처 표기는 원문 수준(A/AA)·버전과 국제 원문을 대조할 필요가 있음. 예: Pause, Stop, Hide를 AA로 표기한 부분</x:v>
      </x:c>
      <x:c r="D60" s="5" t="str"/>
      <x:c r="E60" s="5" t="str">
        <x:v>2025.08</x:v>
      </x:c>
      <x:c r="F60" s="5" t="str">
        <x:v>원문 불일치·수정</x:v>
      </x:c>
      <x:c r="G60" s="5" t="str">
        <x:v>references/ 원본 PDF</x:v>
      </x:c>
      <x:c r="H60" s="5" t="str">
        <x:v>483 등</x:v>
      </x:c>
      <x:c r="I60" s="5" t="str"/>
      <x:c r="J60" s="5" t="str">
        <x:v>재확인필요</x:v>
      </x:c>
      <x:c r="K60" s="5" t="str">
        <x:v>접근성 성공기준의 번호·수준은 W3C 정식 원문을 권위있는 기준으로 사용. 원문 인용 표기를 그대로 옮겨 정확한 수준이라고 주장하지 않음</x:v>
      </x:c>
    </x:row>
    <x:row r="61" ht="15" hidden="0" customHeight="1">
      <x:c r="A61" s="5" t="str">
        <x:v>MDR 적용 확인</x:v>
      </x:c>
      <x:c r="B61" s="5" t="str">
        <x:v>MDR-000</x:v>
      </x:c>
      <x:c r="C61" s="5" t="str">
        <x:v>국방 메타데이터 관리시스템(MDR: Meta Data Registry) 명칭 확인</x:v>
      </x:c>
      <x:c r="D61" s="5" t="str">
        <x:v>국방부</x:v>
      </x:c>
      <x:c r="E61" s="5" t="str">
        <x:v>세부 원본 판본 확인필요</x:v>
      </x:c>
      <x:c r="F61" s="5" t="str">
        <x:v>세부 기준 적용 확인필요</x:v>
      </x:c>
      <x:c r="G61" s="5" t="str">
        <x:v>https://opendata.mnd.go.kr/openinf/sheetview2.jsp?infId=OA-9422</x:v>
      </x:c>
      <x:c r="H61" s="5" t="str">
        <x:v>국방데이터 코드설계표준</x:v>
      </x:c>
      <x:c r="I61" s="5" t="str">
        <x:v>2026-10-20</x:v>
      </x:c>
      <x:c r="J61" s="5" t="str">
        <x:v>명칭 확인 / 세부 기준 확인필요</x:v>
      </x:c>
      <x:c r="K61" s="5" t="str">
        <x:v>정식 명칭은 공식자료로 확인. 원본 코드표·사업 적용범위 미확보로 준수 판정 보류.</x:v>
      </x:c>
    </x:row>
    <x:row r="62" ht="15" hidden="0" customHeight="1">
      <x:c r="A62" s="5" t="str">
        <x:v>2025.08 변경</x:v>
      </x:c>
      <x:c r="B62" s="5" t="str">
        <x:v>KRDS-CHANGE-01</x:v>
      </x:c>
      <x:c r="C62" s="5" t="str">
        <x:v>운영기관 식별자</x:v>
      </x:c>
      <x:c r="D62" s="5" t="str">
        <x:v>행정안전부</x:v>
      </x:c>
      <x:c r="E62" s="5" t="str">
        <x:v>2025.08</x:v>
      </x:c>
      <x:c r="F62" s="5" t="str">
        <x:v>원문 개정</x:v>
      </x:c>
      <x:c r="G62" s="5" t="str">
        <x:v>references/ 원본 PDF</x:v>
      </x:c>
      <x:c r="H62" s="5" t="str">
        <x:v>본문 229~231쪽 / 대비표 1쪽</x:v>
      </x:c>
      <x:c r="I62" s="5" t="str">
        <x:v>2026-10-20</x:v>
      </x:c>
      <x:c r="J62" s="5" t="str">
        <x:v>원문 확인</x:v>
      </x:c>
      <x:c r="K62" s="5" t="str">
        <x:v>회사 브랜드 샘플에 정부 식별자를 사용하지 않음. 공공서비스 전환 때 재평가.</x:v>
      </x:c>
    </x:row>
    <x:row r="63" ht="15" hidden="0" customHeight="1">
      <x:c r="A63" s="5" t="str">
        <x:v>2025.08 변경</x:v>
      </x:c>
      <x:c r="B63" s="5" t="str">
        <x:v>KRDS-CHANGE-02</x:v>
      </x:c>
      <x:c r="C63" s="5" t="str">
        <x:v>개인정보 처리방침 명칭·강조</x:v>
      </x:c>
      <x:c r="D63" s="5" t="str">
        <x:v>행정안전부</x:v>
      </x:c>
      <x:c r="E63" s="5" t="str">
        <x:v>2025.08</x:v>
      </x:c>
      <x:c r="F63" s="5" t="str">
        <x:v>원문 개정</x:v>
      </x:c>
      <x:c r="G63" s="5" t="str">
        <x:v>references/ 원본 PDF</x:v>
      </x:c>
      <x:c r="H63" s="5" t="str">
        <x:v>본문 249쪽 / 대비표 2쪽</x:v>
      </x:c>
      <x:c r="I63" s="5" t="str">
        <x:v>2026-10-20</x:v>
      </x:c>
      <x:c r="J63" s="5" t="str">
        <x:v>원문 확인</x:v>
      </x:c>
      <x:c r="K63" s="5" t="str">
        <x:v>실제 연결 페이지와 명칭, 다른 고지와 시각적 구분을 확인.</x:v>
      </x:c>
    </x:row>
    <x:row r="64" ht="15" hidden="0" customHeight="1">
      <x:c r="A64" s="5" t="str">
        <x:v>2025.08 변경</x:v>
      </x:c>
      <x:c r="B64" s="5" t="str">
        <x:v>KRDS-CHANGE-03</x:v>
      </x:c>
      <x:c r="C64" s="5" t="str">
        <x:v>로그인 방식 목록 배치</x:v>
      </x:c>
      <x:c r="D64" s="5" t="str">
        <x:v>행정안전부</x:v>
      </x:c>
      <x:c r="E64" s="5" t="str">
        <x:v>2025.08</x:v>
      </x:c>
      <x:c r="F64" s="5" t="str">
        <x:v>원문 권장</x:v>
      </x:c>
      <x:c r="G64" s="5" t="str">
        <x:v>references/ 원본 PDF</x:v>
      </x:c>
      <x:c r="H64" s="5" t="str">
        <x:v>본문 1007쪽 / 대비표 2쪽</x:v>
      </x:c>
      <x:c r="I64" s="5" t="str">
        <x:v>2026-10-20</x:v>
      </x:c>
      <x:c r="J64" s="5" t="str">
        <x:v>원문 확인</x:v>
      </x:c>
      <x:c r="K64" s="5" t="str">
        <x:v>복수 로그인 방식 도입 시 사용자 관점 분류 및 배치 재평가.</x:v>
      </x:c>
    </x:row>
  </x:sheetData>
  <x:pageMargins left="0.7" right="0.7" top="0.75" bottom="0.75" header="0.3" footer="0.3"/>
  <x:tableParts count="1">
    <x:tablePart xmlns:r="http://schemas.openxmlformats.org/officeDocument/2006/relationships" r:id="R4c2a550baca442f2"/>
  </x:tableParts>
</x:worksheet>
</file>