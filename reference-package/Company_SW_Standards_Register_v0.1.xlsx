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f88e8b9ce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요약" sheetId="1" r:id="Rd2f8f7e42074455e"/>
    <x:sheet xmlns:r="http://schemas.openxmlformats.org/officeDocument/2006/relationships" name="02_통합적용대장" sheetId="2" r:id="R28e9601aa60d4653"/>
    <x:sheet xmlns:r="http://schemas.openxmlformats.org/officeDocument/2006/relationships" name="03_접근성시험" sheetId="3" r:id="R3e605bc0fe4f40fe"/>
    <x:sheet xmlns:r="http://schemas.openxmlformats.org/officeDocument/2006/relationships" name="04_KRDS원문항목" sheetId="4" r:id="Rcd48f63bb5964ef3"/>
    <x:sheet xmlns:r="http://schemas.openxmlformats.org/officeDocument/2006/relationships" name="05_KRDS범위색인" sheetId="5" r:id="Rda0e962055d44d3f"/>
    <x:sheet xmlns:r="http://schemas.openxmlformats.org/officeDocument/2006/relationships" name="06_출처변경관리" sheetId="6" r:id="R0adf4f6ce647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5">
    <x:font>
      <x:sz val="11"/>
      <x:name val="Carlito"/>
    </x:font>
    <x:font>
      <x:sz val="10"/>
      <x:color rgb="FF14263B"/>
      <x:name val="Noto Sans CJK KR"/>
    </x:font>
    <x:font>
      <x:b/>
      <x:sz val="16"/>
      <x:color rgb="FF17324F"/>
      <x:name val="Noto Sans CJK KR"/>
    </x:font>
    <x:font>
      <x:sz val="10"/>
      <x:color rgb="FF5E6A78"/>
      <x:name val="Noto Sans CJK KR"/>
    </x:font>
    <x:font>
      <x:b/>
      <x:sz val="10"/>
      <x:color rgb="FFFFFFFF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5F8FB"/>
      </x:patternFill>
    </x:fill>
    <x:fill>
      <x:patternFill patternType="solid">
        <x:fgColor rgb="FFFFFAE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9A2424"/>
      </x:font>
      <x:fill>
        <x:patternFill patternType="solid">
          <x:bgColor rgb="FFFDECEC"/>
        </x:patternFill>
      </x:fill>
    </x:dxf>
    <x:dxf>
      <x:font>
        <x:color rgb="FF725515"/>
      </x:font>
      <x:fill>
        <x:patternFill patternType="solid">
          <x:bgColor rgb="FFFFF3D5"/>
        </x:patternFill>
      </x:fill>
    </x:dxf>
    <x:dxf>
      <x:font>
        <x:b/>
        <x:color rgb="FF725515"/>
      </x:font>
      <x:fill>
        <x:patternFill patternType="solid">
          <x:bgColor rgb="FFFFF3D5"/>
        </x:patternFill>
      </x:fill>
    </x:dxf>
    <x:dxf>
      <x:font>
        <x:color rgb="FF215E53"/>
      </x:font>
      <x:fill>
        <x:patternFill patternType="solid">
          <x:bgColor rgb="FFE8F1EF"/>
        </x:patternFill>
      </x:fill>
    </x:dxf>
    <x:dxf>
      <x:font>
        <x:b/>
        <x:color rgb="FF9A2424"/>
      </x:font>
      <x:fill>
        <x:patternFill patternType="solid">
          <x:bgColor rgb="FFFDECEC"/>
        </x:patternFill>
      </x:fill>
    </x:dxf>
    <x:dxf>
      <x:font>
        <x:color rgb="FF725515"/>
      </x:font>
      <x:fill>
        <x:patternFill patternType="solid">
          <x:bgColor rgb="FFFFF3D5"/>
        </x:patternFill>
      </x:fill>
    </x:dxf>
    <x:dxf>
      <x:font>
        <x:b/>
        <x:color rgb="FF725515"/>
      </x:font>
      <x:fill>
        <x:patternFill patternType="solid">
          <x:bgColor rgb="FFFFF3D5"/>
        </x:patternFill>
      </x:fill>
    </x:dxf>
    <x:dxf>
      <x:font>
        <x:color rgb="FF215E53"/>
      </x:font>
      <x:fill>
        <x:patternFill patternType="solid">
          <x:bgColor rgb="FFE8F1EF"/>
        </x:patternFill>
      </x:fill>
    </x:dxf>
    <x:dxf>
      <x:font>
        <x:b/>
        <x:color rgb="FF9A2424"/>
      </x:font>
      <x:fill>
        <x:patternFill patternType="solid">
          <x:bgColor rgb="FFFDECEC"/>
        </x:patternFill>
      </x:fill>
    </x:dxf>
    <x:dxf>
      <x:font>
        <x:color rgb="FF725515"/>
      </x:font>
      <x:fill>
        <x:patternFill patternType="solid">
          <x:bgColor rgb="FFFFF3D5"/>
        </x:patternFill>
      </x:fill>
    </x:dxf>
    <x:dxf>
      <x:font>
        <x:b/>
        <x:color rgb="FF725515"/>
      </x:font>
      <x:fill>
        <x:patternFill patternType="solid">
          <x:bgColor rgb="FFFFF3D5"/>
        </x:patternFill>
      </x:fill>
    </x:dxf>
    <x:dxf>
      <x:font>
        <x:color rgb="FF215E53"/>
      </x:font>
      <x:fill>
        <x:patternFill patternType="solid">
          <x:bgColor rgb="FFE8F1EF"/>
        </x:patternFill>
      </x:fill>
    </x:dxf>
    <x:dxf>
      <x:font>
        <x:b/>
        <x:color rgb="FF9A2424"/>
      </x:font>
      <x:fill>
        <x:patternFill patternType="solid">
          <x:bgColor rgb="FFFDECEC"/>
        </x:patternFill>
      </x:fill>
    </x:dxf>
    <x:dxf>
      <x:font>
        <x:color rgb="FF725515"/>
      </x:font>
      <x:fill>
        <x:patternFill patternType="solid">
          <x:bgColor rgb="FFFFF3D5"/>
        </x:patternFill>
      </x:fill>
    </x:dxf>
    <x:dxf>
      <x:font>
        <x:b/>
        <x:color rgb="FF725515"/>
      </x:font>
      <x:fill>
        <x:patternFill patternType="solid">
          <x:bgColor rgb="FFFFF3D5"/>
        </x:patternFill>
      </x:fill>
    </x:dxf>
    <x:dxf>
      <x:font>
        <x:color rgb="FF215E53"/>
      </x:font>
      <x:fill>
        <x:patternFill patternType="solid">
          <x:bgColor rgb="FFE8F1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8c4d11a8e4463" /><Relationship Type="http://schemas.openxmlformats.org/officeDocument/2006/relationships/theme" Target="/xl/theme/theme1.xml" Id="Rc83c366fc102464d" /><Relationship Type="http://schemas.openxmlformats.org/officeDocument/2006/relationships/sharedStrings" Target="/xl/sharedStrings.xml" Id="R0b7e16119e514ecb" /><Relationship Type="http://schemas.openxmlformats.org/officeDocument/2006/relationships/worksheet" Target="/xl/worksheets/sheet1.xml" Id="Rd2f8f7e42074455e" /><Relationship Type="http://schemas.openxmlformats.org/officeDocument/2006/relationships/worksheet" Target="/xl/worksheets/sheet2.xml" Id="R28e9601aa60d4653" /><Relationship Type="http://schemas.openxmlformats.org/officeDocument/2006/relationships/worksheet" Target="/xl/worksheets/sheet3.xml" Id="R3e605bc0fe4f40fe" /><Relationship Type="http://schemas.openxmlformats.org/officeDocument/2006/relationships/worksheet" Target="/xl/worksheets/sheet4.xml" Id="Rcd48f63bb5964ef3" /><Relationship Type="http://schemas.openxmlformats.org/officeDocument/2006/relationships/worksheet" Target="/xl/worksheets/sheet5.xml" Id="Rda0e962055d44d3f" /><Relationship Type="http://schemas.openxmlformats.org/officeDocument/2006/relationships/worksheet" Target="/xl/worksheets/sheet6.xml" Id="R0adf4f6ce6474556" /></Relationships>
</file>

<file path=xl/tables/table1.xml><?xml version="1.0" encoding="utf-8"?>
<x:table xmlns:x="http://schemas.openxmlformats.org/spreadsheetml/2006/main" id="2" name="SummaryCounts" displayName="SummaryCounts" ref="A6:I15" headerRowCount="1" totalsRowCount="0" totalsRowShown="0">
  <x:autoFilter ref="A6:I15"/>
  <x:tableColumns count="9">
    <x:tableColumn id="1" name="표준군"/>
    <x:tableColumn id="2" name="관리행"/>
    <x:tableColumn id="3" name="적용"/>
    <x:tableColumn id="4" name="조건부"/>
    <x:tableColumn id="5" name="해당없음"/>
    <x:tableColumn id="6" name="확인필요"/>
    <x:tableColumn id="7" name="구현"/>
    <x:tableColumn id="8" name="검증통과"/>
    <x:tableColumn id="9" name="검증완료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andardsRegister" displayName="StandardsRegister" ref="A6:AB303" headerRowCount="1" totalsRowCount="0" totalsRowShown="0">
  <x:autoFilter ref="A6:AB303"/>
  <x:tableColumns count="28">
    <x:tableColumn id="1" name="규칙 ID"/>
    <x:tableColumn id="2" name="표준군"/>
    <x:tableColumn id="3" name="세부 범주"/>
    <x:tableColumn id="4" name="항목명"/>
    <x:tableColumn id="5" name="요구사항"/>
    <x:tableColumn id="6" name="출처 ID"/>
    <x:tableColumn id="7" name="조항 / 페이지"/>
    <x:tableColumn id="8" name="원문 수준"/>
    <x:tableColumn id="9" name="사내 수준"/>
    <x:tableColumn id="10" name="적용성"/>
    <x:tableColumn id="11" name="적용·제외 사유"/>
    <x:tableColumn id="12" name="구현 계획"/>
    <x:tableColumn id="13" name="검증 방법"/>
    <x:tableColumn id="14" name="담당 역할"/>
    <x:tableColumn id="15" name="우선순위"/>
    <x:tableColumn id="16" name="구현 상태"/>
    <x:tableColumn id="17" name="자동 검증"/>
    <x:tableColumn id="18" name="수동 검증"/>
    <x:tableColumn id="19" name="필요 검증"/>
    <x:tableColumn id="20" name="구현 파일 / 문서"/>
    <x:tableColumn id="21" name="시험 ID"/>
    <x:tableColumn id="22" name="증빙 ID / 경로"/>
    <x:tableColumn id="23" name="검토자"/>
    <x:tableColumn id="24" name="검토일"/>
    <x:tableColumn id="25" name="회사 편차 ID"/>
    <x:tableColumn id="26" name="종합 판정"/>
    <x:tableColumn id="27" name="관련 원문 / 기준"/>
    <x:tableColumn id="28" name="범위·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ssibilityTests" displayName="AccessibilityTests" ref="A6:N21" headerRowCount="1" totalsRowCount="0" totalsRowShown="0">
  <x:autoFilter ref="A6:N21"/>
  <x:tableColumns count="14">
    <x:tableColumn id="1" name="시험 ID"/>
    <x:tableColumn id="2" name="사용자·제약"/>
    <x:tableColumn id="3" name="시험 과업"/>
    <x:tableColumn id="4" name="절차"/>
    <x:tableColumn id="5" name="통과 조건"/>
    <x:tableColumn id="6" name="환경 / 보조기술"/>
    <x:tableColumn id="7" name="대상 범위"/>
    <x:tableColumn id="8" name="관련 규칙"/>
    <x:tableColumn id="9" name="상태"/>
    <x:tableColumn id="10" name="실제 관찰결과"/>
    <x:tableColumn id="11" name="검사자"/>
    <x:tableColumn id="12" name="시험일"/>
    <x:tableColumn id="13" name="증빙 경로"/>
    <x:tableColumn id="14" name="관련 범위·유의사항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RDSSourceItems" displayName="KRDSSourceItems" ref="A6:M731" headerRowCount="1" totalsRowCount="0" totalsRowShown="0">
  <x:autoFilter ref="A6:M731"/>
  <x:tableColumns count="13">
    <x:tableColumn id="1" name="참조 후보 ID"/>
    <x:tableColumn id="2" name="장"/>
    <x:tableColumn id="3" name="분류"/>
    <x:tableColumn id="4" name="구성요소 / 단계"/>
    <x:tableColumn id="5" name="가이드 유형"/>
    <x:tableColumn id="6" name="원문 번호"/>
    <x:tableColumn id="7" name="인쇄 쪽"/>
    <x:tableColumn id="8" name="PDF 쪽"/>
    <x:tableColumn id="9" name="상세 쪽"/>
    <x:tableColumn id="10" name="번호 문장"/>
    <x:tableColumn id="11" name="연결 회사규칙"/>
    <x:tableColumn id="12" name="원문 검토상태"/>
    <x:tableColumn id="13" name="원문 등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RDSSectionCoverage" displayName="KRDSSectionCoverage" ref="A6:I109" headerRowCount="1" totalsRowCount="0" totalsRowShown="0">
  <x:autoFilter ref="A6:I109"/>
  <x:tableColumns count="9">
    <x:tableColumn id="1" name="섹션 ID"/>
    <x:tableColumn id="2" name="장"/>
    <x:tableColumn id="3" name="분류"/>
    <x:tableColumn id="4" name="섹션"/>
    <x:tableColumn id="5" name="시작 쪽"/>
    <x:tableColumn id="6" name="종료 쪽"/>
    <x:tableColumn id="7" name="번호 후보 수"/>
    <x:tableColumn id="8" name="회사규칙 연결"/>
    <x:tableColumn id="9" name="범위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RDSInteractionCoverage" displayName="KRDSInteractionCoverage" ref="A114:I166" headerRowCount="1" totalsRowCount="0" totalsRowShown="0">
  <x:autoFilter ref="A114:I166"/>
  <x:tableColumns count="9">
    <x:tableColumn id="1" name="상호작용 ID"/>
    <x:tableColumn id="2" name="섹션 ID"/>
    <x:tableColumn id="3" name="원문 섹션"/>
    <x:tableColumn id="4" name="원문 쪽"/>
    <x:tableColumn id="5" name="주제 / 동작 후보"/>
    <x:tableColumn id="6" name="회사규칙"/>
    <x:tableColumn id="7" name="추가 검토"/>
    <x:tableColumn id="8" name="상태"/>
    <x:tableColumn id="9" name="범위 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Register" displayName="SourceRegister" ref="A6:H48" headerRowCount="1" totalsRowCount="0" totalsRowShown="0">
  <x:autoFilter ref="A6:H48"/>
  <x:tableColumns count="8">
    <x:tableColumn id="1" name="출처 ID"/>
    <x:tableColumn id="2" name="출처 / 문서"/>
    <x:tableColumn id="3" name="판본 / 기준일"/>
    <x:tableColumn id="4" name="근거 성격"/>
    <x:tableColumn id="5" name="범위"/>
    <x:tableColumn id="6" name="접근 상태"/>
    <x:tableColumn id="7" name="URL / 첨부파일"/>
    <x:tableColumn id="8" name="확인일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RDSAmendments" displayName="KRDSAmendments" ref="A52:H55" headerRowCount="1" totalsRowCount="0" totalsRowShown="0">
  <x:autoFilter ref="A52:H55"/>
  <x:tableColumns count="8">
    <x:tableColumn id="1" name="개정 ID"/>
    <x:tableColumn id="2" name="대상"/>
    <x:tableColumn id="3" name="대비표 시작 쪽"/>
    <x:tableColumn id="4" name="실제 본문 쪽"/>
    <x:tableColumn id="5" name="수정 요약"/>
    <x:tableColumn id="6" name="샘플 적용"/>
    <x:tableColumn id="7" name="회사규칙"/>
    <x:tableColumn id="8" name="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Issues" displayName="SourceIssues" ref="A59:E69" headerRowCount="1" totalsRowCount="0" totalsRowShown="0">
  <x:autoFilter ref="A59:E69"/>
  <x:tableColumns count="5">
    <x:tableColumn id="1" name="확인 ID"/>
    <x:tableColumn id="2" name="원문 위치"/>
    <x:tableColumn id="3" name="원문 / 범위 이슈"/>
    <x:tableColumn id="4" name="처리 방안"/>
    <x:tableColumn id="5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a92d46c6d4c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a57668235f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a17c93f17c49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315ce3d121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80a1e36a8bb4fb3" /><Relationship Type="http://schemas.openxmlformats.org/officeDocument/2006/relationships/table" Target="/xl/tables/table6.xml" Id="R225e52e4680f47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f7577ef740d44ca5" /><Relationship Type="http://schemas.openxmlformats.org/officeDocument/2006/relationships/table" Target="/xl/tables/table8.xml" Id="Rb569439b0a4a42c3" /><Relationship Type="http://schemas.openxmlformats.org/officeDocument/2006/relationships/table" Target="/xl/tables/table9.xml" Id="Rcaf24598b2c84956" /></Relationships>
</file>

<file path=xl/worksheets/sheet1.xml><?xml version="1.0" encoding="utf-8"?>
<x:worksheet xmlns:x="http://schemas.openxmlformats.org/spreadsheetml/2006/main">
  <x:sheetPr>
    <x:tabColor rgb="FF17324F"/>
  </x:sheetPr>
  <x:sheetViews>
    <x:sheetView showGridLines="0" workbookViewId="0"/>
  </x:sheetViews>
  <x:sheetFormatPr defaultRowHeight="15"/>
  <x:cols>
    <x:col min="1" max="1" width="20" hidden="0" customWidth="1"/>
    <x:col min="2" max="2" width="8.670000076293945" hidden="0" customWidth="1"/>
    <x:col min="3" max="3" width="8.670000076293945" hidden="0" customWidth="1"/>
    <x:col min="4" max="4" width="8.670000076293945" hidden="0" customWidth="1"/>
    <x:col min="5" max="5" width="10.5600004196167" hidden="0" customWidth="1"/>
    <x:col min="6" max="6" width="10.5600004196167" hidden="0" customWidth="1"/>
    <x:col min="7" max="7" width="8.670000076293945" hidden="0" customWidth="1"/>
    <x:col min="8" max="8" width="10.5600004196167" hidden="0" customWidth="1"/>
    <x:col min="9" max="9" width="12.439999580383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1" customHeight="1">
      <x:c r="A2" s="3" t="str">
        <x:v>회사 SW 표준 및 샘플 적용계획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4" t="str">
        <x:v>기준안 v0.1 · 2026-10-20 · 회사 승인 전 · 샘플 구현 전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9" t="str">
        <x:v>표준군</x:v>
      </x:c>
      <x:c r="B6" s="10" t="str">
        <x:v>관리행</x:v>
      </x:c>
      <x:c r="C6" s="10" t="str">
        <x:v>적용</x:v>
      </x:c>
      <x:c r="D6" s="10" t="str">
        <x:v>조건부</x:v>
      </x:c>
      <x:c r="E6" s="10" t="str">
        <x:v>해당없음</x:v>
      </x:c>
      <x:c r="F6" s="10" t="str">
        <x:v>확인필요</x:v>
      </x:c>
      <x:c r="G6" s="10" t="str">
        <x:v>구현</x:v>
      </x:c>
      <x:c r="H6" s="10" t="str">
        <x:v>검증통과</x:v>
      </x:c>
      <x:c r="I6" s="11" t="str">
        <x:v>검증완료율</x:v>
      </x:c>
    </x:row>
    <x:row r="7" ht="28.5" customHeight="1">
      <x:c r="A7" s="13" t="str">
        <x:v>표준 운영</x:v>
      </x:c>
      <x:c r="B7" s="17" t="n">
        <x:f>COUNTIFS('02_통합적용대장'!$B$7:$B$303,$A7)</x:f>
        <x:v>8</x:v>
      </x:c>
      <x:c r="C7" s="17" t="n">
        <x:f>COUNTIFS('02_통합적용대장'!$B$7:$B$303,$A7,'02_통합적용대장'!$J$7:$J$303,"적용")</x:f>
        <x:v>8</x:v>
      </x:c>
      <x:c r="D7" s="17" t="n">
        <x:f>COUNTIFS('02_통합적용대장'!$B$7:$B$303,$A7,'02_통합적용대장'!$J$7:$J$303,"조건부")</x:f>
        <x:v>0</x:v>
      </x:c>
      <x:c r="E7" s="17" t="n">
        <x:f>COUNTIFS('02_통합적용대장'!$B$7:$B$303,$A7,'02_통합적용대장'!$J$7:$J$303,"해당없음")</x:f>
        <x:v>0</x:v>
      </x:c>
      <x:c r="F7" s="17" t="n">
        <x:f>COUNTIFS('02_통합적용대장'!$B$7:$B$303,$A7,'02_통합적용대장'!$J$7:$J$303,"확인필요")</x:f>
        <x:v>0</x:v>
      </x:c>
      <x:c r="G7" s="17" t="n">
        <x:f>COUNTIFS('02_통합적용대장'!$B$7:$B$303,$A7,'02_통합적용대장'!$J$7:$J$303,"적용",'02_통합적용대장'!$P$7:$P$303,"구현")</x:f>
        <x:v>0</x:v>
      </x:c>
      <x:c r="H7" s="17" t="n">
        <x:f>COUNTIFS('02_통합적용대장'!$B$7:$B$303,$A7,'02_통합적용대장'!$J$7:$J$303,"적용",'02_통합적용대장'!$Z$7:$Z$303,"통과")</x:f>
        <x:v>0</x:v>
      </x:c>
      <x:c r="I7" s="19" t="n">
        <x:f>IF(C7=0,"산정대상 없음",H7/C7)</x:f>
        <x:v>0</x:v>
      </x:c>
    </x:row>
    <x:row r="8" ht="28.5" customHeight="1">
      <x:c r="A8" s="14" t="str">
        <x:v>코딩</x:v>
      </x:c>
      <x:c r="B8" s="18" t="n">
        <x:f>COUNTIFS('02_통합적용대장'!$B$7:$B$303,$A8)</x:f>
        <x:v>18</x:v>
      </x:c>
      <x:c r="C8" s="18" t="n">
        <x:f>COUNTIFS('02_통합적용대장'!$B$7:$B$303,$A8,'02_통합적용대장'!$J$7:$J$303,"적용")</x:f>
        <x:v>18</x:v>
      </x:c>
      <x:c r="D8" s="18" t="n">
        <x:f>COUNTIFS('02_통합적용대장'!$B$7:$B$303,$A8,'02_통합적용대장'!$J$7:$J$303,"조건부")</x:f>
        <x:v>0</x:v>
      </x:c>
      <x:c r="E8" s="18" t="n">
        <x:f>COUNTIFS('02_통합적용대장'!$B$7:$B$303,$A8,'02_통합적용대장'!$J$7:$J$303,"해당없음")</x:f>
        <x:v>0</x:v>
      </x:c>
      <x:c r="F8" s="18" t="n">
        <x:f>COUNTIFS('02_통합적용대장'!$B$7:$B$303,$A8,'02_통합적용대장'!$J$7:$J$303,"확인필요")</x:f>
        <x:v>0</x:v>
      </x:c>
      <x:c r="G8" s="18" t="n">
        <x:f>COUNTIFS('02_통합적용대장'!$B$7:$B$303,$A8,'02_통합적용대장'!$J$7:$J$303,"적용",'02_통합적용대장'!$P$7:$P$303,"구현")</x:f>
        <x:v>0</x:v>
      </x:c>
      <x:c r="H8" s="18" t="n">
        <x:f>COUNTIFS('02_통합적용대장'!$B$7:$B$303,$A8,'02_통합적용대장'!$J$7:$J$303,"적용",'02_통합적용대장'!$Z$7:$Z$303,"통과")</x:f>
        <x:v>0</x:v>
      </x:c>
      <x:c r="I8" s="20" t="n">
        <x:f>IF(C8=0,"산정대상 없음",H8/C8)</x:f>
        <x:v>0</x:v>
      </x:c>
    </x:row>
    <x:row r="9" ht="28.5" customHeight="1">
      <x:c r="A9" s="13" t="str">
        <x:v>보안</x:v>
      </x:c>
      <x:c r="B9" s="17" t="n">
        <x:f>COUNTIFS('02_통합적용대장'!$B$7:$B$303,$A9)</x:f>
        <x:v>18</x:v>
      </x:c>
      <x:c r="C9" s="17" t="n">
        <x:f>COUNTIFS('02_통합적용대장'!$B$7:$B$303,$A9,'02_통합적용대장'!$J$7:$J$303,"적용")</x:f>
        <x:v>17</x:v>
      </x:c>
      <x:c r="D9" s="17" t="n">
        <x:f>COUNTIFS('02_통합적용대장'!$B$7:$B$303,$A9,'02_통합적용대장'!$J$7:$J$303,"조건부")</x:f>
        <x:v>1</x:v>
      </x:c>
      <x:c r="E9" s="17" t="n">
        <x:f>COUNTIFS('02_통합적용대장'!$B$7:$B$303,$A9,'02_통합적용대장'!$J$7:$J$303,"해당없음")</x:f>
        <x:v>0</x:v>
      </x:c>
      <x:c r="F9" s="17" t="n">
        <x:f>COUNTIFS('02_통합적용대장'!$B$7:$B$303,$A9,'02_통합적용대장'!$J$7:$J$303,"확인필요")</x:f>
        <x:v>0</x:v>
      </x:c>
      <x:c r="G9" s="17" t="n">
        <x:f>COUNTIFS('02_통합적용대장'!$B$7:$B$303,$A9,'02_통합적용대장'!$J$7:$J$303,"적용",'02_통합적용대장'!$P$7:$P$303,"구현")</x:f>
        <x:v>0</x:v>
      </x:c>
      <x:c r="H9" s="17" t="n">
        <x:f>COUNTIFS('02_통합적용대장'!$B$7:$B$303,$A9,'02_통합적용대장'!$J$7:$J$303,"적용",'02_통합적용대장'!$Z$7:$Z$303,"통과")</x:f>
        <x:v>0</x:v>
      </x:c>
      <x:c r="I9" s="19" t="n">
        <x:f>IF(C9=0,"산정대상 없음",H9/C9)</x:f>
        <x:v>0</x:v>
      </x:c>
    </x:row>
    <x:row r="10" ht="28.5" customHeight="1">
      <x:c r="A10" s="14" t="str">
        <x:v>MDR 확인</x:v>
      </x:c>
      <x:c r="B10" s="18" t="n">
        <x:f>COUNTIFS('02_통합적용대장'!$B$7:$B$303,$A10)</x:f>
        <x:v>1</x:v>
      </x:c>
      <x:c r="C10" s="18" t="n">
        <x:f>COUNTIFS('02_통합적용대장'!$B$7:$B$303,$A10,'02_통합적용대장'!$J$7:$J$303,"적용")</x:f>
        <x:v>0</x:v>
      </x:c>
      <x:c r="D10" s="18" t="n">
        <x:f>COUNTIFS('02_통합적용대장'!$B$7:$B$303,$A10,'02_통합적용대장'!$J$7:$J$303,"조건부")</x:f>
        <x:v>0</x:v>
      </x:c>
      <x:c r="E10" s="18" t="n">
        <x:f>COUNTIFS('02_통합적용대장'!$B$7:$B$303,$A10,'02_통합적용대장'!$J$7:$J$303,"해당없음")</x:f>
        <x:v>0</x:v>
      </x:c>
      <x:c r="F10" s="18" t="n">
        <x:f>COUNTIFS('02_통합적용대장'!$B$7:$B$303,$A10,'02_통합적용대장'!$J$7:$J$303,"확인필요")</x:f>
        <x:v>1</x:v>
      </x:c>
      <x:c r="G10" s="18" t="n">
        <x:f>COUNTIFS('02_통합적용대장'!$B$7:$B$303,$A10,'02_통합적용대장'!$J$7:$J$303,"적용",'02_통합적용대장'!$P$7:$P$303,"구현")</x:f>
        <x:v>0</x:v>
      </x:c>
      <x:c r="H10" s="18" t="n">
        <x:f>COUNTIFS('02_통합적용대장'!$B$7:$B$303,$A10,'02_통합적용대장'!$J$7:$J$303,"적용",'02_통합적용대장'!$Z$7:$Z$303,"통과")</x:f>
        <x:v>0</x:v>
      </x:c>
      <x:c r="I10" s="20" t="str">
        <x:f>IF(C10=0,"산정대상 없음",H10/C10)</x:f>
        <x:v>산정대상 없음</x:v>
      </x:c>
    </x:row>
    <x:row r="11" ht="28.5" customHeight="1">
      <x:c r="A11" s="13" t="str">
        <x:v>KRDS UI/UX</x:v>
      </x:c>
      <x:c r="B11" s="17" t="n">
        <x:f>COUNTIFS('02_통합적용대장'!$B$7:$B$303,$A11)</x:f>
        <x:v>128</x:v>
      </x:c>
      <x:c r="C11" s="17" t="n">
        <x:f>COUNTIFS('02_통합적용대장'!$B$7:$B$303,$A11,'02_통합적용대장'!$J$7:$J$303,"적용")</x:f>
        <x:v>106</x:v>
      </x:c>
      <x:c r="D11" s="17" t="n">
        <x:f>COUNTIFS('02_통합적용대장'!$B$7:$B$303,$A11,'02_통합적용대장'!$J$7:$J$303,"조건부")</x:f>
        <x:v>18</x:v>
      </x:c>
      <x:c r="E11" s="17" t="n">
        <x:f>COUNTIFS('02_통합적용대장'!$B$7:$B$303,$A11,'02_통합적용대장'!$J$7:$J$303,"해당없음")</x:f>
        <x:v>4</x:v>
      </x:c>
      <x:c r="F11" s="17" t="n">
        <x:f>COUNTIFS('02_통합적용대장'!$B$7:$B$303,$A11,'02_통합적용대장'!$J$7:$J$303,"확인필요")</x:f>
        <x:v>0</x:v>
      </x:c>
      <x:c r="G11" s="17" t="n">
        <x:f>COUNTIFS('02_통합적용대장'!$B$7:$B$303,$A11,'02_통합적용대장'!$J$7:$J$303,"적용",'02_통합적용대장'!$P$7:$P$303,"구현")</x:f>
        <x:v>0</x:v>
      </x:c>
      <x:c r="H11" s="17" t="n">
        <x:f>COUNTIFS('02_통합적용대장'!$B$7:$B$303,$A11,'02_통합적용대장'!$J$7:$J$303,"적용",'02_통합적용대장'!$Z$7:$Z$303,"통과")</x:f>
        <x:v>0</x:v>
      </x:c>
      <x:c r="I11" s="19" t="n">
        <x:f>IF(C11=0,"산정대상 없음",H11/C11)</x:f>
        <x:v>0</x:v>
      </x:c>
    </x:row>
    <x:row r="12" ht="28.5" customHeight="1">
      <x:c r="A12" s="14" t="str">
        <x:v>KWCAG 2.2</x:v>
      </x:c>
      <x:c r="B12" s="18" t="n">
        <x:f>COUNTIFS('02_통합적용대장'!$B$7:$B$303,$A12)</x:f>
        <x:v>33</x:v>
      </x:c>
      <x:c r="C12" s="18" t="n">
        <x:f>COUNTIFS('02_통합적용대장'!$B$7:$B$303,$A12,'02_통합적용대장'!$J$7:$J$303,"적용")</x:f>
        <x:v>29</x:v>
      </x:c>
      <x:c r="D12" s="18" t="n">
        <x:f>COUNTIFS('02_통합적용대장'!$B$7:$B$303,$A12,'02_통합적용대장'!$J$7:$J$303,"조건부")</x:f>
        <x:v>4</x:v>
      </x:c>
      <x:c r="E12" s="18" t="n">
        <x:f>COUNTIFS('02_통합적용대장'!$B$7:$B$303,$A12,'02_통합적용대장'!$J$7:$J$303,"해당없음")</x:f>
        <x:v>0</x:v>
      </x:c>
      <x:c r="F12" s="18" t="n">
        <x:f>COUNTIFS('02_통합적용대장'!$B$7:$B$303,$A12,'02_통합적용대장'!$J$7:$J$303,"확인필요")</x:f>
        <x:v>0</x:v>
      </x:c>
      <x:c r="G12" s="18" t="n">
        <x:f>COUNTIFS('02_통합적용대장'!$B$7:$B$303,$A12,'02_통합적용대장'!$J$7:$J$303,"적용",'02_통합적용대장'!$P$7:$P$303,"구현")</x:f>
        <x:v>0</x:v>
      </x:c>
      <x:c r="H12" s="18" t="n">
        <x:f>COUNTIFS('02_통합적용대장'!$B$7:$B$303,$A12,'02_통합적용대장'!$J$7:$J$303,"적용",'02_통합적용대장'!$Z$7:$Z$303,"통과")</x:f>
        <x:v>0</x:v>
      </x:c>
      <x:c r="I12" s="20" t="n">
        <x:f>IF(C12=0,"산정대상 없음",H12/C12)</x:f>
        <x:v>0</x:v>
      </x:c>
    </x:row>
    <x:row r="13" ht="28.5" customHeight="1">
      <x:c r="A13" s="13" t="str">
        <x:v>WCAG 2.2 A·AA</x:v>
      </x:c>
      <x:c r="B13" s="17" t="n">
        <x:f>COUNTIFS('02_통합적용대장'!$B$7:$B$303,$A13)</x:f>
        <x:v>55</x:v>
      </x:c>
      <x:c r="C13" s="17" t="n">
        <x:f>COUNTIFS('02_통합적용대장'!$B$7:$B$303,$A13,'02_통합적용대장'!$J$7:$J$303,"적용")</x:f>
        <x:v>48</x:v>
      </x:c>
      <x:c r="D13" s="17" t="n">
        <x:f>COUNTIFS('02_통합적용대장'!$B$7:$B$303,$A13,'02_통합적용대장'!$J$7:$J$303,"조건부")</x:f>
        <x:v>7</x:v>
      </x:c>
      <x:c r="E13" s="17" t="n">
        <x:f>COUNTIFS('02_통합적용대장'!$B$7:$B$303,$A13,'02_통합적용대장'!$J$7:$J$303,"해당없음")</x:f>
        <x:v>0</x:v>
      </x:c>
      <x:c r="F13" s="17" t="n">
        <x:f>COUNTIFS('02_통합적용대장'!$B$7:$B$303,$A13,'02_통합적용대장'!$J$7:$J$303,"확인필요")</x:f>
        <x:v>0</x:v>
      </x:c>
      <x:c r="G13" s="17" t="n">
        <x:f>COUNTIFS('02_통합적용대장'!$B$7:$B$303,$A13,'02_통합적용대장'!$J$7:$J$303,"적용",'02_통합적용대장'!$P$7:$P$303,"구현")</x:f>
        <x:v>0</x:v>
      </x:c>
      <x:c r="H13" s="17" t="n">
        <x:f>COUNTIFS('02_통합적용대장'!$B$7:$B$303,$A13,'02_통합적용대장'!$J$7:$J$303,"적용",'02_통합적용대장'!$Z$7:$Z$303,"통과")</x:f>
        <x:v>0</x:v>
      </x:c>
      <x:c r="I13" s="19" t="n">
        <x:f>IF(C13=0,"산정대상 없음",H13/C13)</x:f>
        <x:v>0</x:v>
      </x:c>
    </x:row>
    <x:row r="14" ht="28.5" customHeight="1">
      <x:c r="A14" s="14" t="str">
        <x:v>포용적 UX</x:v>
      </x:c>
      <x:c r="B14" s="18" t="n">
        <x:f>COUNTIFS('02_통합적용대장'!$B$7:$B$303,$A14)</x:f>
        <x:v>12</x:v>
      </x:c>
      <x:c r="C14" s="18" t="n">
        <x:f>COUNTIFS('02_통합적용대장'!$B$7:$B$303,$A14,'02_통합적용대장'!$J$7:$J$303,"적용")</x:f>
        <x:v>12</x:v>
      </x:c>
      <x:c r="D14" s="18" t="n">
        <x:f>COUNTIFS('02_통합적용대장'!$B$7:$B$303,$A14,'02_통합적용대장'!$J$7:$J$303,"조건부")</x:f>
        <x:v>0</x:v>
      </x:c>
      <x:c r="E14" s="18" t="n">
        <x:f>COUNTIFS('02_통합적용대장'!$B$7:$B$303,$A14,'02_통합적용대장'!$J$7:$J$303,"해당없음")</x:f>
        <x:v>0</x:v>
      </x:c>
      <x:c r="F14" s="18" t="n">
        <x:f>COUNTIFS('02_통합적용대장'!$B$7:$B$303,$A14,'02_통합적용대장'!$J$7:$J$303,"확인필요")</x:f>
        <x:v>0</x:v>
      </x:c>
      <x:c r="G14" s="18" t="n">
        <x:f>COUNTIFS('02_통합적용대장'!$B$7:$B$303,$A14,'02_통합적용대장'!$J$7:$J$303,"적용",'02_통합적용대장'!$P$7:$P$303,"구현")</x:f>
        <x:v>0</x:v>
      </x:c>
      <x:c r="H14" s="18" t="n">
        <x:f>COUNTIFS('02_통합적용대장'!$B$7:$B$303,$A14,'02_통합적용대장'!$J$7:$J$303,"적용",'02_통합적용대장'!$Z$7:$Z$303,"통과")</x:f>
        <x:v>0</x:v>
      </x:c>
      <x:c r="I14" s="20" t="n">
        <x:f>IF(C14=0,"산정대상 없음",H14/C14)</x:f>
        <x:v>0</x:v>
      </x:c>
    </x:row>
    <x:row r="15" ht="28.5" customHeight="1">
      <x:c r="A15" s="13" t="str">
        <x:v>검증·운영·보고</x:v>
      </x:c>
      <x:c r="B15" s="17" t="n">
        <x:f>COUNTIFS('02_통합적용대장'!$B$7:$B$303,$A15)</x:f>
        <x:v>24</x:v>
      </x:c>
      <x:c r="C15" s="17" t="n">
        <x:f>COUNTIFS('02_통합적용대장'!$B$7:$B$303,$A15,'02_통합적용대장'!$J$7:$J$303,"적용")</x:f>
        <x:v>24</x:v>
      </x:c>
      <x:c r="D15" s="17" t="n">
        <x:f>COUNTIFS('02_통합적용대장'!$B$7:$B$303,$A15,'02_통합적용대장'!$J$7:$J$303,"조건부")</x:f>
        <x:v>0</x:v>
      </x:c>
      <x:c r="E15" s="17" t="n">
        <x:f>COUNTIFS('02_통합적용대장'!$B$7:$B$303,$A15,'02_통합적용대장'!$J$7:$J$303,"해당없음")</x:f>
        <x:v>0</x:v>
      </x:c>
      <x:c r="F15" s="17" t="n">
        <x:f>COUNTIFS('02_통합적용대장'!$B$7:$B$303,$A15,'02_통합적용대장'!$J$7:$J$303,"확인필요")</x:f>
        <x:v>0</x:v>
      </x:c>
      <x:c r="G15" s="17" t="n">
        <x:f>COUNTIFS('02_통합적용대장'!$B$7:$B$303,$A15,'02_통합적용대장'!$J$7:$J$303,"적용",'02_통합적용대장'!$P$7:$P$303,"구현")</x:f>
        <x:v>0</x:v>
      </x:c>
      <x:c r="H15" s="17" t="n">
        <x:f>COUNTIFS('02_통합적용대장'!$B$7:$B$303,$A15,'02_통합적용대장'!$J$7:$J$303,"적용",'02_통합적용대장'!$Z$7:$Z$303,"통과")</x:f>
        <x:v>0</x:v>
      </x:c>
      <x:c r="I15" s="19" t="n">
        <x:f>IF(C15=0,"산정대상 없음",H15/C15)</x:f>
        <x:v>0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1" customHeight="1">
      <x:c r="A18" s="4" t="str">
        <x:v>총 297개는 통합 관리행 수입니다. 표준 간 중복이 있어 단일 준수율을 산정하지 않습니다.</x:v>
      </x:c>
      <x:c r="B18" s="2"/>
      <x:c r="C18" s="2"/>
      <x:c r="D18" s="2"/>
      <x:c r="E18" s="2"/>
      <x:c r="F18" s="2"/>
      <x:c r="G18" s="2"/>
      <x:c r="H18" s="2"/>
      <x:c r="I18" s="2"/>
    </x:row>
    <x:row r="19" ht="21" customHeight="1">
      <x:c r="A19" s="4" t="str">
        <x:v>검증완료율 0%는 아직 시험하지 않았다는 뜻입니다. MDR은 확인 전에는 분모가 없습니다.</x:v>
      </x:c>
      <x:c r="B19" s="2"/>
      <x:c r="C19" s="2"/>
      <x:c r="D19" s="2"/>
      <x:c r="E19" s="2"/>
      <x:c r="F19" s="2"/>
      <x:c r="G19" s="2"/>
      <x:c r="H19" s="2"/>
      <x:c r="I19" s="2"/>
    </x:row>
    <x:row r="20" ht="21" customHeight="1">
      <x:c r="A20" s="4" t="str">
        <x:v>통과 집계: 구현 + 필요한 자동/수동 통과 + 구현·시험·증빙 경로 + 검토자·일자.</x:v>
      </x:c>
      <x:c r="B20" s="2"/>
      <x:c r="C20" s="2"/>
      <x:c r="D20" s="2"/>
      <x:c r="E20" s="2"/>
      <x:c r="F20" s="2"/>
      <x:c r="G20" s="2"/>
      <x:c r="H20" s="2"/>
      <x:c r="I20" s="2"/>
    </x:row>
    <x:row r="21" ht="21" customHeight="1">
      <x:c r="A21" s="4" t="str">
        <x:v>회사 편차가 있거나 증빙이 빠지면 통과에 포함하지 않습니다. 외부 인증과 별개입니다.</x:v>
      </x:c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30" customHeight="1">
      <x:c r="A24" s="9" t="str">
        <x:v>참조자료</x:v>
      </x:c>
      <x:c r="B24" s="10" t="str">
        <x:v>수량</x:v>
      </x:c>
      <x:c r="C24" s="10" t="str">
        <x:v>단위</x:v>
      </x:c>
      <x:c r="D24" s="10" t="str">
        <x:v>검토 범위</x:v>
      </x:c>
      <x:c r="E24" s="10" t="str"/>
      <x:c r="F24" s="10" t="str"/>
      <x:c r="G24" s="10" t="str"/>
      <x:c r="H24" s="10" t="str"/>
      <x:c r="I24" s="11" t="str"/>
    </x:row>
    <x:row r="25" ht="25.5" customHeight="1">
      <x:c r="A25" s="2" t="str">
        <x:v>KRDS 번호 문장</x:v>
      </x:c>
      <x:c r="B25" s="2" t="n">
        <x:v>725</x:v>
      </x:c>
      <x:c r="C25" s="2" t="str">
        <x:v>후보</x:v>
      </x:c>
      <x:c r="D25" s="2" t="str">
        <x:v>원문 등급·조건·예외 재확인</x:v>
      </x:c>
      <x:c r="E25" s="2"/>
      <x:c r="F25" s="2"/>
      <x:c r="G25" s="2"/>
      <x:c r="H25" s="2"/>
      <x:c r="I25" s="2"/>
    </x:row>
    <x:row r="26" ht="25.5" customHeight="1">
      <x:c r="A26" s="2" t="str">
        <x:v>KRDS 구조 색인</x:v>
      </x:c>
      <x:c r="B26" s="2" t="n">
        <x:v>103</x:v>
      </x:c>
      <x:c r="C26" s="2" t="str">
        <x:v>섹션</x:v>
      </x:c>
      <x:c r="D26" s="2" t="str">
        <x:v>원칙·스타일·컴포넌트·패턴</x:v>
      </x:c>
      <x:c r="E26" s="2"/>
      <x:c r="F26" s="2"/>
      <x:c r="G26" s="2"/>
      <x:c r="H26" s="2"/>
      <x:c r="I26" s="2"/>
    </x:row>
    <x:row r="27" ht="25.5" customHeight="1">
      <x:c r="A27" s="2" t="str">
        <x:v>KRDS 상호작용</x:v>
      </x:c>
      <x:c r="B27" s="2" t="n">
        <x:v>52</x:v>
      </x:c>
      <x:c r="C27" s="2" t="str">
        <x:v>쪽</x:v>
      </x:c>
      <x:c r="D27" s="2" t="str">
        <x:v>비번호 표·설명 추가 분해</x:v>
      </x:c>
      <x:c r="E27" s="2"/>
      <x:c r="F27" s="2"/>
      <x:c r="G27" s="2"/>
      <x:c r="H27" s="2"/>
      <x:c r="I27" s="2"/>
    </x:row>
    <x:row r="28" ht="25.5" customHeight="1">
      <x:c r="A28" s="2" t="str">
        <x:v>접근성 수동시험</x:v>
      </x:c>
      <x:c r="B28" s="2" t="n">
        <x:v>15</x:v>
      </x:c>
      <x:c r="C28" s="2" t="str">
        <x:v>시나리오</x:v>
      </x:c>
      <x:c r="D28" s="2" t="str">
        <x:v>실제 보조기술·사용자 과업</x:v>
      </x:c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1" customHeight="1">
      <x:c r="A31" s="4" t="str">
        <x:v>샘플 기본안</x:v>
      </x:c>
      <x:c r="B31" s="2"/>
      <x:c r="C31" s="2"/>
      <x:c r="D31" s="2"/>
      <x:c r="E31" s="2"/>
      <x:c r="F31" s="2"/>
      <x:c r="G31" s="2"/>
      <x:c r="H31" s="2"/>
      <x:c r="I31" s="2"/>
    </x:row>
    <x:row r="32" ht="21" customHeight="1">
      <x:c r="A32" s="4" t="str">
        <x:v>회사 브랜드 업무요청·첨부·처리현황. 로그인, 목록, 상세, 단계형 입력, 관리자 처리.</x:v>
      </x:c>
      <x:c r="B32" s="2"/>
      <x:c r="C32" s="2"/>
      <x:c r="D32" s="2"/>
      <x:c r="E32" s="2"/>
      <x:c r="F32" s="2"/>
      <x:c r="G32" s="2"/>
      <x:c r="H32" s="2"/>
      <x:c r="I32" s="2"/>
    </x:row>
    <x:row r="33" ht="21" customHeight="1">
      <x:c r="A33" s="4" t="str">
        <x:v>React + TypeScript / ASP.NET Core .NET 10 LTS / EF Core + SQLite</x:v>
      </x:c>
      <x:c r="B33" s="2"/>
      <x:c r="C33" s="2"/>
      <x:c r="D33" s="2"/>
      <x:c r="E33" s="2"/>
      <x:c r="F33" s="2"/>
      <x:c r="G33" s="2"/>
      <x:c r="H33" s="2"/>
      <x:c r="I33" s="2"/>
    </x:row>
    <x:row r="34" ht="21" customHeight="1">
      <x:c r="A34" s="4" t="str">
        <x:v>웹 8000 · API 8001 · 실제 영속 DB · 정부 공식 배너·기관 식별자 제외</x:v>
      </x:c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1" customHeight="1">
      <x:c r="A37" s="4" t="str">
        <x:v>확인할 사항</x:v>
      </x:c>
      <x:c r="B37" s="2"/>
      <x:c r="C37" s="2"/>
      <x:c r="D37" s="2"/>
      <x:c r="E37" s="2"/>
      <x:c r="F37" s="2"/>
      <x:c r="G37" s="2"/>
      <x:c r="H37" s="2"/>
      <x:c r="I37" s="2"/>
    </x:row>
    <x:row r="38" ht="21" customHeight="1">
      <x:c r="A38" s="4" t="str">
        <x:v>MDR 정식 명칭·판본·대상 언어/제품. 지정 네이버 블로그 본문은 미확보 상태입니다.</x:v>
      </x:c>
      <x:c r="B38" s="2"/>
      <x:c r="C38" s="2"/>
      <x:c r="D38" s="2"/>
      <x:c r="E38" s="2"/>
      <x:c r="F38" s="2"/>
      <x:c r="G38" s="2"/>
      <x:c r="H38" s="2"/>
      <x:c r="I38" s="2"/>
    </x:row>
    <x:row r="39" ht="21" customHeight="1">
      <x:c r="A39" s="4" t="str">
        <x:v>KRDS 725개는 번호 문장 후보이며 전체 비번호 규칙까지 확정한 공식 총수가 아닙니다.</x:v>
      </x:c>
      <x:c r="B39" s="2"/>
      <x:c r="C39" s="2"/>
      <x:c r="D39" s="2"/>
      <x:c r="E39" s="2"/>
      <x:c r="F39" s="2"/>
      <x:c r="G39" s="2"/>
      <x:c r="H39" s="2"/>
      <x:c r="I39" s="2"/>
    </x:row>
    <x:row r="40" ht="21" customHeight="1">
      <x:c r="A40" s="4" t="str">
        <x:v>이 파일에는 실제 구현 증빙이 없습니다. CODEX가 구현·시험 후 같은 원장으로 갱신합니다.</x:v>
      </x:c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mergeCells>
    <x:mergeCell ref="D25:I25"/>
    <x:mergeCell ref="D26:I26"/>
    <x:mergeCell ref="D27:I27"/>
    <x:mergeCell ref="D28:I28"/>
  </x:mergeCells>
  <x:pageMargins left="0.7" right="0.7" top="0.75" bottom="0.75" header="0.3" footer="0.3"/>
  <x:tableParts count="1">
    <x:tablePart xmlns:r="http://schemas.openxmlformats.org/officeDocument/2006/relationships" r:id="R81ea92d46c6d4c96"/>
  </x:tableParts>
</x:worksheet>
</file>

<file path=xl/worksheets/sheet2.xml><?xml version="1.0" encoding="utf-8"?>
<x:worksheet xmlns:x="http://schemas.openxmlformats.org/spreadsheetml/2006/main">
  <x:sheetPr>
    <x:tabColor rgb="FF225D9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.890000343322754" hidden="0" customWidth="1"/>
    <x:col min="2" max="2" width="15.779999732971191" hidden="0" customWidth="1"/>
    <x:col min="3" max="3" width="15.779999732971191" hidden="0" customWidth="1"/>
    <x:col min="4" max="4" width="24.440000534057617" hidden="0" customWidth="1"/>
    <x:col min="5" max="5" width="38.88999938964844" hidden="0" customWidth="1"/>
    <x:col min="6" max="6" width="10" hidden="0" customWidth="1"/>
    <x:col min="7" max="7" width="34.439998626708984" hidden="0" customWidth="1"/>
    <x:col min="8" max="8" width="18.889999389648438" hidden="0" customWidth="1"/>
    <x:col min="9" max="9" width="12.670000076293945" hidden="0" customWidth="1"/>
    <x:col min="10" max="10" width="11.5600004196167" hidden="0" customWidth="1"/>
    <x:col min="11" max="11" width="37.779998779296875" hidden="0" customWidth="1"/>
    <x:col min="12" max="12" width="46.66999816894531" hidden="0" customWidth="1"/>
    <x:col min="13" max="13" width="41.11000061035156" hidden="0" customWidth="1"/>
    <x:col min="14" max="14" width="15" hidden="0" customWidth="1"/>
    <x:col min="15" max="15" width="8.890000343322754" hidden="0" customWidth="1"/>
    <x:col min="16" max="16" width="12" hidden="0" customWidth="1"/>
    <x:col min="17" max="17" width="11.329999923706055" hidden="0" customWidth="1"/>
    <x:col min="18" max="18" width="11.329999923706055" hidden="0" customWidth="1"/>
    <x:col min="19" max="19" width="13.329999923706055" hidden="0" customWidth="1"/>
    <x:col min="20" max="20" width="31.110000610351562" hidden="0" customWidth="1"/>
    <x:col min="21" max="21" width="20" hidden="0" customWidth="1"/>
    <x:col min="22" max="22" width="33.33000183105469" hidden="0" customWidth="1"/>
    <x:col min="23" max="23" width="13.329999923706055" hidden="0" customWidth="1"/>
    <x:col min="24" max="24" width="12.779999732971191" hidden="0" customWidth="1"/>
    <x:col min="25" max="25" width="16.110000610351562" hidden="0" customWidth="1"/>
    <x:col min="26" max="26" width="13.890000343322754" hidden="0" customWidth="1"/>
    <x:col min="27" max="27" width="21.110000610351562" hidden="0" customWidth="1"/>
    <x:col min="28" max="28" width="38.889999389648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1" customHeight="1">
      <x:c r="A2" s="3" t="str">
        <x:v>통합 표준 적용대장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1" customHeight="1">
      <x:c r="A3" s="4" t="str">
        <x:v>회사 승인 전 초안. 노란색 영역에 실제 구현·시험·증빙을 기록합니다.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0" customHeight="1">
      <x:c r="A6" s="9" t="str">
        <x:v>규칙 ID</x:v>
      </x:c>
      <x:c r="B6" s="10" t="str">
        <x:v>표준군</x:v>
      </x:c>
      <x:c r="C6" s="10" t="str">
        <x:v>세부 범주</x:v>
      </x:c>
      <x:c r="D6" s="10" t="str">
        <x:v>항목명</x:v>
      </x:c>
      <x:c r="E6" s="10" t="str">
        <x:v>요구사항</x:v>
      </x:c>
      <x:c r="F6" s="10" t="str">
        <x:v>출처 ID</x:v>
      </x:c>
      <x:c r="G6" s="10" t="str">
        <x:v>조항 / 페이지</x:v>
      </x:c>
      <x:c r="H6" s="10" t="str">
        <x:v>원문 수준</x:v>
      </x:c>
      <x:c r="I6" s="10" t="str">
        <x:v>사내 수준</x:v>
      </x:c>
      <x:c r="J6" s="10" t="str">
        <x:v>적용성</x:v>
      </x:c>
      <x:c r="K6" s="10" t="str">
        <x:v>적용·제외 사유</x:v>
      </x:c>
      <x:c r="L6" s="10" t="str">
        <x:v>구현 계획</x:v>
      </x:c>
      <x:c r="M6" s="10" t="str">
        <x:v>검증 방법</x:v>
      </x:c>
      <x:c r="N6" s="10" t="str">
        <x:v>담당 역할</x:v>
      </x:c>
      <x:c r="O6" s="10" t="str">
        <x:v>우선순위</x:v>
      </x:c>
      <x:c r="P6" s="10" t="str">
        <x:v>구현 상태</x:v>
      </x:c>
      <x:c r="Q6" s="10" t="str">
        <x:v>자동 검증</x:v>
      </x:c>
      <x:c r="R6" s="10" t="str">
        <x:v>수동 검증</x:v>
      </x:c>
      <x:c r="S6" s="10" t="str">
        <x:v>필요 검증</x:v>
      </x:c>
      <x:c r="T6" s="10" t="str">
        <x:v>구현 파일 / 문서</x:v>
      </x:c>
      <x:c r="U6" s="10" t="str">
        <x:v>시험 ID</x:v>
      </x:c>
      <x:c r="V6" s="10" t="str">
        <x:v>증빙 ID / 경로</x:v>
      </x:c>
      <x:c r="W6" s="10" t="str">
        <x:v>검토자</x:v>
      </x:c>
      <x:c r="X6" s="10" t="str">
        <x:v>검토일</x:v>
      </x:c>
      <x:c r="Y6" s="10" t="str">
        <x:v>회사 편차 ID</x:v>
      </x:c>
      <x:c r="Z6" s="10" t="str">
        <x:v>종합 판정</x:v>
      </x:c>
      <x:c r="AA6" s="10" t="str">
        <x:v>관련 원문 / 기준</x:v>
      </x:c>
      <x:c r="AB6" s="11" t="str">
        <x:v>범위·주의사항</x:v>
      </x:c>
    </x:row>
    <x:row r="7" ht="37.5" customHeight="1">
      <x:c r="A7" s="13" t="str">
        <x:v>GOV-001</x:v>
      </x:c>
      <x:c r="B7" s="13" t="str">
        <x:v>표준 운영</x:v>
      </x:c>
      <x:c r="C7" s="13" t="str">
        <x:v>표준 운영</x:v>
      </x:c>
      <x:c r="D7" s="13" t="str">
        <x:v>출처·버전 고정</x:v>
      </x:c>
      <x:c r="E7" s="13" t="str">
        <x:v>표준명·발행처·판본·참조일·적용대상과 원문 위치를 기록한다.</x:v>
      </x:c>
      <x:c r="F7" s="13" t="str">
        <x:v>SRC-007</x:v>
      </x:c>
      <x:c r="G7" s="13" t="str">
        <x:v>세부 조항 직접 인용 아님</x:v>
      </x:c>
      <x:c r="H7" s="13" t="str">
        <x:v>해당없음(사내 기준)</x:v>
      </x:c>
      <x:c r="I7" s="13" t="str">
        <x:v>MUST(안)</x:v>
      </x:c>
      <x:c r="J7" s="13" t="str">
        <x:v>적용</x:v>
      </x:c>
      <x:c r="K7" s="13" t="str">
        <x:v>현재 샘플의 회사 필수 기준으로 채택 제안</x:v>
      </x:c>
      <x:c r="L7" s="13" t="str">
        <x:v>standards/catalog.json 및 SOURCES.md에 관리하고 수정 시 변경이력을 남긴다.</x:v>
      </x:c>
      <x:c r="M7" s="13" t="str">
        <x:v>원문과 카탈로그 버전·링크·페이지를 대조한다.</x:v>
      </x:c>
      <x:c r="N7" s="13" t="str">
        <x:v>개발·QA</x:v>
      </x:c>
      <x:c r="O7" s="13" t="str">
        <x:v>P1</x:v>
      </x:c>
      <x:c r="P7" s="15" t="str">
        <x:v>계획</x:v>
      </x:c>
      <x:c r="Q7" s="15" t="str">
        <x:v>미실행</x:v>
      </x:c>
      <x:c r="R7" s="15" t="str">
        <x:v>미실행</x:v>
      </x:c>
      <x:c r="S7" s="15" t="str">
        <x:v>자동+수동</x:v>
      </x:c>
      <x:c r="T7" s="15" t="str"/>
      <x:c r="U7" s="15" t="str"/>
      <x:c r="V7" s="15" t="str"/>
      <x:c r="W7" s="15" t="str"/>
      <x:c r="X7" s="16" t="str"/>
      <x:c r="Y7" s="15" t="str"/>
      <x:c r="Z7" s="13" t="str">
        <x:f>IF(J7&lt;&gt;"적용","산정제외",IF(OR(Q7="실패",R7="실패"),"실패",IF(AND(P7="구현",T7&lt;&gt;"",U7&lt;&gt;"",V7&lt;&gt;"",W7&lt;&gt;"",ISNUMBER(X7),Y7="",OR(S7="수동",Q7="통과"),OR(S7="자동",R7="통과")),"통과","미검증")))</x:f>
        <x:v>미검증</x:v>
      </x:c>
      <x:c r="AA7" s="13" t="str"/>
      <x:c r="AB7" s="13" t="str">
        <x:v>S01~S08 / 공통</x:v>
      </x:c>
    </x:row>
    <x:row r="8" ht="37.5" customHeight="1">
      <x:c r="A8" s="14" t="str">
        <x:v>GOV-002</x:v>
      </x:c>
      <x:c r="B8" s="14" t="str">
        <x:v>표준 운영</x:v>
      </x:c>
      <x:c r="C8" s="14" t="str">
        <x:v>표준 운영</x:v>
      </x:c>
      <x:c r="D8" s="14" t="str">
        <x:v>적용성·의무수준 분리</x:v>
      </x:c>
      <x:c r="E8" s="14" t="str">
        <x:v>법령·계약 요구, 외부 표준 권고, 사내 MUST/SHOULD를 구분한다.</x:v>
      </x:c>
      <x:c r="F8" s="14" t="str">
        <x:v>SRC-003</x:v>
      </x:c>
      <x:c r="G8" s="14" t="str">
        <x:v>세부 조항 직접 인용 아님</x:v>
      </x:c>
      <x:c r="H8" s="14" t="str">
        <x:v>해당없음(사내 기준)</x:v>
      </x:c>
      <x:c r="I8" s="14" t="str">
        <x:v>MUST(안)</x:v>
      </x:c>
      <x:c r="J8" s="14" t="str">
        <x:v>적용</x:v>
      </x:c>
      <x:c r="K8" s="14" t="str">
        <x:v>현재 샘플의 회사 필수 기준으로 채택 제안</x:v>
      </x:c>
      <x:c r="L8" s="14" t="str">
        <x:v>각 규칙에 근거성격, 의무수준, 언어/기능 조건, 적용여부를 둔다.</x:v>
      </x:c>
      <x:c r="M8" s="14" t="str">
        <x:v>적용/조건부/해당없음/확인필요에 근거가 있는지 검토한다.</x:v>
      </x:c>
      <x:c r="N8" s="14" t="str">
        <x:v>개발·QA</x:v>
      </x:c>
      <x:c r="O8" s="14" t="str">
        <x:v>P1</x:v>
      </x:c>
      <x:c r="P8" s="15" t="str">
        <x:v>계획</x:v>
      </x:c>
      <x:c r="Q8" s="15" t="str">
        <x:v>미실행</x:v>
      </x:c>
      <x:c r="R8" s="15" t="str">
        <x:v>미실행</x:v>
      </x:c>
      <x:c r="S8" s="15" t="str">
        <x:v>자동+수동</x:v>
      </x:c>
      <x:c r="T8" s="15" t="str"/>
      <x:c r="U8" s="15" t="str"/>
      <x:c r="V8" s="15" t="str"/>
      <x:c r="W8" s="15" t="str"/>
      <x:c r="X8" s="16" t="str"/>
      <x:c r="Y8" s="15" t="str"/>
      <x:c r="Z8" s="14" t="str">
        <x:f>IF(J8&lt;&gt;"적용","산정제외",IF(OR(Q8="실패",R8="실패"),"실패",IF(AND(P8="구현",T8&lt;&gt;"",U8&lt;&gt;"",V8&lt;&gt;"",W8&lt;&gt;"",ISNUMBER(X8),Y8="",OR(S8="수동",Q8="통과"),OR(S8="자동",R8="통과")),"통과","미검증")))</x:f>
        <x:v>미검증</x:v>
      </x:c>
      <x:c r="AA8" s="14" t="str"/>
      <x:c r="AB8" s="14" t="str">
        <x:v>S01~S08 / 공통</x:v>
      </x:c>
    </x:row>
    <x:row r="9" ht="37.5" customHeight="1">
      <x:c r="A9" s="13" t="str">
        <x:v>GOV-003</x:v>
      </x:c>
      <x:c r="B9" s="13" t="str">
        <x:v>표준 운영</x:v>
      </x:c>
      <x:c r="C9" s="13" t="str">
        <x:v>표준 운영</x:v>
      </x:c>
      <x:c r="D9" s="13" t="str">
        <x:v>예외 승인</x:v>
      </x:c>
      <x:c r="E9" s="13" t="str">
        <x:v>예외 사유·위험·대체통제·승인자·만료일을 기록한다.</x:v>
      </x:c>
      <x:c r="F9" s="13" t="str">
        <x:v>SRC-007</x:v>
      </x:c>
      <x:c r="G9" s="13" t="str">
        <x:v>세부 조항 직접 인용 아님</x:v>
      </x:c>
      <x:c r="H9" s="13" t="str">
        <x:v>해당없음(사내 기준)</x:v>
      </x:c>
      <x:c r="I9" s="13" t="str">
        <x:v>MUST(안)</x:v>
      </x:c>
      <x:c r="J9" s="13" t="str">
        <x:v>적용</x:v>
      </x:c>
      <x:c r="K9" s="13" t="str">
        <x:v>현재 샘플의 회사 필수 기준으로 채택 제안</x:v>
      </x:c>
      <x:c r="L9" s="13" t="str">
        <x:v>deviations.json과 CI의 승인된 예외만 연결한다. 도구 오탐도 별도 판정한다.</x:v>
      </x:c>
      <x:c r="M9" s="13" t="str">
        <x:v>기한 만료·사유 누락·광범위한 무근거 suppression을 실패 처리한다.</x:v>
      </x:c>
      <x:c r="N9" s="13" t="str">
        <x:v>개발·QA</x:v>
      </x:c>
      <x:c r="O9" s="13" t="str">
        <x:v>P1</x:v>
      </x:c>
      <x:c r="P9" s="15" t="str">
        <x:v>계획</x:v>
      </x:c>
      <x:c r="Q9" s="15" t="str">
        <x:v>미실행</x:v>
      </x:c>
      <x:c r="R9" s="15" t="str">
        <x:v>미실행</x:v>
      </x:c>
      <x:c r="S9" s="15" t="str">
        <x:v>자동+수동</x:v>
      </x:c>
      <x:c r="T9" s="15" t="str"/>
      <x:c r="U9" s="15" t="str"/>
      <x:c r="V9" s="15" t="str"/>
      <x:c r="W9" s="15" t="str"/>
      <x:c r="X9" s="16" t="str"/>
      <x:c r="Y9" s="15" t="str"/>
      <x:c r="Z9" s="13" t="str">
        <x:f>IF(J9&lt;&gt;"적용","산정제외",IF(OR(Q9="실패",R9="실패"),"실패",IF(AND(P9="구현",T9&lt;&gt;"",U9&lt;&gt;"",V9&lt;&gt;"",W9&lt;&gt;"",ISNUMBER(X9),Y9="",OR(S9="수동",Q9="통과"),OR(S9="자동",R9="통과")),"통과","미검증")))</x:f>
        <x:v>미검증</x:v>
      </x:c>
      <x:c r="AA9" s="13" t="str"/>
      <x:c r="AB9" s="13" t="str">
        <x:v>S01~S08 / 공통</x:v>
      </x:c>
    </x:row>
    <x:row r="10" ht="37.5" customHeight="1">
      <x:c r="A10" s="14" t="str">
        <x:v>GOV-004</x:v>
      </x:c>
      <x:c r="B10" s="14" t="str">
        <x:v>표준 운영</x:v>
      </x:c>
      <x:c r="C10" s="14" t="str">
        <x:v>표준 운영</x:v>
      </x:c>
      <x:c r="D10" s="14" t="str">
        <x:v>요구사항 추적</x:v>
      </x:c>
      <x:c r="E10" s="14" t="str">
        <x:v>표준 ID에서 화면·코드·테스트·증빙까지 추적한다.</x:v>
      </x:c>
      <x:c r="F10" s="14" t="str">
        <x:v>SRC-003</x:v>
      </x:c>
      <x:c r="G10" s="14" t="str">
        <x:v>세부 조항 직접 인용 아님</x:v>
      </x:c>
      <x:c r="H10" s="14" t="str">
        <x:v>해당없음(사내 기준)</x:v>
      </x:c>
      <x:c r="I10" s="14" t="str">
        <x:v>MUST(안)</x:v>
      </x:c>
      <x:c r="J10" s="14" t="str">
        <x:v>적용</x:v>
      </x:c>
      <x:c r="K10" s="14" t="str">
        <x:v>현재 샘플의 회사 필수 기준으로 채택 제안</x:v>
      </x:c>
      <x:c r="L10" s="14" t="str">
        <x:v>표준-기능-컴포넌트-파일경로-시험ID-증빙ID 매핑을 한 원장으로 관리한다.</x:v>
      </x:c>
      <x:c r="M10" s="14" t="str">
        <x:v>Excel과 보고서의 동일 ID 및 깨진 경로를 검사한다.</x:v>
      </x:c>
      <x:c r="N10" s="14" t="str">
        <x:v>개발·QA</x:v>
      </x:c>
      <x:c r="O10" s="14" t="str">
        <x:v>P1</x:v>
      </x:c>
      <x:c r="P10" s="15" t="str">
        <x:v>계획</x:v>
      </x:c>
      <x:c r="Q10" s="15" t="str">
        <x:v>미실행</x:v>
      </x:c>
      <x:c r="R10" s="15" t="str">
        <x:v>미실행</x:v>
      </x:c>
      <x:c r="S10" s="15" t="str">
        <x:v>자동+수동</x:v>
      </x:c>
      <x:c r="T10" s="15" t="str"/>
      <x:c r="U10" s="15" t="str"/>
      <x:c r="V10" s="15" t="str"/>
      <x:c r="W10" s="15" t="str"/>
      <x:c r="X10" s="16" t="str"/>
      <x:c r="Y10" s="15" t="str"/>
      <x:c r="Z10" s="14" t="str">
        <x:f>IF(J10&lt;&gt;"적용","산정제외",IF(OR(Q10="실패",R10="실패"),"실패",IF(AND(P10="구현",T10&lt;&gt;"",U10&lt;&gt;"",V10&lt;&gt;"",W10&lt;&gt;"",ISNUMBER(X10),Y10="",OR(S10="수동",Q10="통과"),OR(S10="자동",R10="통과")),"통과","미검증")))</x:f>
        <x:v>미검증</x:v>
      </x:c>
      <x:c r="AA10" s="14" t="str"/>
      <x:c r="AB10" s="14" t="str">
        <x:v>S01~S08 / 공통</x:v>
      </x:c>
    </x:row>
    <x:row r="11" ht="37.5" customHeight="1">
      <x:c r="A11" s="13" t="str">
        <x:v>GOV-005</x:v>
      </x:c>
      <x:c r="B11" s="13" t="str">
        <x:v>표준 운영</x:v>
      </x:c>
      <x:c r="C11" s="13" t="str">
        <x:v>표준 운영</x:v>
      </x:c>
      <x:c r="D11" s="13" t="str">
        <x:v>리뷰·변경관리</x:v>
      </x:c>
      <x:c r="E11" s="13" t="str">
        <x:v>위험도에 따라 리뷰하고 표준·코드·검사설정 변경을 함께 검토한다.</x:v>
      </x:c>
      <x:c r="F11" s="13" t="str">
        <x:v>SRC-007</x:v>
      </x:c>
      <x:c r="G11" s="13" t="str">
        <x:v>세부 조항 직접 인용 아님</x:v>
      </x:c>
      <x:c r="H11" s="13" t="str">
        <x:v>해당없음(사내 기준)</x:v>
      </x:c>
      <x:c r="I11" s="13" t="str">
        <x:v>MUST(안)</x:v>
      </x:c>
      <x:c r="J11" s="13" t="str">
        <x:v>적용</x:v>
      </x:c>
      <x:c r="K11" s="13" t="str">
        <x:v>현재 샘플의 회사 필수 기준으로 채택 제안</x:v>
      </x:c>
      <x:c r="L11" s="13" t="str">
        <x:v>PR 템플릿에 영향규칙·검증·예외를 넣고 인증·권한 변경은 지정 검토자가 확인한다.</x:v>
      </x:c>
      <x:c r="M11" s="13" t="str">
        <x:v>리뷰 기록과 변경된 기준 파일을 대조한다.</x:v>
      </x:c>
      <x:c r="N11" s="13" t="str">
        <x:v>개발·QA</x:v>
      </x:c>
      <x:c r="O11" s="13" t="str">
        <x:v>P1</x:v>
      </x:c>
      <x:c r="P11" s="15" t="str">
        <x:v>계획</x:v>
      </x:c>
      <x:c r="Q11" s="15" t="str">
        <x:v>미실행</x:v>
      </x:c>
      <x:c r="R11" s="15" t="str">
        <x:v>미실행</x:v>
      </x:c>
      <x:c r="S11" s="15" t="str">
        <x:v>자동+수동</x:v>
      </x:c>
      <x:c r="T11" s="15" t="str"/>
      <x:c r="U11" s="15" t="str"/>
      <x:c r="V11" s="15" t="str"/>
      <x:c r="W11" s="15" t="str"/>
      <x:c r="X11" s="16" t="str"/>
      <x:c r="Y11" s="15" t="str"/>
      <x:c r="Z11" s="13" t="str">
        <x:f>IF(J11&lt;&gt;"적용","산정제외",IF(OR(Q11="실패",R11="실패"),"실패",IF(AND(P11="구현",T11&lt;&gt;"",U11&lt;&gt;"",V11&lt;&gt;"",W11&lt;&gt;"",ISNUMBER(X11),Y11="",OR(S11="수동",Q11="통과"),OR(S11="자동",R11="통과")),"통과","미검증")))</x:f>
        <x:v>미검증</x:v>
      </x:c>
      <x:c r="AA11" s="13" t="str"/>
      <x:c r="AB11" s="13" t="str">
        <x:v>S01, S05</x:v>
      </x:c>
    </x:row>
    <x:row r="12" ht="37.5" customHeight="1">
      <x:c r="A12" s="14" t="str">
        <x:v>GOV-006</x:v>
      </x:c>
      <x:c r="B12" s="14" t="str">
        <x:v>표준 운영</x:v>
      </x:c>
      <x:c r="C12" s="14" t="str">
        <x:v>표준 운영</x:v>
      </x:c>
      <x:c r="D12" s="14" t="str">
        <x:v>재현 가능한 빌드</x:v>
      </x:c>
      <x:c r="E12" s="14" t="str">
        <x:v>SDK·패키지·도구 버전을 고정하고 깨끗한 환경에서 빌드한다.</x:v>
      </x:c>
      <x:c r="F12" s="14" t="str">
        <x:v>SRC-007</x:v>
      </x:c>
      <x:c r="G12" s="14" t="str">
        <x:v>세부 조항 직접 인용 아님</x:v>
      </x:c>
      <x:c r="H12" s="14" t="str">
        <x:v>해당없음(사내 기준)</x:v>
      </x:c>
      <x:c r="I12" s="14" t="str">
        <x:v>MUST(안)</x:v>
      </x:c>
      <x:c r="J12" s="14" t="str">
        <x:v>적용</x:v>
      </x:c>
      <x:c r="K12" s="14" t="str">
        <x:v>현재 샘플의 회사 필수 기준으로 채택 제안</x:v>
      </x:c>
      <x:c r="L12" s="14" t="str">
        <x:v>global.json, 패키지 잠금파일, CI 런타임 버전과 실행명령을 기록한다.</x:v>
      </x:c>
      <x:c r="M12" s="14" t="str">
        <x:v>새 작업 디렉터리에서 잠금파일을 이용해 복원·빌드한다.</x:v>
      </x:c>
      <x:c r="N12" s="14" t="str">
        <x:v>개발·QA</x:v>
      </x:c>
      <x:c r="O12" s="14" t="str">
        <x:v>P1</x:v>
      </x:c>
      <x:c r="P12" s="15" t="str">
        <x:v>계획</x:v>
      </x:c>
      <x:c r="Q12" s="15" t="str">
        <x:v>미실행</x:v>
      </x:c>
      <x:c r="R12" s="15" t="str">
        <x:v>미실행</x:v>
      </x:c>
      <x:c r="S12" s="15" t="str">
        <x:v>자동+수동</x:v>
      </x:c>
      <x:c r="T12" s="15" t="str"/>
      <x:c r="U12" s="15" t="str"/>
      <x:c r="V12" s="15" t="str"/>
      <x:c r="W12" s="15" t="str"/>
      <x:c r="X12" s="16" t="str"/>
      <x:c r="Y12" s="15" t="str"/>
      <x:c r="Z12" s="14" t="str">
        <x:f>IF(J12&lt;&gt;"적용","산정제외",IF(OR(Q12="실패",R12="실패"),"실패",IF(AND(P12="구현",T12&lt;&gt;"",U12&lt;&gt;"",V12&lt;&gt;"",W12&lt;&gt;"",ISNUMBER(X12),Y12="",OR(S12="수동",Q12="통과"),OR(S12="자동",R12="통과")),"통과","미검증")))</x:f>
        <x:v>미검증</x:v>
      </x:c>
      <x:c r="AA12" s="14" t="str"/>
      <x:c r="AB12" s="14" t="str">
        <x:v>S01~S08 / 공통</x:v>
      </x:c>
    </x:row>
    <x:row r="13" ht="37.5" customHeight="1">
      <x:c r="A13" s="13" t="str">
        <x:v>GOV-007</x:v>
      </x:c>
      <x:c r="B13" s="13" t="str">
        <x:v>표준 운영</x:v>
      </x:c>
      <x:c r="C13" s="13" t="str">
        <x:v>표준 운영</x:v>
      </x:c>
      <x:c r="D13" s="13" t="str">
        <x:v>검증 상태의 진실성</x:v>
      </x:c>
      <x:c r="E13" s="13" t="str">
        <x:v>미실행을 성공으로 기록하지 않고 자동·수동 검증을 구별한다.</x:v>
      </x:c>
      <x:c r="F13" s="13" t="str">
        <x:v>SRC-003</x:v>
      </x:c>
      <x:c r="G13" s="13" t="str">
        <x:v>세부 조항 직접 인용 아님</x:v>
      </x:c>
      <x:c r="H13" s="13" t="str">
        <x:v>해당없음(사내 기준)</x:v>
      </x:c>
      <x:c r="I13" s="13" t="str">
        <x:v>MUST(안)</x:v>
      </x:c>
      <x:c r="J13" s="13" t="str">
        <x:v>적용</x:v>
      </x:c>
      <x:c r="K13" s="13" t="str">
        <x:v>현재 샘플의 회사 필수 기준으로 채택 제안</x:v>
      </x:c>
      <x:c r="L13" s="13" t="str">
        <x:v>실행시각·commit·환경·도구버전·명령·종료코드·원시결과를 보존한다.</x:v>
      </x:c>
      <x:c r="M13" s="13" t="str">
        <x:v>통과 항목에 실제 증빙이 있는지와 수동시험의 검사자 기록을 확인한다.</x:v>
      </x:c>
      <x:c r="N13" s="13" t="str">
        <x:v>개발·QA</x:v>
      </x:c>
      <x:c r="O13" s="13" t="str">
        <x:v>P1</x:v>
      </x:c>
      <x:c r="P13" s="15" t="str">
        <x:v>계획</x:v>
      </x:c>
      <x:c r="Q13" s="15" t="str">
        <x:v>미실행</x:v>
      </x:c>
      <x:c r="R13" s="15" t="str">
        <x:v>미실행</x:v>
      </x:c>
      <x:c r="S13" s="15" t="str">
        <x:v>자동+수동</x:v>
      </x:c>
      <x:c r="T13" s="15" t="str"/>
      <x:c r="U13" s="15" t="str"/>
      <x:c r="V13" s="15" t="str"/>
      <x:c r="W13" s="15" t="str"/>
      <x:c r="X13" s="16" t="str"/>
      <x:c r="Y13" s="15" t="str"/>
      <x:c r="Z13" s="13" t="str">
        <x:f>IF(J13&lt;&gt;"적용","산정제외",IF(OR(Q13="실패",R13="실패"),"실패",IF(AND(P13="구현",T13&lt;&gt;"",U13&lt;&gt;"",V13&lt;&gt;"",W13&lt;&gt;"",ISNUMBER(X13),Y13="",OR(S13="수동",Q13="통과"),OR(S13="자동",R13="통과")),"통과","미검증")))</x:f>
        <x:v>미검증</x:v>
      </x:c>
      <x:c r="AA13" s="13" t="str"/>
      <x:c r="AB13" s="13" t="str">
        <x:v>S01~S08 / 공통</x:v>
      </x:c>
    </x:row>
    <x:row r="14" ht="37.5" customHeight="1">
      <x:c r="A14" s="14" t="str">
        <x:v>GOV-008</x:v>
      </x:c>
      <x:c r="B14" s="14" t="str">
        <x:v>표준 운영</x:v>
      </x:c>
      <x:c r="C14" s="14" t="str">
        <x:v>표준 운영</x:v>
      </x:c>
      <x:c r="D14" s="14" t="str">
        <x:v>취약점 후속조치</x:v>
      </x:c>
      <x:c r="E14" s="14" t="str">
        <x:v>발견·판정·수정·재검증·릴리스까지 취약점 상태를 관리한다.</x:v>
      </x:c>
      <x:c r="F14" s="14" t="str">
        <x:v>SRC-007</x:v>
      </x:c>
      <x:c r="G14" s="14" t="str">
        <x:v>세부 조항 직접 인용 아님</x:v>
      </x:c>
      <x:c r="H14" s="14" t="str">
        <x:v>해당없음(사내 기준)</x:v>
      </x:c>
      <x:c r="I14" s="14" t="str">
        <x:v>MUST(안)</x:v>
      </x:c>
      <x:c r="J14" s="14" t="str">
        <x:v>적용</x:v>
      </x:c>
      <x:c r="K14" s="14" t="str">
        <x:v>현재 샘플의 회사 필수 기준으로 채택 제안</x:v>
      </x:c>
      <x:c r="L14" s="14" t="str">
        <x:v>심각도별 대응기한은 사내 승인값으로 두고 예외에는 대체통제를 명시한다.</x:v>
      </x:c>
      <x:c r="M14" s="14" t="str">
        <x:v>미해결 위험 목록과 수정 후 재실행 결과를 대조한다.</x:v>
      </x:c>
      <x:c r="N14" s="14" t="str">
        <x:v>개발·QA</x:v>
      </x:c>
      <x:c r="O14" s="14" t="str">
        <x:v>P1</x:v>
      </x:c>
      <x:c r="P14" s="15" t="str">
        <x:v>계획</x:v>
      </x:c>
      <x:c r="Q14" s="15" t="str">
        <x:v>미실행</x:v>
      </x:c>
      <x:c r="R14" s="15" t="str">
        <x:v>미실행</x:v>
      </x:c>
      <x:c r="S14" s="15" t="str">
        <x:v>자동+수동</x:v>
      </x:c>
      <x:c r="T14" s="15" t="str"/>
      <x:c r="U14" s="15" t="str"/>
      <x:c r="V14" s="15" t="str"/>
      <x:c r="W14" s="15" t="str"/>
      <x:c r="X14" s="16" t="str"/>
      <x:c r="Y14" s="15" t="str"/>
      <x:c r="Z14" s="14" t="str">
        <x:f>IF(J14&lt;&gt;"적용","산정제외",IF(OR(Q14="실패",R14="실패"),"실패",IF(AND(P14="구현",T14&lt;&gt;"",U14&lt;&gt;"",V14&lt;&gt;"",W14&lt;&gt;"",ISNUMBER(X14),Y14="",OR(S14="수동",Q14="통과"),OR(S14="자동",R14="통과")),"통과","미검증")))</x:f>
        <x:v>미검증</x:v>
      </x:c>
      <x:c r="AA14" s="14" t="str"/>
      <x:c r="AB14" s="14" t="str">
        <x:v>S01~S08 / 공통</x:v>
      </x:c>
    </x:row>
    <x:row r="15" ht="37.5" customHeight="1">
      <x:c r="A15" s="13" t="str">
        <x:v>COD-001</x:v>
      </x:c>
      <x:c r="B15" s="13" t="str">
        <x:v>코딩</x:v>
      </x:c>
      <x:c r="C15" s="13" t="str">
        <x:v>코딩</x:v>
      </x:c>
      <x:c r="D15" s="13" t="str">
        <x:v>엄격한 타입 검사</x:v>
      </x:c>
      <x:c r="E15" s="13" t="str">
        <x:v>TypeScript strict를 적용하고 타입 우회를 제한한다.</x:v>
      </x:c>
      <x:c r="F15" s="13" t="str">
        <x:v>SRC-008</x:v>
      </x:c>
      <x:c r="G15" s="13" t="str">
        <x:v>세부 조항 직접 인용 아님</x:v>
      </x:c>
      <x:c r="H15" s="13" t="str">
        <x:v>해당없음(사내 기준)</x:v>
      </x:c>
      <x:c r="I15" s="13" t="str">
        <x:v>MUST(안)</x:v>
      </x:c>
      <x:c r="J15" s="13" t="str">
        <x:v>적용</x:v>
      </x:c>
      <x:c r="K15" s="13" t="str">
        <x:v>현재 샘플의 회사 필수 기준으로 채택 제안</x:v>
      </x:c>
      <x:c r="L15" s="13" t="str">
        <x:v>strict=true, 경계 입력은 unknown으로 받아 검증 후 좁힌다. any·ts-ignore에는 근거를 요구한다.</x:v>
      </x:c>
      <x:c r="M15" s="13" t="str">
        <x:v>tsc --noEmit 및 타입 린트 결과를 저장한다.</x:v>
      </x:c>
      <x:c r="N15" s="13" t="str">
        <x:v>개발·QA</x:v>
      </x:c>
      <x:c r="O15" s="13" t="str">
        <x:v>P1</x:v>
      </x:c>
      <x:c r="P15" s="15" t="str">
        <x:v>계획</x:v>
      </x:c>
      <x:c r="Q15" s="15" t="str">
        <x:v>미실행</x:v>
      </x:c>
      <x:c r="R15" s="15" t="str">
        <x:v>미실행</x:v>
      </x:c>
      <x:c r="S15" s="15" t="str">
        <x:v>자동+수동</x:v>
      </x:c>
      <x:c r="T15" s="15" t="str"/>
      <x:c r="U15" s="15" t="str"/>
      <x:c r="V15" s="15" t="str"/>
      <x:c r="W15" s="15" t="str"/>
      <x:c r="X15" s="16" t="str"/>
      <x:c r="Y15" s="15" t="str"/>
      <x:c r="Z15" s="13" t="str">
        <x:f>IF(J15&lt;&gt;"적용","산정제외",IF(OR(Q15="실패",R15="실패"),"실패",IF(AND(P15="구현",T15&lt;&gt;"",U15&lt;&gt;"",V15&lt;&gt;"",W15&lt;&gt;"",ISNUMBER(X15),Y15="",OR(S15="수동",Q15="통과"),OR(S15="자동",R15="통과")),"통과","미검증")))</x:f>
        <x:v>미검증</x:v>
      </x:c>
      <x:c r="AA15" s="13" t="str"/>
      <x:c r="AB15" s="13" t="str">
        <x:v>S05</x:v>
      </x:c>
    </x:row>
    <x:row r="16" ht="37.5" customHeight="1">
      <x:c r="A16" s="14" t="str">
        <x:v>COD-002</x:v>
      </x:c>
      <x:c r="B16" s="14" t="str">
        <x:v>코딩</x:v>
      </x:c>
      <x:c r="C16" s="14" t="str">
        <x:v>코딩</x:v>
      </x:c>
      <x:c r="D16" s="14" t="str">
        <x:v>명명 규칙</x:v>
      </x:c>
      <x:c r="E16" s="14" t="str">
        <x:v>언어별 명명법과 파일·폴더 규칙을 고정한다.</x:v>
      </x:c>
      <x:c r="F16" s="14" t="str">
        <x:v>SRC-003</x:v>
      </x:c>
      <x:c r="G16" s="14" t="str">
        <x:v>세부 조항 직접 인용 아님</x:v>
      </x:c>
      <x:c r="H16" s="14" t="str">
        <x:v>해당없음(사내 기준)</x:v>
      </x:c>
      <x:c r="I16" s="14" t="str">
        <x:v>MUST(안)</x:v>
      </x:c>
      <x:c r="J16" s="14" t="str">
        <x:v>적용</x:v>
      </x:c>
      <x:c r="K16" s="14" t="str">
        <x:v>현재 샘플의 회사 필수 기준으로 채택 제안</x:v>
      </x:c>
      <x:c r="L16" s="14" t="str">
        <x:v>TS 컴포넌트/타입 PascalCase, 변수/함수 camelCase. C#은 별도 언어 프로파일을 사용한다.</x:v>
      </x:c>
      <x:c r="M16" s="14" t="str">
        <x:v>린터·에디터 설정과 코드 표본을 확인한다.</x:v>
      </x:c>
      <x:c r="N16" s="14" t="str">
        <x:v>개발·QA</x:v>
      </x:c>
      <x:c r="O16" s="14" t="str">
        <x:v>P1</x:v>
      </x:c>
      <x:c r="P16" s="15" t="str">
        <x:v>계획</x:v>
      </x:c>
      <x:c r="Q16" s="15" t="str">
        <x:v>미실행</x:v>
      </x:c>
      <x:c r="R16" s="15" t="str">
        <x:v>미실행</x:v>
      </x:c>
      <x:c r="S16" s="15" t="str">
        <x:v>자동+수동</x:v>
      </x:c>
      <x:c r="T16" s="15" t="str"/>
      <x:c r="U16" s="15" t="str"/>
      <x:c r="V16" s="15" t="str"/>
      <x:c r="W16" s="15" t="str"/>
      <x:c r="X16" s="16" t="str"/>
      <x:c r="Y16" s="15" t="str"/>
      <x:c r="Z16" s="14" t="str">
        <x:f>IF(J16&lt;&gt;"적용","산정제외",IF(OR(Q16="실패",R16="실패"),"실패",IF(AND(P16="구현",T16&lt;&gt;"",U16&lt;&gt;"",V16&lt;&gt;"",W16&lt;&gt;"",ISNUMBER(X16),Y16="",OR(S16="수동",Q16="통과"),OR(S16="자동",R16="통과")),"통과","미검증")))</x:f>
        <x:v>미검증</x:v>
      </x:c>
      <x:c r="AA16" s="14" t="str"/>
      <x:c r="AB16" s="14" t="str">
        <x:v>S01~S08 / 공통</x:v>
      </x:c>
    </x:row>
    <x:row r="17" ht="37.5" customHeight="1">
      <x:c r="A17" s="13" t="str">
        <x:v>COD-003</x:v>
      </x:c>
      <x:c r="B17" s="13" t="str">
        <x:v>코딩</x:v>
      </x:c>
      <x:c r="C17" s="13" t="str">
        <x:v>코딩</x:v>
      </x:c>
      <x:c r="D17" s="13" t="str">
        <x:v>서식 자동화</x:v>
      </x:c>
      <x:c r="E17" s="13" t="str">
        <x:v>들여쓰기·개행·인코딩·공백을 자동 통일한다.</x:v>
      </x:c>
      <x:c r="F17" s="13" t="str">
        <x:v>SRC-003</x:v>
      </x:c>
      <x:c r="G17" s="13" t="str">
        <x:v>세부 조항 직접 인용 아님</x:v>
      </x:c>
      <x:c r="H17" s="13" t="str">
        <x:v>해당없음(사내 기준)</x:v>
      </x:c>
      <x:c r="I17" s="13" t="str">
        <x:v>MUST(안)</x:v>
      </x:c>
      <x:c r="J17" s="13" t="str">
        <x:v>적용</x:v>
      </x:c>
      <x:c r="K17" s="13" t="str">
        <x:v>현재 샘플의 회사 필수 기준으로 채택 제안</x:v>
      </x:c>
      <x:c r="L17" s="13" t="str">
        <x:v>EditorConfig와 formatter를 커밋하고 CI에서 format check를 실행한다.</x:v>
      </x:c>
      <x:c r="M17" s="13" t="str">
        <x:v>재포맷 변경이 없는지 확인한다.</x:v>
      </x:c>
      <x:c r="N17" s="13" t="str">
        <x:v>개발·QA</x:v>
      </x:c>
      <x:c r="O17" s="13" t="str">
        <x:v>P1</x:v>
      </x:c>
      <x:c r="P17" s="15" t="str">
        <x:v>계획</x:v>
      </x:c>
      <x:c r="Q17" s="15" t="str">
        <x:v>미실행</x:v>
      </x:c>
      <x:c r="R17" s="15" t="str">
        <x:v>미실행</x:v>
      </x:c>
      <x:c r="S17" s="15" t="str">
        <x:v>자동+수동</x:v>
      </x:c>
      <x:c r="T17" s="15" t="str"/>
      <x:c r="U17" s="15" t="str"/>
      <x:c r="V17" s="15" t="str"/>
      <x:c r="W17" s="15" t="str"/>
      <x:c r="X17" s="16" t="str"/>
      <x:c r="Y17" s="15" t="str"/>
      <x:c r="Z17" s="13" t="str">
        <x:f>IF(J17&lt;&gt;"적용","산정제외",IF(OR(Q17="실패",R17="실패"),"실패",IF(AND(P17="구현",T17&lt;&gt;"",U17&lt;&gt;"",V17&lt;&gt;"",W17&lt;&gt;"",ISNUMBER(X17),Y17="",OR(S17="수동",Q17="통과"),OR(S17="자동",R17="통과")),"통과","미검증")))</x:f>
        <x:v>미검증</x:v>
      </x:c>
      <x:c r="AA17" s="13" t="str"/>
      <x:c r="AB17" s="13" t="str">
        <x:v>S01~S08 / 공통</x:v>
      </x:c>
    </x:row>
    <x:row r="18" ht="37.5" customHeight="1">
      <x:c r="A18" s="14" t="str">
        <x:v>COD-004</x:v>
      </x:c>
      <x:c r="B18" s="14" t="str">
        <x:v>코딩</x:v>
      </x:c>
      <x:c r="C18" s="14" t="str">
        <x:v>코딩</x:v>
      </x:c>
      <x:c r="D18" s="14" t="str">
        <x:v>API 계약</x:v>
      </x:c>
      <x:c r="E18" s="14" t="str">
        <x:v>요청·응답 DTO와 오류 구조를 명시하고 프런트·서버 계약을 검증한다.</x:v>
      </x:c>
      <x:c r="F18" s="14" t="str">
        <x:v>SRC-009</x:v>
      </x:c>
      <x:c r="G18" s="14" t="str">
        <x:v>세부 조항 직접 인용 아님</x:v>
      </x:c>
      <x:c r="H18" s="14" t="str">
        <x:v>해당없음(사내 기준)</x:v>
      </x:c>
      <x:c r="I18" s="14" t="str">
        <x:v>MUST(안)</x:v>
      </x:c>
      <x:c r="J18" s="14" t="str">
        <x:v>적용</x:v>
      </x:c>
      <x:c r="K18" s="14" t="str">
        <x:v>현재 샘플의 회사 필수 기준으로 채택 제안</x:v>
      </x:c>
      <x:c r="L18" s="14" t="str">
        <x:v>OpenAPI와 런타임 스키마를 사용하고 허용 입력 필드만 바인딩한다.</x:v>
      </x:c>
      <x:c r="M18" s="14" t="str">
        <x:v>계약시험 및 누락/추가 필드/잘못된 타입 거부시험을 실행한다.</x:v>
      </x:c>
      <x:c r="N18" s="14" t="str">
        <x:v>개발·QA</x:v>
      </x:c>
      <x:c r="O18" s="14" t="str">
        <x:v>P1</x:v>
      </x:c>
      <x:c r="P18" s="15" t="str">
        <x:v>계획</x:v>
      </x:c>
      <x:c r="Q18" s="15" t="str">
        <x:v>미실행</x:v>
      </x:c>
      <x:c r="R18" s="15" t="str">
        <x:v>미실행</x:v>
      </x:c>
      <x:c r="S18" s="15" t="str">
        <x:v>자동+수동</x:v>
      </x:c>
      <x:c r="T18" s="15" t="str"/>
      <x:c r="U18" s="15" t="str"/>
      <x:c r="V18" s="15" t="str"/>
      <x:c r="W18" s="15" t="str"/>
      <x:c r="X18" s="16" t="str"/>
      <x:c r="Y18" s="15" t="str"/>
      <x:c r="Z18" s="14" t="str">
        <x:f>IF(J18&lt;&gt;"적용","산정제외",IF(OR(Q18="실패",R18="실패"),"실패",IF(AND(P18="구현",T18&lt;&gt;"",U18&lt;&gt;"",V18&lt;&gt;"",W18&lt;&gt;"",ISNUMBER(X18),Y18="",OR(S18="수동",Q18="통과"),OR(S18="자동",R18="통과")),"통과","미검증")))</x:f>
        <x:v>미검증</x:v>
      </x:c>
      <x:c r="AA18" s="14" t="str"/>
      <x:c r="AB18" s="14" t="str">
        <x:v>S05</x:v>
      </x:c>
    </x:row>
    <x:row r="19" ht="37.5" customHeight="1">
      <x:c r="A19" s="13" t="str">
        <x:v>COD-005</x:v>
      </x:c>
      <x:c r="B19" s="13" t="str">
        <x:v>코딩</x:v>
      </x:c>
      <x:c r="C19" s="13" t="str">
        <x:v>코딩</x:v>
      </x:c>
      <x:c r="D19" s="13" t="str">
        <x:v>예외 처리</x:v>
      </x:c>
      <x:c r="E19" s="13" t="str">
        <x:v>예외를 조용히 삼키지 않고 사용자 오류와 시스템 오류를 구별한다.</x:v>
      </x:c>
      <x:c r="F19" s="13" t="str">
        <x:v>SRC-003</x:v>
      </x:c>
      <x:c r="G19" s="13" t="str">
        <x:v>세부 조항 직접 인용 아님</x:v>
      </x:c>
      <x:c r="H19" s="13" t="str">
        <x:v>해당없음(사내 기준)</x:v>
      </x:c>
      <x:c r="I19" s="13" t="str">
        <x:v>MUST(안)</x:v>
      </x:c>
      <x:c r="J19" s="13" t="str">
        <x:v>적용</x:v>
      </x:c>
      <x:c r="K19" s="13" t="str">
        <x:v>현재 샘플의 회사 필수 기준으로 채택 제안</x:v>
      </x:c>
      <x:c r="L19" s="13" t="str">
        <x:v>공통 오류 처리에서 추적ID와 안정된 오류코드를 반환한다.</x:v>
      </x:c>
      <x:c r="M19" s="13" t="str">
        <x:v>오류경로 단위·통합시험 및 빈 catch 정적점검을 실행한다.</x:v>
      </x:c>
      <x:c r="N19" s="13" t="str">
        <x:v>개발·QA</x:v>
      </x:c>
      <x:c r="O19" s="13" t="str">
        <x:v>P1</x:v>
      </x:c>
      <x:c r="P19" s="15" t="str">
        <x:v>계획</x:v>
      </x:c>
      <x:c r="Q19" s="15" t="str">
        <x:v>미실행</x:v>
      </x:c>
      <x:c r="R19" s="15" t="str">
        <x:v>미실행</x:v>
      </x:c>
      <x:c r="S19" s="15" t="str">
        <x:v>자동+수동</x:v>
      </x:c>
      <x:c r="T19" s="15" t="str"/>
      <x:c r="U19" s="15" t="str"/>
      <x:c r="V19" s="15" t="str"/>
      <x:c r="W19" s="15" t="str"/>
      <x:c r="X19" s="16" t="str"/>
      <x:c r="Y19" s="15" t="str"/>
      <x:c r="Z19" s="13" t="str">
        <x:f>IF(J19&lt;&gt;"적용","산정제외",IF(OR(Q19="실패",R19="실패"),"실패",IF(AND(P19="구현",T19&lt;&gt;"",U19&lt;&gt;"",V19&lt;&gt;"",W19&lt;&gt;"",ISNUMBER(X19),Y19="",OR(S19="수동",Q19="통과"),OR(S19="자동",R19="통과")),"통과","미검증")))</x:f>
        <x:v>미검증</x:v>
      </x:c>
      <x:c r="AA19" s="13" t="str"/>
      <x:c r="AB19" s="13" t="str">
        <x:v>S05</x:v>
      </x:c>
    </x:row>
    <x:row r="20" ht="37.5" customHeight="1">
      <x:c r="A20" s="14" t="str">
        <x:v>COD-006</x:v>
      </x:c>
      <x:c r="B20" s="14" t="str">
        <x:v>코딩</x:v>
      </x:c>
      <x:c r="C20" s="14" t="str">
        <x:v>코딩</x:v>
      </x:c>
      <x:c r="D20" s="14" t="str">
        <x:v>비동기·취소</x:v>
      </x:c>
      <x:c r="E20" s="14" t="str">
        <x:v>네트워크·파일 I/O에 타임아웃과 취소를 전달한다.</x:v>
      </x:c>
      <x:c r="F20" s="14" t="str">
        <x:v>SRC-003</x:v>
      </x:c>
      <x:c r="G20" s="14" t="str">
        <x:v>세부 조항 직접 인용 아님</x:v>
      </x:c>
      <x:c r="H20" s="14" t="str">
        <x:v>해당없음(사내 기준)</x:v>
      </x:c>
      <x:c r="I20" s="14" t="str">
        <x:v>MUST(안)</x:v>
      </x:c>
      <x:c r="J20" s="14" t="str">
        <x:v>적용</x:v>
      </x:c>
      <x:c r="K20" s="14" t="str">
        <x:v>현재 샘플의 회사 필수 기준으로 채택 제안</x:v>
      </x:c>
      <x:c r="L20" s="14" t="str">
        <x:v>AbortSignal 또는 CancellationToken을 전파하고 무제한 재시도를 금지한다.</x:v>
      </x:c>
      <x:c r="M20" s="14" t="str">
        <x:v>취소·시간초과·연속 클릭 시 중복 요청 시험을 실행한다.</x:v>
      </x:c>
      <x:c r="N20" s="14" t="str">
        <x:v>개발·QA</x:v>
      </x:c>
      <x:c r="O20" s="14" t="str">
        <x:v>P1</x:v>
      </x:c>
      <x:c r="P20" s="15" t="str">
        <x:v>계획</x:v>
      </x:c>
      <x:c r="Q20" s="15" t="str">
        <x:v>미실행</x:v>
      </x:c>
      <x:c r="R20" s="15" t="str">
        <x:v>미실행</x:v>
      </x:c>
      <x:c r="S20" s="15" t="str">
        <x:v>자동+수동</x:v>
      </x:c>
      <x:c r="T20" s="15" t="str"/>
      <x:c r="U20" s="15" t="str"/>
      <x:c r="V20" s="15" t="str"/>
      <x:c r="W20" s="15" t="str"/>
      <x:c r="X20" s="16" t="str"/>
      <x:c r="Y20" s="15" t="str"/>
      <x:c r="Z20" s="14" t="str">
        <x:f>IF(J20&lt;&gt;"적용","산정제외",IF(OR(Q20="실패",R20="실패"),"실패",IF(AND(P20="구현",T20&lt;&gt;"",U20&lt;&gt;"",V20&lt;&gt;"",W20&lt;&gt;"",ISNUMBER(X20),Y20="",OR(S20="수동",Q20="통과"),OR(S20="자동",R20="통과")),"통과","미검증")))</x:f>
        <x:v>미검증</x:v>
      </x:c>
      <x:c r="AA20" s="14" t="str"/>
      <x:c r="AB20" s="14" t="str">
        <x:v>S01~S08 / 공통</x:v>
      </x:c>
    </x:row>
    <x:row r="21" ht="37.5" customHeight="1">
      <x:c r="A21" s="13" t="str">
        <x:v>COD-007</x:v>
      </x:c>
      <x:c r="B21" s="13" t="str">
        <x:v>코딩</x:v>
      </x:c>
      <x:c r="C21" s="13" t="str">
        <x:v>코딩</x:v>
      </x:c>
      <x:c r="D21" s="13" t="str">
        <x:v>자원 해제</x:v>
      </x:c>
      <x:c r="E21" s="13" t="str">
        <x:v>자원과 구독의 생명주기를 명시한다.</x:v>
      </x:c>
      <x:c r="F21" s="13" t="str">
        <x:v>SRC-003</x:v>
      </x:c>
      <x:c r="G21" s="13" t="str">
        <x:v>세부 조항 직접 인용 아님</x:v>
      </x:c>
      <x:c r="H21" s="13" t="str">
        <x:v>해당없음(사내 기준)</x:v>
      </x:c>
      <x:c r="I21" s="13" t="str">
        <x:v>MUST(안)</x:v>
      </x:c>
      <x:c r="J21" s="13" t="str">
        <x:v>적용</x:v>
      </x:c>
      <x:c r="K21" s="13" t="str">
        <x:v>현재 샘플의 회사 필수 기준으로 채택 제안</x:v>
      </x:c>
      <x:c r="L21" s="13" t="str">
        <x:v>스트림·DB 연결은 using/finally, UI 이벤트·타이머는 cleanup으로 해제한다.</x:v>
      </x:c>
      <x:c r="M21" s="13" t="str">
        <x:v>중단·화면이동·반복실행에서 누수와 잔여동작을 점검한다.</x:v>
      </x:c>
      <x:c r="N21" s="13" t="str">
        <x:v>개발·QA</x:v>
      </x:c>
      <x:c r="O21" s="13" t="str">
        <x:v>P1</x:v>
      </x:c>
      <x:c r="P21" s="15" t="str">
        <x:v>계획</x:v>
      </x:c>
      <x:c r="Q21" s="15" t="str">
        <x:v>미실행</x:v>
      </x:c>
      <x:c r="R21" s="15" t="str">
        <x:v>미실행</x:v>
      </x:c>
      <x:c r="S21" s="15" t="str">
        <x:v>자동+수동</x:v>
      </x:c>
      <x:c r="T21" s="15" t="str"/>
      <x:c r="U21" s="15" t="str"/>
      <x:c r="V21" s="15" t="str"/>
      <x:c r="W21" s="15" t="str"/>
      <x:c r="X21" s="16" t="str"/>
      <x:c r="Y21" s="15" t="str"/>
      <x:c r="Z21" s="13" t="str">
        <x:f>IF(J21&lt;&gt;"적용","산정제외",IF(OR(Q21="실패",R21="실패"),"실패",IF(AND(P21="구현",T21&lt;&gt;"",U21&lt;&gt;"",V21&lt;&gt;"",W21&lt;&gt;"",ISNUMBER(X21),Y21="",OR(S21="수동",Q21="통과"),OR(S21="자동",R21="통과")),"통과","미검증")))</x:f>
        <x:v>미검증</x:v>
      </x:c>
      <x:c r="AA21" s="13" t="str"/>
      <x:c r="AB21" s="13" t="str">
        <x:v>S01~S08 / 공통</x:v>
      </x:c>
    </x:row>
    <x:row r="22" ht="37.5" customHeight="1">
      <x:c r="A22" s="14" t="str">
        <x:v>COD-008</x:v>
      </x:c>
      <x:c r="B22" s="14" t="str">
        <x:v>코딩</x:v>
      </x:c>
      <x:c r="C22" s="14" t="str">
        <x:v>코딩</x:v>
      </x:c>
      <x:c r="D22" s="14" t="str">
        <x:v>경계값·유효성</x:v>
      </x:c>
      <x:c r="E22" s="14" t="str">
        <x:v>타입·범위·길이·필드 간 업무 제약을 검증한다.</x:v>
      </x:c>
      <x:c r="F22" s="14" t="str">
        <x:v>SRC-009</x:v>
      </x:c>
      <x:c r="G22" s="14" t="str">
        <x:v>세부 조항 직접 인용 아님</x:v>
      </x:c>
      <x:c r="H22" s="14" t="str">
        <x:v>해당없음(사내 기준)</x:v>
      </x:c>
      <x:c r="I22" s="14" t="str">
        <x:v>MUST(안)</x:v>
      </x:c>
      <x:c r="J22" s="14" t="str">
        <x:v>적용</x:v>
      </x:c>
      <x:c r="K22" s="14" t="str">
        <x:v>현재 샘플의 회사 필수 기준으로 채택 제안</x:v>
      </x:c>
      <x:c r="L22" s="14" t="str">
        <x:v>서버에서 스키마와 업무검증을 수행하고 프런트 검증은 즉시 안내에 사용한다.</x:v>
      </x:c>
      <x:c r="M22" s="14" t="str">
        <x:v>빈값·최소/최대·초과·Unicode·잘못된 기간의 경계시험을 실행한다.</x:v>
      </x:c>
      <x:c r="N22" s="14" t="str">
        <x:v>개발·QA</x:v>
      </x:c>
      <x:c r="O22" s="14" t="str">
        <x:v>P1</x:v>
      </x:c>
      <x:c r="P22" s="15" t="str">
        <x:v>계획</x:v>
      </x:c>
      <x:c r="Q22" s="15" t="str">
        <x:v>미실행</x:v>
      </x:c>
      <x:c r="R22" s="15" t="str">
        <x:v>미실행</x:v>
      </x:c>
      <x:c r="S22" s="15" t="str">
        <x:v>자동+수동</x:v>
      </x:c>
      <x:c r="T22" s="15" t="str"/>
      <x:c r="U22" s="15" t="str"/>
      <x:c r="V22" s="15" t="str"/>
      <x:c r="W22" s="15" t="str"/>
      <x:c r="X22" s="16" t="str"/>
      <x:c r="Y22" s="15" t="str"/>
      <x:c r="Z22" s="14" t="str">
        <x:f>IF(J22&lt;&gt;"적용","산정제외",IF(OR(Q22="실패",R22="실패"),"실패",IF(AND(P22="구현",T22&lt;&gt;"",U22&lt;&gt;"",V22&lt;&gt;"",W22&lt;&gt;"",ISNUMBER(X22),Y22="",OR(S22="수동",Q22="통과"),OR(S22="자동",R22="통과")),"통과","미검증")))</x:f>
        <x:v>미검증</x:v>
      </x:c>
      <x:c r="AA22" s="14" t="str"/>
      <x:c r="AB22" s="14" t="str">
        <x:v>S01~S08 / 공통</x:v>
      </x:c>
    </x:row>
    <x:row r="23" ht="37.5" customHeight="1">
      <x:c r="A23" s="13" t="str">
        <x:v>COD-009</x:v>
      </x:c>
      <x:c r="B23" s="13" t="str">
        <x:v>코딩</x:v>
      </x:c>
      <x:c r="C23" s="13" t="str">
        <x:v>코딩</x:v>
      </x:c>
      <x:c r="D23" s="13" t="str">
        <x:v>Promise 처리</x:v>
      </x:c>
      <x:c r="E23" s="13" t="str">
        <x:v>모든 비동기 실패를 관찰하고 처리한다.</x:v>
      </x:c>
      <x:c r="F23" s="13" t="str">
        <x:v>SRC-010</x:v>
      </x:c>
      <x:c r="G23" s="13" t="str">
        <x:v>세부 조항 직접 인용 아님</x:v>
      </x:c>
      <x:c r="H23" s="13" t="str">
        <x:v>해당없음(사내 기준)</x:v>
      </x:c>
      <x:c r="I23" s="13" t="str">
        <x:v>MUST(안)</x:v>
      </x:c>
      <x:c r="J23" s="13" t="str">
        <x:v>적용</x:v>
      </x:c>
      <x:c r="K23" s="13" t="str">
        <x:v>현재 샘플의 회사 필수 기준으로 채택 제안</x:v>
      </x:c>
      <x:c r="L23" s="13" t="str">
        <x:v>no-floating-promises와 no-misused-promises를 사용한다. 단순 void로 오류처리를 대체하지 않는다.</x:v>
      </x:c>
      <x:c r="M23" s="13" t="str">
        <x:v>유형 기반 린트 및 비동기 실패 주입시험을 실행한다.</x:v>
      </x:c>
      <x:c r="N23" s="13" t="str">
        <x:v>개발·QA</x:v>
      </x:c>
      <x:c r="O23" s="13" t="str">
        <x:v>P1</x:v>
      </x:c>
      <x:c r="P23" s="15" t="str">
        <x:v>계획</x:v>
      </x:c>
      <x:c r="Q23" s="15" t="str">
        <x:v>미실행</x:v>
      </x:c>
      <x:c r="R23" s="15" t="str">
        <x:v>미실행</x:v>
      </x:c>
      <x:c r="S23" s="15" t="str">
        <x:v>자동+수동</x:v>
      </x:c>
      <x:c r="T23" s="15" t="str"/>
      <x:c r="U23" s="15" t="str"/>
      <x:c r="V23" s="15" t="str"/>
      <x:c r="W23" s="15" t="str"/>
      <x:c r="X23" s="16" t="str"/>
      <x:c r="Y23" s="15" t="str"/>
      <x:c r="Z23" s="13" t="str">
        <x:f>IF(J23&lt;&gt;"적용","산정제외",IF(OR(Q23="실패",R23="실패"),"실패",IF(AND(P23="구현",T23&lt;&gt;"",U23&lt;&gt;"",V23&lt;&gt;"",W23&lt;&gt;"",ISNUMBER(X23),Y23="",OR(S23="수동",Q23="통과"),OR(S23="자동",R23="통과")),"통과","미검증")))</x:f>
        <x:v>미검증</x:v>
      </x:c>
      <x:c r="AA23" s="13" t="str"/>
      <x:c r="AB23" s="13" t="str">
        <x:v>S05</x:v>
      </x:c>
    </x:row>
    <x:row r="24" ht="24" customHeight="1">
      <x:c r="A24" s="14" t="str">
        <x:v>COD-010</x:v>
      </x:c>
      <x:c r="B24" s="14" t="str">
        <x:v>코딩</x:v>
      </x:c>
      <x:c r="C24" s="14" t="str">
        <x:v>코딩</x:v>
      </x:c>
      <x:c r="D24" s="14" t="str">
        <x:v>모듈 책임</x:v>
      </x:c>
      <x:c r="E24" s="14" t="str">
        <x:v>화면·업무규칙·영속성을 분리한다.</x:v>
      </x:c>
      <x:c r="F24" s="14" t="str">
        <x:v>SRC-003</x:v>
      </x:c>
      <x:c r="G24" s="14" t="str">
        <x:v>세부 조항 직접 인용 아님</x:v>
      </x:c>
      <x:c r="H24" s="14" t="str">
        <x:v>해당없음(사내 기준)</x:v>
      </x:c>
      <x:c r="I24" s="14" t="str">
        <x:v>MUST(안)</x:v>
      </x:c>
      <x:c r="J24" s="14" t="str">
        <x:v>적용</x:v>
      </x:c>
      <x:c r="K24" s="14" t="str">
        <x:v>현재 샘플의 회사 필수 기준으로 채택 제안</x:v>
      </x:c>
      <x:c r="L24" s="14" t="str">
        <x:v>도메인 함수를 UI와 DB 프레임워크에 독립시켜 단위검증한다.</x:v>
      </x:c>
      <x:c r="M24" s="14" t="str">
        <x:v>의존 방향과 핵심 업무함수의 경계시험을 검토한다.</x:v>
      </x:c>
      <x:c r="N24" s="14" t="str">
        <x:v>개발·QA</x:v>
      </x:c>
      <x:c r="O24" s="14" t="str">
        <x:v>P1</x:v>
      </x:c>
      <x:c r="P24" s="15" t="str">
        <x:v>계획</x:v>
      </x:c>
      <x:c r="Q24" s="15" t="str">
        <x:v>미실행</x:v>
      </x:c>
      <x:c r="R24" s="15" t="str">
        <x:v>미실행</x:v>
      </x:c>
      <x:c r="S24" s="15" t="str">
        <x:v>자동+수동</x:v>
      </x:c>
      <x:c r="T24" s="15" t="str"/>
      <x:c r="U24" s="15" t="str"/>
      <x:c r="V24" s="15" t="str"/>
      <x:c r="W24" s="15" t="str"/>
      <x:c r="X24" s="16" t="str"/>
      <x:c r="Y24" s="15" t="str"/>
      <x:c r="Z24" s="14" t="str">
        <x:f>IF(J24&lt;&gt;"적용","산정제외",IF(OR(Q24="실패",R24="실패"),"실패",IF(AND(P24="구현",T24&lt;&gt;"",U24&lt;&gt;"",V24&lt;&gt;"",W24&lt;&gt;"",ISNUMBER(X24),Y24="",OR(S24="수동",Q24="통과"),OR(S24="자동",R24="통과")),"통과","미검증")))</x:f>
        <x:v>미검증</x:v>
      </x:c>
      <x:c r="AA24" s="14" t="str"/>
      <x:c r="AB24" s="14" t="str">
        <x:v>S01~S08 / 공통</x:v>
      </x:c>
    </x:row>
    <x:row r="25" ht="37.5" customHeight="1">
      <x:c r="A25" s="13" t="str">
        <x:v>COD-011</x:v>
      </x:c>
      <x:c r="B25" s="13" t="str">
        <x:v>코딩</x:v>
      </x:c>
      <x:c r="C25" s="13" t="str">
        <x:v>코딩</x:v>
      </x:c>
      <x:c r="D25" s="13" t="str">
        <x:v>복잡도 관리</x:v>
      </x:c>
      <x:c r="E25" s="13" t="str">
        <x:v>복잡도 초과를 자동 발견하고 분해 또는 예외 사유를 남긴다.</x:v>
      </x:c>
      <x:c r="F25" s="13" t="str">
        <x:v>SRC-003</x:v>
      </x:c>
      <x:c r="G25" s="13" t="str">
        <x:v>세부 조항 직접 인용 아님</x:v>
      </x:c>
      <x:c r="H25" s="13" t="str">
        <x:v>해당없음(사내 기준)</x:v>
      </x:c>
      <x:c r="I25" s="13" t="str">
        <x:v>MUST(안)</x:v>
      </x:c>
      <x:c r="J25" s="13" t="str">
        <x:v>적용</x:v>
      </x:c>
      <x:c r="K25" s="13" t="str">
        <x:v>현재 샘플의 회사 필수 기준으로 채택 제안</x:v>
      </x:c>
      <x:c r="L25" s="13" t="str">
        <x:v>초기 사내 경고안: 순환복잡도 10 초과, 중첩 3 초과. 실제 팀 기준은 승인 후 고정한다.</x:v>
      </x:c>
      <x:c r="M25" s="13" t="str">
        <x:v>도구별 산식과 임계치 설정 및 초과함수 검토기록을 보존한다.</x:v>
      </x:c>
      <x:c r="N25" s="13" t="str">
        <x:v>개발·QA</x:v>
      </x:c>
      <x:c r="O25" s="13" t="str">
        <x:v>P1</x:v>
      </x:c>
      <x:c r="P25" s="15" t="str">
        <x:v>계획</x:v>
      </x:c>
      <x:c r="Q25" s="15" t="str">
        <x:v>미실행</x:v>
      </x:c>
      <x:c r="R25" s="15" t="str">
        <x:v>미실행</x:v>
      </x:c>
      <x:c r="S25" s="15" t="str">
        <x:v>자동+수동</x:v>
      </x:c>
      <x:c r="T25" s="15" t="str"/>
      <x:c r="U25" s="15" t="str"/>
      <x:c r="V25" s="15" t="str"/>
      <x:c r="W25" s="15" t="str"/>
      <x:c r="X25" s="16" t="str"/>
      <x:c r="Y25" s="15" t="str"/>
      <x:c r="Z25" s="13" t="str">
        <x:f>IF(J25&lt;&gt;"적용","산정제외",IF(OR(Q25="실패",R25="실패"),"실패",IF(AND(P25="구현",T25&lt;&gt;"",U25&lt;&gt;"",V25&lt;&gt;"",W25&lt;&gt;"",ISNUMBER(X25),Y25="",OR(S25="수동",Q25="통과"),OR(S25="자동",R25="통과")),"통과","미검증")))</x:f>
        <x:v>미검증</x:v>
      </x:c>
      <x:c r="AA25" s="13" t="str"/>
      <x:c r="AB25" s="13" t="str">
        <x:v>S01~S08 / 공통</x:v>
      </x:c>
    </x:row>
    <x:row r="26" ht="37.5" customHeight="1">
      <x:c r="A26" s="14" t="str">
        <x:v>COD-012</x:v>
      </x:c>
      <x:c r="B26" s="14" t="str">
        <x:v>코딩</x:v>
      </x:c>
      <x:c r="C26" s="14" t="str">
        <x:v>코딩</x:v>
      </x:c>
      <x:c r="D26" s="14" t="str">
        <x:v>경고·불필요 코드</x:v>
      </x:c>
      <x:c r="E26" s="14" t="str">
        <x:v>사용하지 않는 코드와 무시된 경고를 관리한다.</x:v>
      </x:c>
      <x:c r="F26" s="14" t="str">
        <x:v>SRC-003</x:v>
      </x:c>
      <x:c r="G26" s="14" t="str">
        <x:v>세부 조항 직접 인용 아님</x:v>
      </x:c>
      <x:c r="H26" s="14" t="str">
        <x:v>해당없음(사내 기준)</x:v>
      </x:c>
      <x:c r="I26" s="14" t="str">
        <x:v>MUST(안)</x:v>
      </x:c>
      <x:c r="J26" s="14" t="str">
        <x:v>적용</x:v>
      </x:c>
      <x:c r="K26" s="14" t="str">
        <x:v>현재 샘플의 회사 필수 기준으로 채택 제안</x:v>
      </x:c>
      <x:c r="L26" s="14" t="str">
        <x:v>사용하지 않는 변수·도달불가·중복 구현을 검사하고 생성코드는 별도 범위로 둔다.</x:v>
      </x:c>
      <x:c r="M26" s="14" t="str">
        <x:v>lint/build 결과와 제외경로 사유를 확인한다.</x:v>
      </x:c>
      <x:c r="N26" s="14" t="str">
        <x:v>개발·QA</x:v>
      </x:c>
      <x:c r="O26" s="14" t="str">
        <x:v>P1</x:v>
      </x:c>
      <x:c r="P26" s="15" t="str">
        <x:v>계획</x:v>
      </x:c>
      <x:c r="Q26" s="15" t="str">
        <x:v>미실행</x:v>
      </x:c>
      <x:c r="R26" s="15" t="str">
        <x:v>미실행</x:v>
      </x:c>
      <x:c r="S26" s="15" t="str">
        <x:v>자동+수동</x:v>
      </x:c>
      <x:c r="T26" s="15" t="str"/>
      <x:c r="U26" s="15" t="str"/>
      <x:c r="V26" s="15" t="str"/>
      <x:c r="W26" s="15" t="str"/>
      <x:c r="X26" s="16" t="str"/>
      <x:c r="Y26" s="15" t="str"/>
      <x:c r="Z26" s="14" t="str">
        <x:f>IF(J26&lt;&gt;"적용","산정제외",IF(OR(Q26="실패",R26="실패"),"실패",IF(AND(P26="구현",T26&lt;&gt;"",U26&lt;&gt;"",V26&lt;&gt;"",W26&lt;&gt;"",ISNUMBER(X26),Y26="",OR(S26="수동",Q26="통과"),OR(S26="자동",R26="통과")),"통과","미검증")))</x:f>
        <x:v>미검증</x:v>
      </x:c>
      <x:c r="AA26" s="14" t="str"/>
      <x:c r="AB26" s="14" t="str">
        <x:v>S01~S08 / 공통</x:v>
      </x:c>
    </x:row>
    <x:row r="27" ht="37.5" customHeight="1">
      <x:c r="A27" s="13" t="str">
        <x:v>COD-013</x:v>
      </x:c>
      <x:c r="B27" s="13" t="str">
        <x:v>코딩</x:v>
      </x:c>
      <x:c r="C27" s="13" t="str">
        <x:v>코딩</x:v>
      </x:c>
      <x:c r="D27" s="13" t="str">
        <x:v>설정 분리</x:v>
      </x:c>
      <x:c r="E27" s="13" t="str">
        <x:v>환경별 설정과 운영 비밀을 코드에서 분리한다.</x:v>
      </x:c>
      <x:c r="F27" s="13" t="str">
        <x:v>SRC-003</x:v>
      </x:c>
      <x:c r="G27" s="13" t="str">
        <x:v>세부 조항 직접 인용 아님</x:v>
      </x:c>
      <x:c r="H27" s="13" t="str">
        <x:v>해당없음(사내 기준)</x:v>
      </x:c>
      <x:c r="I27" s="13" t="str">
        <x:v>MUST(안)</x:v>
      </x:c>
      <x:c r="J27" s="13" t="str">
        <x:v>적용</x:v>
      </x:c>
      <x:c r="K27" s="13" t="str">
        <x:v>현재 샘플의 회사 필수 기준으로 채택 제안</x:v>
      </x:c>
      <x:c r="L27" s="13" t="str">
        <x:v>환경변수·설정 바인딩을 검증하고 예제에는 가짜 값만 둔다.</x:v>
      </x:c>
      <x:c r="M27" s="13" t="str">
        <x:v>설정 누락 시 안전하게 실패하는지와 저장소 비밀탐지를 점검한다.</x:v>
      </x:c>
      <x:c r="N27" s="13" t="str">
        <x:v>개발·QA</x:v>
      </x:c>
      <x:c r="O27" s="13" t="str">
        <x:v>P1</x:v>
      </x:c>
      <x:c r="P27" s="15" t="str">
        <x:v>계획</x:v>
      </x:c>
      <x:c r="Q27" s="15" t="str">
        <x:v>미실행</x:v>
      </x:c>
      <x:c r="R27" s="15" t="str">
        <x:v>미실행</x:v>
      </x:c>
      <x:c r="S27" s="15" t="str">
        <x:v>자동+수동</x:v>
      </x:c>
      <x:c r="T27" s="15" t="str"/>
      <x:c r="U27" s="15" t="str"/>
      <x:c r="V27" s="15" t="str"/>
      <x:c r="W27" s="15" t="str"/>
      <x:c r="X27" s="16" t="str"/>
      <x:c r="Y27" s="15" t="str"/>
      <x:c r="Z27" s="13" t="str">
        <x:f>IF(J27&lt;&gt;"적용","산정제외",IF(OR(Q27="실패",R27="실패"),"실패",IF(AND(P27="구현",T27&lt;&gt;"",U27&lt;&gt;"",V27&lt;&gt;"",W27&lt;&gt;"",ISNUMBER(X27),Y27="",OR(S27="수동",Q27="통과"),OR(S27="자동",R27="통과")),"통과","미검증")))</x:f>
        <x:v>미검증</x:v>
      </x:c>
      <x:c r="AA27" s="13" t="str"/>
      <x:c r="AB27" s="13" t="str">
        <x:v>S01~S08 / 공통</x:v>
      </x:c>
    </x:row>
    <x:row r="28" ht="37.5" customHeight="1">
      <x:c r="A28" s="14" t="str">
        <x:v>COD-014</x:v>
      </x:c>
      <x:c r="B28" s="14" t="str">
        <x:v>코딩</x:v>
      </x:c>
      <x:c r="C28" s="14" t="str">
        <x:v>코딩</x:v>
      </x:c>
      <x:c r="D28" s="14" t="str">
        <x:v>공용 인터페이스 문서</x:v>
      </x:c>
      <x:c r="E28" s="14" t="str">
        <x:v>공개 함수·API의 목적·입출력·오류·제약을 문서화한다.</x:v>
      </x:c>
      <x:c r="F28" s="14" t="str">
        <x:v>SRC-011</x:v>
      </x:c>
      <x:c r="G28" s="14" t="str">
        <x:v>세부 조항 직접 인용 아님</x:v>
      </x:c>
      <x:c r="H28" s="14" t="str">
        <x:v>해당없음(사내 기준)</x:v>
      </x:c>
      <x:c r="I28" s="14" t="str">
        <x:v>MUST(안)</x:v>
      </x:c>
      <x:c r="J28" s="14" t="str">
        <x:v>적용</x:v>
      </x:c>
      <x:c r="K28" s="14" t="str">
        <x:v>현재 샘플의 회사 필수 기준으로 채택 제안</x:v>
      </x:c>
      <x:c r="L28" s="14" t="str">
        <x:v>JSDoc/XML 문서와 예제에 제약과 판단 이유를 기록한다.</x:v>
      </x:c>
      <x:c r="M28" s="14" t="str">
        <x:v>공용 인터페이스 변경 시 문서의 일치성을 리뷰한다.</x:v>
      </x:c>
      <x:c r="N28" s="14" t="str">
        <x:v>개발·QA</x:v>
      </x:c>
      <x:c r="O28" s="14" t="str">
        <x:v>P1</x:v>
      </x:c>
      <x:c r="P28" s="15" t="str">
        <x:v>계획</x:v>
      </x:c>
      <x:c r="Q28" s="15" t="str">
        <x:v>미실행</x:v>
      </x:c>
      <x:c r="R28" s="15" t="str">
        <x:v>미실행</x:v>
      </x:c>
      <x:c r="S28" s="15" t="str">
        <x:v>자동+수동</x:v>
      </x:c>
      <x:c r="T28" s="15" t="str"/>
      <x:c r="U28" s="15" t="str"/>
      <x:c r="V28" s="15" t="str"/>
      <x:c r="W28" s="15" t="str"/>
      <x:c r="X28" s="16" t="str"/>
      <x:c r="Y28" s="15" t="str"/>
      <x:c r="Z28" s="14" t="str">
        <x:f>IF(J28&lt;&gt;"적용","산정제외",IF(OR(Q28="실패",R28="실패"),"실패",IF(AND(P28="구현",T28&lt;&gt;"",U28&lt;&gt;"",V28&lt;&gt;"",W28&lt;&gt;"",ISNUMBER(X28),Y28="",OR(S28="수동",Q28="통과"),OR(S28="자동",R28="통과")),"통과","미검증")))</x:f>
        <x:v>미검증</x:v>
      </x:c>
      <x:c r="AA28" s="14" t="str"/>
      <x:c r="AB28" s="14" t="str">
        <x:v>S01~S08 / 공통</x:v>
      </x:c>
    </x:row>
    <x:row r="29" ht="37.5" customHeight="1">
      <x:c r="A29" s="13" t="str">
        <x:v>COD-015</x:v>
      </x:c>
      <x:c r="B29" s="13" t="str">
        <x:v>코딩</x:v>
      </x:c>
      <x:c r="C29" s="13" t="str">
        <x:v>코딩</x:v>
      </x:c>
      <x:c r="D29" s="13" t="str">
        <x:v>트랜잭션·중복 처리</x:v>
      </x:c>
      <x:c r="E29" s="13" t="str">
        <x:v>중복 제출과 일부 저장 실패를 제어한다.</x:v>
      </x:c>
      <x:c r="F29" s="13" t="str">
        <x:v>SRC-003</x:v>
      </x:c>
      <x:c r="G29" s="13" t="str">
        <x:v>세부 조항 직접 인용 아님</x:v>
      </x:c>
      <x:c r="H29" s="13" t="str">
        <x:v>해당없음(사내 기준)</x:v>
      </x:c>
      <x:c r="I29" s="13" t="str">
        <x:v>MUST(안)</x:v>
      </x:c>
      <x:c r="J29" s="13" t="str">
        <x:v>적용</x:v>
      </x:c>
      <x:c r="K29" s="13" t="str">
        <x:v>현재 샘플의 회사 필수 기준으로 채택 제안</x:v>
      </x:c>
      <x:c r="L29" s="13" t="str">
        <x:v>업무별 트랜잭션, 고유 제약, 멱등 키 또는 중복요청 방어를 적용한다.</x:v>
      </x:c>
      <x:c r="M29" s="13" t="str">
        <x:v>이중 클릭·재전송·중간 실패·동시갱신 시험을 실행한다.</x:v>
      </x:c>
      <x:c r="N29" s="13" t="str">
        <x:v>개발·QA</x:v>
      </x:c>
      <x:c r="O29" s="13" t="str">
        <x:v>P1</x:v>
      </x:c>
      <x:c r="P29" s="15" t="str">
        <x:v>계획</x:v>
      </x:c>
      <x:c r="Q29" s="15" t="str">
        <x:v>미실행</x:v>
      </x:c>
      <x:c r="R29" s="15" t="str">
        <x:v>미실행</x:v>
      </x:c>
      <x:c r="S29" s="15" t="str">
        <x:v>자동+수동</x:v>
      </x:c>
      <x:c r="T29" s="15" t="str"/>
      <x:c r="U29" s="15" t="str"/>
      <x:c r="V29" s="15" t="str"/>
      <x:c r="W29" s="15" t="str"/>
      <x:c r="X29" s="16" t="str"/>
      <x:c r="Y29" s="15" t="str"/>
      <x:c r="Z29" s="13" t="str">
        <x:f>IF(J29&lt;&gt;"적용","산정제외",IF(OR(Q29="실패",R29="실패"),"실패",IF(AND(P29="구현",T29&lt;&gt;"",U29&lt;&gt;"",V29&lt;&gt;"",W29&lt;&gt;"",ISNUMBER(X29),Y29="",OR(S29="수동",Q29="통과"),OR(S29="자동",R29="통과")),"통과","미검증")))</x:f>
        <x:v>미검증</x:v>
      </x:c>
      <x:c r="AA29" s="13" t="str"/>
      <x:c r="AB29" s="13" t="str">
        <x:v>S01~S08 / 공통</x:v>
      </x:c>
    </x:row>
    <x:row r="30" ht="37.5" customHeight="1">
      <x:c r="A30" s="14" t="str">
        <x:v>COD-016</x:v>
      </x:c>
      <x:c r="B30" s="14" t="str">
        <x:v>코딩</x:v>
      </x:c>
      <x:c r="C30" s="14" t="str">
        <x:v>코딩</x:v>
      </x:c>
      <x:c r="D30" s="14" t="str">
        <x:v>시간·수치 정책</x:v>
      </x:c>
      <x:c r="E30" s="14" t="str">
        <x:v>시간대·정밀도·단위를 데이터 계약에 명시한다.</x:v>
      </x:c>
      <x:c r="F30" s="14" t="str">
        <x:v>SRC-003</x:v>
      </x:c>
      <x:c r="G30" s="14" t="str">
        <x:v>세부 조항 직접 인용 아님</x:v>
      </x:c>
      <x:c r="H30" s="14" t="str">
        <x:v>해당없음(사내 기준)</x:v>
      </x:c>
      <x:c r="I30" s="14" t="str">
        <x:v>MUST(안)</x:v>
      </x:c>
      <x:c r="J30" s="14" t="str">
        <x:v>적용</x:v>
      </x:c>
      <x:c r="K30" s="14" t="str">
        <x:v>현재 샘플의 회사 필수 기준으로 채택 제안</x:v>
      </x:c>
      <x:c r="L30" s="14" t="str">
        <x:v>서버 시각은 UTC/offset으로 저장하고 표시 시 Asia/Seoul로 변환한다. 금액은 정수 최소단위 또는 decimal을 사용한다.</x:v>
      </x:c>
      <x:c r="M30" s="14" t="str">
        <x:v>날짜 경계·표시변환·반올림·오버플로 시험을 실행한다.</x:v>
      </x:c>
      <x:c r="N30" s="14" t="str">
        <x:v>개발·QA</x:v>
      </x:c>
      <x:c r="O30" s="14" t="str">
        <x:v>P1</x:v>
      </x:c>
      <x:c r="P30" s="15" t="str">
        <x:v>계획</x:v>
      </x:c>
      <x:c r="Q30" s="15" t="str">
        <x:v>미실행</x:v>
      </x:c>
      <x:c r="R30" s="15" t="str">
        <x:v>미실행</x:v>
      </x:c>
      <x:c r="S30" s="15" t="str">
        <x:v>자동+수동</x:v>
      </x:c>
      <x:c r="T30" s="15" t="str"/>
      <x:c r="U30" s="15" t="str"/>
      <x:c r="V30" s="15" t="str"/>
      <x:c r="W30" s="15" t="str"/>
      <x:c r="X30" s="16" t="str"/>
      <x:c r="Y30" s="15" t="str"/>
      <x:c r="Z30" s="14" t="str">
        <x:f>IF(J30&lt;&gt;"적용","산정제외",IF(OR(Q30="실패",R30="실패"),"실패",IF(AND(P30="구현",T30&lt;&gt;"",U30&lt;&gt;"",V30&lt;&gt;"",W30&lt;&gt;"",ISNUMBER(X30),Y30="",OR(S30="수동",Q30="통과"),OR(S30="자동",R30="통과")),"통과","미검증")))</x:f>
        <x:v>미검증</x:v>
      </x:c>
      <x:c r="AA30" s="14" t="str"/>
      <x:c r="AB30" s="14" t="str">
        <x:v>S01~S08 / 공통</x:v>
      </x:c>
    </x:row>
    <x:row r="31" ht="37.5" customHeight="1">
      <x:c r="A31" s="13" t="str">
        <x:v>COD-017</x:v>
      </x:c>
      <x:c r="B31" s="13" t="str">
        <x:v>코딩</x:v>
      </x:c>
      <x:c r="C31" s="13" t="str">
        <x:v>코딩</x:v>
      </x:c>
      <x:c r="D31" s="13" t="str">
        <x:v>C# nullable·분석기</x:v>
      </x:c>
      <x:c r="E31" s="13" t="str">
        <x:v>C#을 선택한 경우 nullable과 정적분석을 사용한다.</x:v>
      </x:c>
      <x:c r="F31" s="13" t="str">
        <x:v>SRC-011</x:v>
      </x:c>
      <x:c r="G31" s="13" t="str">
        <x:v>세부 조항 직접 인용 아님</x:v>
      </x:c>
      <x:c r="H31" s="13" t="str">
        <x:v>해당없음(사내 기준)</x:v>
      </x:c>
      <x:c r="I31" s="13" t="str">
        <x:v>MUST(안)</x:v>
      </x:c>
      <x:c r="J31" s="13" t="str">
        <x:v>적용</x:v>
      </x:c>
      <x:c r="K31" s="13" t="str">
        <x:v>샘플 기본안이 C# .NET 10이므로 적용</x:v>
      </x:c>
      <x:c r="L31" s="13" t="str">
        <x:v>Nullable enable, .NET analyzers, dotnet format을 언어 프로파일에 고정한다.</x:v>
      </x:c>
      <x:c r="M31" s="13" t="str">
        <x:v>빌드·분석기 결과와 널 경로시험을 확인한다.</x:v>
      </x:c>
      <x:c r="N31" s="13" t="str">
        <x:v>개발·QA</x:v>
      </x:c>
      <x:c r="O31" s="13" t="str">
        <x:v>P1</x:v>
      </x:c>
      <x:c r="P31" s="15" t="str">
        <x:v>계획</x:v>
      </x:c>
      <x:c r="Q31" s="15" t="str">
        <x:v>미실행</x:v>
      </x:c>
      <x:c r="R31" s="15" t="str">
        <x:v>미실행</x:v>
      </x:c>
      <x:c r="S31" s="15" t="str">
        <x:v>자동+수동</x:v>
      </x:c>
      <x:c r="T31" s="15" t="str"/>
      <x:c r="U31" s="15" t="str"/>
      <x:c r="V31" s="15" t="str"/>
      <x:c r="W31" s="15" t="str"/>
      <x:c r="X31" s="16" t="str"/>
      <x:c r="Y31" s="15" t="str"/>
      <x:c r="Z31" s="13" t="str">
        <x:f>IF(J31&lt;&gt;"적용","산정제외",IF(OR(Q31="실패",R31="실패"),"실패",IF(AND(P31="구현",T31&lt;&gt;"",U31&lt;&gt;"",V31&lt;&gt;"",W31&lt;&gt;"",ISNUMBER(X31),Y31="",OR(S31="수동",Q31="통과"),OR(S31="자동",R31="통과")),"통과","미검증")))</x:f>
        <x:v>미검증</x:v>
      </x:c>
      <x:c r="AA31" s="13" t="str"/>
      <x:c r="AB31" s="13" t="str">
        <x:v>S01~S08 / 공통</x:v>
      </x:c>
    </x:row>
    <x:row r="32" ht="37.5" customHeight="1">
      <x:c r="A32" s="14" t="str">
        <x:v>COD-018</x:v>
      </x:c>
      <x:c r="B32" s="14" t="str">
        <x:v>코딩</x:v>
      </x:c>
      <x:c r="C32" s="14" t="str">
        <x:v>코딩</x:v>
      </x:c>
      <x:c r="D32" s="14" t="str">
        <x:v>의미 있는 테스트</x:v>
      </x:c>
      <x:c r="E32" s="14" t="str">
        <x:v>주요 업무·권한·실패경로를 검증하고 형식적 테스트를 피한다.</x:v>
      </x:c>
      <x:c r="F32" s="14" t="str">
        <x:v>SRC-003</x:v>
      </x:c>
      <x:c r="G32" s="14" t="str">
        <x:v>세부 조항 직접 인용 아님</x:v>
      </x:c>
      <x:c r="H32" s="14" t="str">
        <x:v>해당없음(사내 기준)</x:v>
      </x:c>
      <x:c r="I32" s="14" t="str">
        <x:v>MUST(안)</x:v>
      </x:c>
      <x:c r="J32" s="14" t="str">
        <x:v>적용</x:v>
      </x:c>
      <x:c r="K32" s="14" t="str">
        <x:v>현재 샘플의 회사 필수 기준으로 채택 제안</x:v>
      </x:c>
      <x:c r="L32" s="14" t="str">
        <x:v>경계·권한거부·상태전이·재시도 테스트를 작성한다. 커버리지 수치는 사내 목표로 명시한다.</x:v>
      </x:c>
      <x:c r="M32" s="14" t="str">
        <x:v>회귀테스트 결과와 중요한 분기 누락을 검토한다.</x:v>
      </x:c>
      <x:c r="N32" s="14" t="str">
        <x:v>개발·QA</x:v>
      </x:c>
      <x:c r="O32" s="14" t="str">
        <x:v>P1</x:v>
      </x:c>
      <x:c r="P32" s="15" t="str">
        <x:v>계획</x:v>
      </x:c>
      <x:c r="Q32" s="15" t="str">
        <x:v>미실행</x:v>
      </x:c>
      <x:c r="R32" s="15" t="str">
        <x:v>미실행</x:v>
      </x:c>
      <x:c r="S32" s="15" t="str">
        <x:v>자동+수동</x:v>
      </x:c>
      <x:c r="T32" s="15" t="str"/>
      <x:c r="U32" s="15" t="str"/>
      <x:c r="V32" s="15" t="str"/>
      <x:c r="W32" s="15" t="str"/>
      <x:c r="X32" s="16" t="str"/>
      <x:c r="Y32" s="15" t="str"/>
      <x:c r="Z32" s="14" t="str">
        <x:f>IF(J32&lt;&gt;"적용","산정제외",IF(OR(Q32="실패",R32="실패"),"실패",IF(AND(P32="구현",T32&lt;&gt;"",U32&lt;&gt;"",V32&lt;&gt;"",W32&lt;&gt;"",ISNUMBER(X32),Y32="",OR(S32="수동",Q32="통과"),OR(S32="자동",R32="통과")),"통과","미검증")))</x:f>
        <x:v>미검증</x:v>
      </x:c>
      <x:c r="AA32" s="14" t="str"/>
      <x:c r="AB32" s="14" t="str">
        <x:v>S01, S04, S06</x:v>
      </x:c>
    </x:row>
    <x:row r="33" ht="37.5" customHeight="1">
      <x:c r="A33" s="13" t="str">
        <x:v>SEC-001</x:v>
      </x:c>
      <x:c r="B33" s="13" t="str">
        <x:v>보안</x:v>
      </x:c>
      <x:c r="C33" s="13" t="str">
        <x:v>보안</x:v>
      </x:c>
      <x:c r="D33" s="13" t="str">
        <x:v>위협·신뢰경계</x:v>
      </x:c>
      <x:c r="E33" s="13" t="str">
        <x:v>보호대상과 입력·권한·외부연계의 경계를 식별한다.</x:v>
      </x:c>
      <x:c r="F33" s="13" t="str">
        <x:v>SRC-012</x:v>
      </x:c>
      <x:c r="G33" s="13" t="str">
        <x:v>세부 조항 직접 인용 아님</x:v>
      </x:c>
      <x:c r="H33" s="13" t="str">
        <x:v>해당없음(사내 기준)</x:v>
      </x:c>
      <x:c r="I33" s="13" t="str">
        <x:v>MUST(안)</x:v>
      </x:c>
      <x:c r="J33" s="13" t="str">
        <x:v>적용</x:v>
      </x:c>
      <x:c r="K33" s="13" t="str">
        <x:v>현재 샘플의 회사 필수 기준으로 채택 제안</x:v>
      </x:c>
      <x:c r="L33" s="13" t="str">
        <x:v>간단한 데이터 흐름도와 위협목록을 작성해 통제 ID에 연결한다.</x:v>
      </x:c>
      <x:c r="M33" s="13" t="str">
        <x:v>주요 위협에 대응 통제와 시험이 있는지 검토한다.</x:v>
      </x:c>
      <x:c r="N33" s="13" t="str">
        <x:v>개발·QA</x:v>
      </x:c>
      <x:c r="O33" s="13" t="str">
        <x:v>P1</x:v>
      </x:c>
      <x:c r="P33" s="15" t="str">
        <x:v>계획</x:v>
      </x:c>
      <x:c r="Q33" s="15" t="str">
        <x:v>미실행</x:v>
      </x:c>
      <x:c r="R33" s="15" t="str">
        <x:v>미실행</x:v>
      </x:c>
      <x:c r="S33" s="15" t="str">
        <x:v>자동+수동</x:v>
      </x:c>
      <x:c r="T33" s="15" t="str"/>
      <x:c r="U33" s="15" t="str"/>
      <x:c r="V33" s="15" t="str"/>
      <x:c r="W33" s="15" t="str"/>
      <x:c r="X33" s="16" t="str"/>
      <x:c r="Y33" s="15" t="str"/>
      <x:c r="Z33" s="13" t="str">
        <x:f>IF(J33&lt;&gt;"적용","산정제외",IF(OR(Q33="실패",R33="실패"),"실패",IF(AND(P33="구현",T33&lt;&gt;"",U33&lt;&gt;"",V33&lt;&gt;"",W33&lt;&gt;"",ISNUMBER(X33),Y33="",OR(S33="수동",Q33="통과"),OR(S33="자동",R33="통과")),"통과","미검증")))</x:f>
        <x:v>미검증</x:v>
      </x:c>
      <x:c r="AA33" s="13" t="str"/>
      <x:c r="AB33" s="13" t="str">
        <x:v>S03</x:v>
      </x:c>
    </x:row>
    <x:row r="34" ht="37.5" customHeight="1">
      <x:c r="A34" s="14" t="str">
        <x:v>SEC-002</x:v>
      </x:c>
      <x:c r="B34" s="14" t="str">
        <x:v>보안</x:v>
      </x:c>
      <x:c r="C34" s="14" t="str">
        <x:v>보안</x:v>
      </x:c>
      <x:c r="D34" s="14" t="str">
        <x:v>인젝션 방어</x:v>
      </x:c>
      <x:c r="E34" s="14" t="str">
        <x:v>SQL·명령문을 입력 문자열 결합으로 만들지 않는다.</x:v>
      </x:c>
      <x:c r="F34" s="14" t="str">
        <x:v>SRC-013</x:v>
      </x:c>
      <x:c r="G34" s="14" t="str">
        <x:v>세부 조항 직접 인용 아님</x:v>
      </x:c>
      <x:c r="H34" s="14" t="str">
        <x:v>해당없음(사내 기준)</x:v>
      </x:c>
      <x:c r="I34" s="14" t="str">
        <x:v>MUST(안)</x:v>
      </x:c>
      <x:c r="J34" s="14" t="str">
        <x:v>적용</x:v>
      </x:c>
      <x:c r="K34" s="14" t="str">
        <x:v>현재 샘플의 회사 필수 기준으로 채택 제안</x:v>
      </x:c>
      <x:c r="L34" s="14" t="str">
        <x:v>ORM 매개변수화와 구조화 API를 사용하고 셸 실행을 최소화한다.</x:v>
      </x:c>
      <x:c r="M34" s="14" t="str">
        <x:v>정적점검과 인젝션 입력 거부/안전처리 시험을 실행한다.</x:v>
      </x:c>
      <x:c r="N34" s="14" t="str">
        <x:v>개발·QA</x:v>
      </x:c>
      <x:c r="O34" s="14" t="str">
        <x:v>P1</x:v>
      </x:c>
      <x:c r="P34" s="15" t="str">
        <x:v>계획</x:v>
      </x:c>
      <x:c r="Q34" s="15" t="str">
        <x:v>미실행</x:v>
      </x:c>
      <x:c r="R34" s="15" t="str">
        <x:v>미실행</x:v>
      </x:c>
      <x:c r="S34" s="15" t="str">
        <x:v>자동+수동</x:v>
      </x:c>
      <x:c r="T34" s="15" t="str"/>
      <x:c r="U34" s="15" t="str"/>
      <x:c r="V34" s="15" t="str"/>
      <x:c r="W34" s="15" t="str"/>
      <x:c r="X34" s="16" t="str"/>
      <x:c r="Y34" s="15" t="str"/>
      <x:c r="Z34" s="14" t="str">
        <x:f>IF(J34&lt;&gt;"적용","산정제외",IF(OR(Q34="실패",R34="실패"),"실패",IF(AND(P34="구현",T34&lt;&gt;"",U34&lt;&gt;"",V34&lt;&gt;"",W34&lt;&gt;"",ISNUMBER(X34),Y34="",OR(S34="수동",Q34="통과"),OR(S34="자동",R34="통과")),"통과","미검증")))</x:f>
        <x:v>미검증</x:v>
      </x:c>
      <x:c r="AA34" s="14" t="str"/>
      <x:c r="AB34" s="14" t="str">
        <x:v>S01~S08 / 공통</x:v>
      </x:c>
    </x:row>
    <x:row r="35" ht="37.5" customHeight="1">
      <x:c r="A35" s="13" t="str">
        <x:v>SEC-003</x:v>
      </x:c>
      <x:c r="B35" s="13" t="str">
        <x:v>보안</x:v>
      </x:c>
      <x:c r="C35" s="13" t="str">
        <x:v>보안</x:v>
      </x:c>
      <x:c r="D35" s="13" t="str">
        <x:v>XSS 방어</x:v>
      </x:c>
      <x:c r="E35" s="13" t="str">
        <x:v>출력 문맥에 맞게 인코딩하고 HTML 삽입을 제한한다.</x:v>
      </x:c>
      <x:c r="F35" s="13" t="str">
        <x:v>SRC-012</x:v>
      </x:c>
      <x:c r="G35" s="13" t="str">
        <x:v>세부 조항 직접 인용 아님</x:v>
      </x:c>
      <x:c r="H35" s="13" t="str">
        <x:v>해당없음(사내 기준)</x:v>
      </x:c>
      <x:c r="I35" s="13" t="str">
        <x:v>MUST(안)</x:v>
      </x:c>
      <x:c r="J35" s="13" t="str">
        <x:v>적용</x:v>
      </x:c>
      <x:c r="K35" s="13" t="str">
        <x:v>현재 샘플의 회사 필수 기준으로 채택 제안</x:v>
      </x:c>
      <x:c r="L35" s="13" t="str">
        <x:v>기본 텍스트 렌더링을 사용하고 필요한 rich HTML만 검증된 sanitizer를 거친다.</x:v>
      </x:c>
      <x:c r="M35" s="13" t="str">
        <x:v>반사·저장·DOM 경로의 스크립트성 입력을 시험한다.</x:v>
      </x:c>
      <x:c r="N35" s="13" t="str">
        <x:v>개발·QA</x:v>
      </x:c>
      <x:c r="O35" s="13" t="str">
        <x:v>P1</x:v>
      </x:c>
      <x:c r="P35" s="15" t="str">
        <x:v>계획</x:v>
      </x:c>
      <x:c r="Q35" s="15" t="str">
        <x:v>미실행</x:v>
      </x:c>
      <x:c r="R35" s="15" t="str">
        <x:v>미실행</x:v>
      </x:c>
      <x:c r="S35" s="15" t="str">
        <x:v>자동+수동</x:v>
      </x:c>
      <x:c r="T35" s="15" t="str"/>
      <x:c r="U35" s="15" t="str"/>
      <x:c r="V35" s="15" t="str"/>
      <x:c r="W35" s="15" t="str"/>
      <x:c r="X35" s="16" t="str"/>
      <x:c r="Y35" s="15" t="str"/>
      <x:c r="Z35" s="13" t="str">
        <x:f>IF(J35&lt;&gt;"적용","산정제외",IF(OR(Q35="실패",R35="실패"),"실패",IF(AND(P35="구현",T35&lt;&gt;"",U35&lt;&gt;"",V35&lt;&gt;"",W35&lt;&gt;"",ISNUMBER(X35),Y35="",OR(S35="수동",Q35="통과"),OR(S35="자동",R35="통과")),"통과","미검증")))</x:f>
        <x:v>미검증</x:v>
      </x:c>
      <x:c r="AA35" s="13" t="str"/>
      <x:c r="AB35" s="13" t="str">
        <x:v>S01~S08 / 공통</x:v>
      </x:c>
    </x:row>
    <x:row r="36" ht="37.5" customHeight="1">
      <x:c r="A36" s="14" t="str">
        <x:v>SEC-004</x:v>
      </x:c>
      <x:c r="B36" s="14" t="str">
        <x:v>보안</x:v>
      </x:c>
      <x:c r="C36" s="14" t="str">
        <x:v>보안</x:v>
      </x:c>
      <x:c r="D36" s="14" t="str">
        <x:v>인증 구현</x:v>
      </x:c>
      <x:c r="E36" s="14" t="str">
        <x:v>유지보수되는 인증 프레임워크를 사용하고 자체 암호체계를 만들지 않는다.</x:v>
      </x:c>
      <x:c r="F36" s="14" t="str">
        <x:v>SRC-014</x:v>
      </x:c>
      <x:c r="G36" s="14" t="str">
        <x:v>세부 조항 직접 인용 아님</x:v>
      </x:c>
      <x:c r="H36" s="14" t="str">
        <x:v>해당없음(사내 기준)</x:v>
      </x:c>
      <x:c r="I36" s="14" t="str">
        <x:v>MUST(안)</x:v>
      </x:c>
      <x:c r="J36" s="14" t="str">
        <x:v>적용</x:v>
      </x:c>
      <x:c r="K36" s="14" t="str">
        <x:v>현재 샘플의 회사 필수 기준으로 채택 제안</x:v>
      </x:c>
      <x:c r="L36" s="14" t="str">
        <x:v>샘플의 로그인도 서버 검증을 사용하고 비밀번호 저장은 검증된 해시 구현에 맡긴다.</x:v>
      </x:c>
      <x:c r="M36" s="14" t="str">
        <x:v>잘못된 인증·로그아웃·잠금/속도제한·재로그인 시나리오를 시험한다.</x:v>
      </x:c>
      <x:c r="N36" s="14" t="str">
        <x:v>개발·QA</x:v>
      </x:c>
      <x:c r="O36" s="14" t="str">
        <x:v>P1</x:v>
      </x:c>
      <x:c r="P36" s="15" t="str">
        <x:v>계획</x:v>
      </x:c>
      <x:c r="Q36" s="15" t="str">
        <x:v>미실행</x:v>
      </x:c>
      <x:c r="R36" s="15" t="str">
        <x:v>미실행</x:v>
      </x:c>
      <x:c r="S36" s="15" t="str">
        <x:v>자동+수동</x:v>
      </x:c>
      <x:c r="T36" s="15" t="str"/>
      <x:c r="U36" s="15" t="str"/>
      <x:c r="V36" s="15" t="str"/>
      <x:c r="W36" s="15" t="str"/>
      <x:c r="X36" s="16" t="str"/>
      <x:c r="Y36" s="15" t="str"/>
      <x:c r="Z36" s="14" t="str">
        <x:f>IF(J36&lt;&gt;"적용","산정제외",IF(OR(Q36="실패",R36="실패"),"실패",IF(AND(P36="구현",T36&lt;&gt;"",U36&lt;&gt;"",V36&lt;&gt;"",W36&lt;&gt;"",ISNUMBER(X36),Y36="",OR(S36="수동",Q36="통과"),OR(S36="자동",R36="통과")),"통과","미검증")))</x:f>
        <x:v>미검증</x:v>
      </x:c>
      <x:c r="AA36" s="14" t="str"/>
      <x:c r="AB36" s="14" t="str">
        <x:v>S01, S05</x:v>
      </x:c>
    </x:row>
    <x:row r="37" ht="37.5" customHeight="1">
      <x:c r="A37" s="13" t="str">
        <x:v>SEC-005</x:v>
      </x:c>
      <x:c r="B37" s="13" t="str">
        <x:v>보안</x:v>
      </x:c>
      <x:c r="C37" s="13" t="str">
        <x:v>보안</x:v>
      </x:c>
      <x:c r="D37" s="13" t="str">
        <x:v>서버 권한 검사</x:v>
      </x:c>
      <x:c r="E37" s="13" t="str">
        <x:v>모든 비공개 API와 개별 객체에 대해 권한을 검사한다.</x:v>
      </x:c>
      <x:c r="F37" s="13" t="str">
        <x:v>SRC-015</x:v>
      </x:c>
      <x:c r="G37" s="13" t="str">
        <x:v>세부 조항 직접 인용 아님</x:v>
      </x:c>
      <x:c r="H37" s="13" t="str">
        <x:v>해당없음(사내 기준)</x:v>
      </x:c>
      <x:c r="I37" s="13" t="str">
        <x:v>MUST(안)</x:v>
      </x:c>
      <x:c r="J37" s="13" t="str">
        <x:v>적용</x:v>
      </x:c>
      <x:c r="K37" s="13" t="str">
        <x:v>현재 샘플의 회사 필수 기준으로 채택 제안</x:v>
      </x:c>
      <x:c r="L37" s="13" t="str">
        <x:v>기본 거부, 역할+소유권 정책을 서버에 구현하고 UI 숨김과 분리한다.</x:v>
      </x:c>
      <x:c r="M37" s="13" t="str">
        <x:v>다른 사용자 ID 변조·직접 API 호출·역할별 금지 동작 시험을 실행한다.</x:v>
      </x:c>
      <x:c r="N37" s="13" t="str">
        <x:v>개발·QA</x:v>
      </x:c>
      <x:c r="O37" s="13" t="str">
        <x:v>P0</x:v>
      </x:c>
      <x:c r="P37" s="15" t="str">
        <x:v>계획</x:v>
      </x:c>
      <x:c r="Q37" s="15" t="str">
        <x:v>미실행</x:v>
      </x:c>
      <x:c r="R37" s="15" t="str">
        <x:v>미실행</x:v>
      </x:c>
      <x:c r="S37" s="15" t="str">
        <x:v>자동+수동</x:v>
      </x:c>
      <x:c r="T37" s="15" t="str"/>
      <x:c r="U37" s="15" t="str"/>
      <x:c r="V37" s="15" t="str"/>
      <x:c r="W37" s="15" t="str"/>
      <x:c r="X37" s="16" t="str"/>
      <x:c r="Y37" s="15" t="str"/>
      <x:c r="Z37" s="13" t="str">
        <x:f>IF(J37&lt;&gt;"적용","산정제외",IF(OR(Q37="실패",R37="실패"),"실패",IF(AND(P37="구현",T37&lt;&gt;"",U37&lt;&gt;"",V37&lt;&gt;"",W37&lt;&gt;"",ISNUMBER(X37),Y37="",OR(S37="수동",Q37="통과"),OR(S37="자동",R37="통과")),"통과","미검증")))</x:f>
        <x:v>미검증</x:v>
      </x:c>
      <x:c r="AA37" s="13" t="str"/>
      <x:c r="AB37" s="13" t="str">
        <x:v>S01, S04, S06</x:v>
      </x:c>
    </x:row>
    <x:row r="38" ht="37.5" customHeight="1">
      <x:c r="A38" s="14" t="str">
        <x:v>SEC-006</x:v>
      </x:c>
      <x:c r="B38" s="14" t="str">
        <x:v>보안</x:v>
      </x:c>
      <x:c r="C38" s="14" t="str">
        <x:v>보안</x:v>
      </x:c>
      <x:c r="D38" s="14" t="str">
        <x:v>CSRF 방어</x:v>
      </x:c>
      <x:c r="E38" s="14" t="str">
        <x:v>쿠키 인증의 상태변경 요청을 위조요청으로부터 보호한다.</x:v>
      </x:c>
      <x:c r="F38" s="14" t="str">
        <x:v>SRC-012</x:v>
      </x:c>
      <x:c r="G38" s="14" t="str">
        <x:v>세부 조항 직접 인용 아님</x:v>
      </x:c>
      <x:c r="H38" s="14" t="str">
        <x:v>해당없음(사내 기준)</x:v>
      </x:c>
      <x:c r="I38" s="14" t="str">
        <x:v>MUST(안)</x:v>
      </x:c>
      <x:c r="J38" s="14" t="str">
        <x:v>적용</x:v>
      </x:c>
      <x:c r="K38" s="14" t="str">
        <x:v>현재 샘플의 회사 필수 기준으로 채택 제안</x:v>
      </x:c>
      <x:c r="L38" s="14" t="str">
        <x:v>프레임워크 CSRF 토큰과 출처 검증을 적용하고 GET의 상태변경을 금지한다.</x:v>
      </x:c>
      <x:c r="M38" s="14" t="str">
        <x:v>CSRF 토큰 누락·오류·외부 출처 요청을 거부하는지 시험한다.</x:v>
      </x:c>
      <x:c r="N38" s="14" t="str">
        <x:v>개발·QA</x:v>
      </x:c>
      <x:c r="O38" s="14" t="str">
        <x:v>P1</x:v>
      </x:c>
      <x:c r="P38" s="15" t="str">
        <x:v>계획</x:v>
      </x:c>
      <x:c r="Q38" s="15" t="str">
        <x:v>미실행</x:v>
      </x:c>
      <x:c r="R38" s="15" t="str">
        <x:v>미실행</x:v>
      </x:c>
      <x:c r="S38" s="15" t="str">
        <x:v>자동+수동</x:v>
      </x:c>
      <x:c r="T38" s="15" t="str"/>
      <x:c r="U38" s="15" t="str"/>
      <x:c r="V38" s="15" t="str"/>
      <x:c r="W38" s="15" t="str"/>
      <x:c r="X38" s="16" t="str"/>
      <x:c r="Y38" s="15" t="str"/>
      <x:c r="Z38" s="14" t="str">
        <x:f>IF(J38&lt;&gt;"적용","산정제외",IF(OR(Q38="실패",R38="실패"),"실패",IF(AND(P38="구현",T38&lt;&gt;"",U38&lt;&gt;"",V38&lt;&gt;"",W38&lt;&gt;"",ISNUMBER(X38),Y38="",OR(S38="수동",Q38="통과"),OR(S38="자동",R38="통과")),"통과","미검증")))</x:f>
        <x:v>미검증</x:v>
      </x:c>
      <x:c r="AA38" s="14" t="str"/>
      <x:c r="AB38" s="14" t="str">
        <x:v>S01~S08 / 공통</x:v>
      </x:c>
    </x:row>
    <x:row r="39" ht="37.5" customHeight="1">
      <x:c r="A39" s="13" t="str">
        <x:v>SEC-007</x:v>
      </x:c>
      <x:c r="B39" s="13" t="str">
        <x:v>보안</x:v>
      </x:c>
      <x:c r="C39" s="13" t="str">
        <x:v>보안</x:v>
      </x:c>
      <x:c r="D39" s="13" t="str">
        <x:v>세션 보호</x:v>
      </x:c>
      <x:c r="E39" s="13" t="str">
        <x:v>세션 만료·폐기·쿠키 속성을 명시한다.</x:v>
      </x:c>
      <x:c r="F39" s="13" t="str">
        <x:v>SRC-014</x:v>
      </x:c>
      <x:c r="G39" s="13" t="str">
        <x:v>세부 조항 직접 인용 아님</x:v>
      </x:c>
      <x:c r="H39" s="13" t="str">
        <x:v>해당없음(사내 기준)</x:v>
      </x:c>
      <x:c r="I39" s="13" t="str">
        <x:v>MUST(안)</x:v>
      </x:c>
      <x:c r="J39" s="13" t="str">
        <x:v>적용</x:v>
      </x:c>
      <x:c r="K39" s="13" t="str">
        <x:v>현재 샘플의 회사 필수 기준으로 채택 제안</x:v>
      </x:c>
      <x:c r="L39" s="13" t="str">
        <x:v>HttpOnly, Secure, 상황에 맞는 SameSite를 적용하고 만료 사전 안내와 연장 UX를 연결한다.</x:v>
      </x:c>
      <x:c r="M39" s="13" t="str">
        <x:v>로그아웃 후 재사용·만료·쿠키속성·세션 연장 시험을 실행한다.</x:v>
      </x:c>
      <x:c r="N39" s="13" t="str">
        <x:v>개발·QA</x:v>
      </x:c>
      <x:c r="O39" s="13" t="str">
        <x:v>P1</x:v>
      </x:c>
      <x:c r="P39" s="15" t="str">
        <x:v>계획</x:v>
      </x:c>
      <x:c r="Q39" s="15" t="str">
        <x:v>미실행</x:v>
      </x:c>
      <x:c r="R39" s="15" t="str">
        <x:v>미실행</x:v>
      </x:c>
      <x:c r="S39" s="15" t="str">
        <x:v>자동+수동</x:v>
      </x:c>
      <x:c r="T39" s="15" t="str"/>
      <x:c r="U39" s="15" t="str"/>
      <x:c r="V39" s="15" t="str"/>
      <x:c r="W39" s="15" t="str"/>
      <x:c r="X39" s="16" t="str"/>
      <x:c r="Y39" s="15" t="str"/>
      <x:c r="Z39" s="13" t="str">
        <x:f>IF(J39&lt;&gt;"적용","산정제외",IF(OR(Q39="실패",R39="실패"),"실패",IF(AND(P39="구현",T39&lt;&gt;"",U39&lt;&gt;"",V39&lt;&gt;"",W39&lt;&gt;"",ISNUMBER(X39),Y39="",OR(S39="수동",Q39="통과"),OR(S39="자동",R39="통과")),"통과","미검증")))</x:f>
        <x:v>미검증</x:v>
      </x:c>
      <x:c r="AA39" s="13" t="str"/>
      <x:c r="AB39" s="13" t="str">
        <x:v>S01, S05</x:v>
      </x:c>
    </x:row>
    <x:row r="40" ht="37.5" customHeight="1">
      <x:c r="A40" s="14" t="str">
        <x:v>SEC-008</x:v>
      </x:c>
      <x:c r="B40" s="14" t="str">
        <x:v>보안</x:v>
      </x:c>
      <x:c r="C40" s="14" t="str">
        <x:v>보안</x:v>
      </x:c>
      <x:c r="D40" s="14" t="str">
        <x:v>비밀정보 관리</x:v>
      </x:c>
      <x:c r="E40" s="14" t="str">
        <x:v>비밀키·토큰·운영 연결문자열을 저장소와 프런트 번들에서 제외한다.</x:v>
      </x:c>
      <x:c r="F40" s="14" t="str">
        <x:v>SRC-012</x:v>
      </x:c>
      <x:c r="G40" s="14" t="str">
        <x:v>세부 조항 직접 인용 아님</x:v>
      </x:c>
      <x:c r="H40" s="14" t="str">
        <x:v>해당없음(사내 기준)</x:v>
      </x:c>
      <x:c r="I40" s="14" t="str">
        <x:v>MUST(안)</x:v>
      </x:c>
      <x:c r="J40" s="14" t="str">
        <x:v>적용</x:v>
      </x:c>
      <x:c r="K40" s="14" t="str">
        <x:v>현재 샘플의 회사 필수 기준으로 채택 제안</x:v>
      </x:c>
      <x:c r="L40" s="14" t="str">
        <x:v>환경변수/비밀저장소와 최소권한을 사용하고 예제와 실값을 분리한다.</x:v>
      </x:c>
      <x:c r="M40" s="14" t="str">
        <x:v>소스·빌드 산출물·로그 비밀탐지를 수행한다.</x:v>
      </x:c>
      <x:c r="N40" s="14" t="str">
        <x:v>개발·QA</x:v>
      </x:c>
      <x:c r="O40" s="14" t="str">
        <x:v>P0</x:v>
      </x:c>
      <x:c r="P40" s="15" t="str">
        <x:v>계획</x:v>
      </x:c>
      <x:c r="Q40" s="15" t="str">
        <x:v>미실행</x:v>
      </x:c>
      <x:c r="R40" s="15" t="str">
        <x:v>미실행</x:v>
      </x:c>
      <x:c r="S40" s="15" t="str">
        <x:v>자동+수동</x:v>
      </x:c>
      <x:c r="T40" s="15" t="str"/>
      <x:c r="U40" s="15" t="str"/>
      <x:c r="V40" s="15" t="str"/>
      <x:c r="W40" s="15" t="str"/>
      <x:c r="X40" s="16" t="str"/>
      <x:c r="Y40" s="15" t="str"/>
      <x:c r="Z40" s="14" t="str">
        <x:f>IF(J40&lt;&gt;"적용","산정제외",IF(OR(Q40="실패",R40="실패"),"실패",IF(AND(P40="구현",T40&lt;&gt;"",U40&lt;&gt;"",V40&lt;&gt;"",W40&lt;&gt;"",ISNUMBER(X40),Y40="",OR(S40="수동",Q40="통과"),OR(S40="자동",R40="통과")),"통과","미검증")))</x:f>
        <x:v>미검증</x:v>
      </x:c>
      <x:c r="AA40" s="14" t="str"/>
      <x:c r="AB40" s="14" t="str">
        <x:v>S01, S04, S06</x:v>
      </x:c>
    </x:row>
    <x:row r="41" ht="37.5" customHeight="1">
      <x:c r="A41" s="13" t="str">
        <x:v>SEC-009</x:v>
      </x:c>
      <x:c r="B41" s="13" t="str">
        <x:v>보안</x:v>
      </x:c>
      <x:c r="C41" s="13" t="str">
        <x:v>보안</x:v>
      </x:c>
      <x:c r="D41" s="13" t="str">
        <x:v>안전한 파일 업로드</x:v>
      </x:c>
      <x:c r="E41" s="13" t="str">
        <x:v>파일 종류·내용·크기·개수·권한·저장경로를 검증한다.</x:v>
      </x:c>
      <x:c r="F41" s="13" t="str">
        <x:v>SRC-016</x:v>
      </x:c>
      <x:c r="G41" s="13" t="str">
        <x:v>세부 조항 직접 인용 아님</x:v>
      </x:c>
      <x:c r="H41" s="13" t="str">
        <x:v>해당없음(사내 기준)</x:v>
      </x:c>
      <x:c r="I41" s="13" t="str">
        <x:v>MUST(안)</x:v>
      </x:c>
      <x:c r="J41" s="13" t="str">
        <x:v>적용</x:v>
      </x:c>
      <x:c r="K41" s="13" t="str">
        <x:v>현재 샘플의 회사 필수 기준으로 채택 제안</x:v>
      </x:c>
      <x:c r="L41" s="13" t="str">
        <x:v>샘플은 허용 이미지로 제한하고 서버 생성명, 웹루트 외 저장, 메타데이터 처리 정책을 적용한다.</x:v>
      </x:c>
      <x:c r="M41" s="13" t="str">
        <x:v>이중확장자·MIME 불일치·과대파일·경로조작·권한 없는 다운로드를 시험한다.</x:v>
      </x:c>
      <x:c r="N41" s="13" t="str">
        <x:v>개발·QA</x:v>
      </x:c>
      <x:c r="O41" s="13" t="str">
        <x:v>P1</x:v>
      </x:c>
      <x:c r="P41" s="15" t="str">
        <x:v>계획</x:v>
      </x:c>
      <x:c r="Q41" s="15" t="str">
        <x:v>미실행</x:v>
      </x:c>
      <x:c r="R41" s="15" t="str">
        <x:v>미실행</x:v>
      </x:c>
      <x:c r="S41" s="15" t="str">
        <x:v>자동+수동</x:v>
      </x:c>
      <x:c r="T41" s="15" t="str"/>
      <x:c r="U41" s="15" t="str"/>
      <x:c r="V41" s="15" t="str"/>
      <x:c r="W41" s="15" t="str"/>
      <x:c r="X41" s="16" t="str"/>
      <x:c r="Y41" s="15" t="str"/>
      <x:c r="Z41" s="13" t="str">
        <x:f>IF(J41&lt;&gt;"적용","산정제외",IF(OR(Q41="실패",R41="실패"),"실패",IF(AND(P41="구현",T41&lt;&gt;"",U41&lt;&gt;"",V41&lt;&gt;"",W41&lt;&gt;"",ISNUMBER(X41),Y41="",OR(S41="수동",Q41="통과"),OR(S41="자동",R41="통과")),"통과","미검증")))</x:f>
        <x:v>미검증</x:v>
      </x:c>
      <x:c r="AA41" s="13" t="str"/>
      <x:c r="AB41" s="13" t="str">
        <x:v>S04, S05</x:v>
      </x:c>
    </x:row>
    <x:row r="42" ht="37.5" customHeight="1">
      <x:c r="A42" s="14" t="str">
        <x:v>SEC-010</x:v>
      </x:c>
      <x:c r="B42" s="14" t="str">
        <x:v>보안</x:v>
      </x:c>
      <x:c r="C42" s="14" t="str">
        <x:v>보안</x:v>
      </x:c>
      <x:c r="D42" s="14" t="str">
        <x:v>자원 남용 방지</x:v>
      </x:c>
      <x:c r="E42" s="14" t="str">
        <x:v>요청·검색·파일처리에 자원 상한을 둔다.</x:v>
      </x:c>
      <x:c r="F42" s="14" t="str">
        <x:v>SRC-009</x:v>
      </x:c>
      <x:c r="G42" s="14" t="str">
        <x:v>세부 조항 직접 인용 아님</x:v>
      </x:c>
      <x:c r="H42" s="14" t="str">
        <x:v>해당없음(사내 기준)</x:v>
      </x:c>
      <x:c r="I42" s="14" t="str">
        <x:v>MUST(안)</x:v>
      </x:c>
      <x:c r="J42" s="14" t="str">
        <x:v>적용</x:v>
      </x:c>
      <x:c r="K42" s="14" t="str">
        <x:v>현재 샘플의 회사 필수 기준으로 채택 제안</x:v>
      </x:c>
      <x:c r="L42" s="14" t="str">
        <x:v>본문·페이지크기·배열길이·동시성·타임아웃·요청빈도를 설정한다.</x:v>
      </x:c>
      <x:c r="M42" s="14" t="str">
        <x:v>상한 초과와 과도한 반복요청에 대한 거부·복구를 시험한다.</x:v>
      </x:c>
      <x:c r="N42" s="14" t="str">
        <x:v>개발·QA</x:v>
      </x:c>
      <x:c r="O42" s="14" t="str">
        <x:v>P1</x:v>
      </x:c>
      <x:c r="P42" s="15" t="str">
        <x:v>계획</x:v>
      </x:c>
      <x:c r="Q42" s="15" t="str">
        <x:v>미실행</x:v>
      </x:c>
      <x:c r="R42" s="15" t="str">
        <x:v>미실행</x:v>
      </x:c>
      <x:c r="S42" s="15" t="str">
        <x:v>자동+수동</x:v>
      </x:c>
      <x:c r="T42" s="15" t="str"/>
      <x:c r="U42" s="15" t="str"/>
      <x:c r="V42" s="15" t="str"/>
      <x:c r="W42" s="15" t="str"/>
      <x:c r="X42" s="16" t="str"/>
      <x:c r="Y42" s="15" t="str"/>
      <x:c r="Z42" s="14" t="str">
        <x:f>IF(J42&lt;&gt;"적용","산정제외",IF(OR(Q42="실패",R42="실패"),"실패",IF(AND(P42="구현",T42&lt;&gt;"",U42&lt;&gt;"",V42&lt;&gt;"",W42&lt;&gt;"",ISNUMBER(X42),Y42="",OR(S42="수동",Q42="통과"),OR(S42="자동",R42="통과")),"통과","미검증")))</x:f>
        <x:v>미검증</x:v>
      </x:c>
      <x:c r="AA42" s="14" t="str"/>
      <x:c r="AB42" s="14" t="str">
        <x:v>S01~S08 / 공통</x:v>
      </x:c>
    </x:row>
    <x:row r="43" ht="37.5" customHeight="1">
      <x:c r="A43" s="13" t="str">
        <x:v>SEC-011</x:v>
      </x:c>
      <x:c r="B43" s="13" t="str">
        <x:v>보안</x:v>
      </x:c>
      <x:c r="C43" s="13" t="str">
        <x:v>보안</x:v>
      </x:c>
      <x:c r="D43" s="13" t="str">
        <x:v>전송·브라우저 정책</x:v>
      </x:c>
      <x:c r="E43" s="13" t="str">
        <x:v>운영 전송 암호화와 보안헤더를 환경에 맞게 적용한다.</x:v>
      </x:c>
      <x:c r="F43" s="13" t="str">
        <x:v>SRC-012</x:v>
      </x:c>
      <x:c r="G43" s="13" t="str">
        <x:v>세부 조항 직접 인용 아님</x:v>
      </x:c>
      <x:c r="H43" s="13" t="str">
        <x:v>해당없음(사내 기준)</x:v>
      </x:c>
      <x:c r="I43" s="13" t="str">
        <x:v>MUST(안)</x:v>
      </x:c>
      <x:c r="J43" s="13" t="str">
        <x:v>적용</x:v>
      </x:c>
      <x:c r="K43" s="13" t="str">
        <x:v>현재 샘플의 회사 필수 기준으로 채택 제안</x:v>
      </x:c>
      <x:c r="L43" s="13" t="str">
        <x:v>운영 HTTPS, CSP, nosniff, frame-ancestors 등을 설정하고 CORS를 허용 출처로 한정한다.</x:v>
      </x:c>
      <x:c r="M43" s="13" t="str">
        <x:v>HTTPS 설정·응답헤더·외부 출처·프레임 삽입 시험을 실행한다.</x:v>
      </x:c>
      <x:c r="N43" s="13" t="str">
        <x:v>개발·QA</x:v>
      </x:c>
      <x:c r="O43" s="13" t="str">
        <x:v>P1</x:v>
      </x:c>
      <x:c r="P43" s="15" t="str">
        <x:v>계획</x:v>
      </x:c>
      <x:c r="Q43" s="15" t="str">
        <x:v>미실행</x:v>
      </x:c>
      <x:c r="R43" s="15" t="str">
        <x:v>미실행</x:v>
      </x:c>
      <x:c r="S43" s="15" t="str">
        <x:v>자동+수동</x:v>
      </x:c>
      <x:c r="T43" s="15" t="str"/>
      <x:c r="U43" s="15" t="str"/>
      <x:c r="V43" s="15" t="str"/>
      <x:c r="W43" s="15" t="str"/>
      <x:c r="X43" s="16" t="str"/>
      <x:c r="Y43" s="15" t="str"/>
      <x:c r="Z43" s="13" t="str">
        <x:f>IF(J43&lt;&gt;"적용","산정제외",IF(OR(Q43="실패",R43="실패"),"실패",IF(AND(P43="구현",T43&lt;&gt;"",U43&lt;&gt;"",V43&lt;&gt;"",W43&lt;&gt;"",ISNUMBER(X43),Y43="",OR(S43="수동",Q43="통과"),OR(S43="자동",R43="통과")),"통과","미검증")))</x:f>
        <x:v>미검증</x:v>
      </x:c>
      <x:c r="AA43" s="13" t="str"/>
      <x:c r="AB43" s="13" t="str">
        <x:v>S01~S08 / 공통</x:v>
      </x:c>
    </x:row>
    <x:row r="44" ht="37.5" customHeight="1">
      <x:c r="A44" s="14" t="str">
        <x:v>SEC-012</x:v>
      </x:c>
      <x:c r="B44" s="14" t="str">
        <x:v>보안</x:v>
      </x:c>
      <x:c r="C44" s="14" t="str">
        <x:v>보안</x:v>
      </x:c>
      <x:c r="D44" s="14" t="str">
        <x:v>오류 정보 최소화</x:v>
      </x:c>
      <x:c r="E44" s="14" t="str">
        <x:v>응답에 내부 경로·스택·연결정보를 노출하지 않는다.</x:v>
      </x:c>
      <x:c r="F44" s="14" t="str">
        <x:v>SRC-013</x:v>
      </x:c>
      <x:c r="G44" s="14" t="str">
        <x:v>세부 조항 직접 인용 아님</x:v>
      </x:c>
      <x:c r="H44" s="14" t="str">
        <x:v>해당없음(사내 기준)</x:v>
      </x:c>
      <x:c r="I44" s="14" t="str">
        <x:v>MUST(안)</x:v>
      </x:c>
      <x:c r="J44" s="14" t="str">
        <x:v>적용</x:v>
      </x:c>
      <x:c r="K44" s="14" t="str">
        <x:v>현재 샘플의 회사 필수 기준으로 채택 제안</x:v>
      </x:c>
      <x:c r="L44" s="14" t="str">
        <x:v>안정된 오류 메시지와 추적ID를 반환하고 상세정보는 제한된 서버 로그에 둔다.</x:v>
      </x:c>
      <x:c r="M44" s="14" t="str">
        <x:v>오류 강제발생 응답과 로그의 정보노출을 점검한다.</x:v>
      </x:c>
      <x:c r="N44" s="14" t="str">
        <x:v>개발·QA</x:v>
      </x:c>
      <x:c r="O44" s="14" t="str">
        <x:v>P1</x:v>
      </x:c>
      <x:c r="P44" s="15" t="str">
        <x:v>계획</x:v>
      </x:c>
      <x:c r="Q44" s="15" t="str">
        <x:v>미실행</x:v>
      </x:c>
      <x:c r="R44" s="15" t="str">
        <x:v>미실행</x:v>
      </x:c>
      <x:c r="S44" s="15" t="str">
        <x:v>자동+수동</x:v>
      </x:c>
      <x:c r="T44" s="15" t="str"/>
      <x:c r="U44" s="15" t="str"/>
      <x:c r="V44" s="15" t="str"/>
      <x:c r="W44" s="15" t="str"/>
      <x:c r="X44" s="16" t="str"/>
      <x:c r="Y44" s="15" t="str"/>
      <x:c r="Z44" s="14" t="str">
        <x:f>IF(J44&lt;&gt;"적용","산정제외",IF(OR(Q44="실패",R44="실패"),"실패",IF(AND(P44="구현",T44&lt;&gt;"",U44&lt;&gt;"",V44&lt;&gt;"",W44&lt;&gt;"",ISNUMBER(X44),Y44="",OR(S44="수동",Q44="통과"),OR(S44="자동",R44="통과")),"통과","미검증")))</x:f>
        <x:v>미검증</x:v>
      </x:c>
      <x:c r="AA44" s="14" t="str"/>
      <x:c r="AB44" s="14" t="str">
        <x:v>S05</x:v>
      </x:c>
    </x:row>
    <x:row r="45" ht="37.5" customHeight="1">
      <x:c r="A45" s="13" t="str">
        <x:v>SEC-013</x:v>
      </x:c>
      <x:c r="B45" s="13" t="str">
        <x:v>보안</x:v>
      </x:c>
      <x:c r="C45" s="13" t="str">
        <x:v>보안</x:v>
      </x:c>
      <x:c r="D45" s="13" t="str">
        <x:v>감사·민감정보 보호</x:v>
      </x:c>
      <x:c r="E45" s="13" t="str">
        <x:v>주요 상태변경은 추적하되 비밀번호·토큰·불필요 개인정보를 기록하지 않는다.</x:v>
      </x:c>
      <x:c r="F45" s="13" t="str">
        <x:v>SRC-017</x:v>
      </x:c>
      <x:c r="G45" s="13" t="str">
        <x:v>세부 조항 직접 인용 아님</x:v>
      </x:c>
      <x:c r="H45" s="13" t="str">
        <x:v>해당없음(사내 기준)</x:v>
      </x:c>
      <x:c r="I45" s="13" t="str">
        <x:v>MUST(안)</x:v>
      </x:c>
      <x:c r="J45" s="13" t="str">
        <x:v>적용</x:v>
      </x:c>
      <x:c r="K45" s="13" t="str">
        <x:v>현재 샘플의 회사 필수 기준으로 채택 제안</x:v>
      </x:c>
      <x:c r="L45" s="13" t="str">
        <x:v>구조화 로그에 행위자·대상·결과·시각·추적ID를 기록하고 민감 필드를 마스킹한다.</x:v>
      </x:c>
      <x:c r="M45" s="13" t="str">
        <x:v>로그 변조 입력·권한·실패 처리·민감정보 포함 여부를 검증한다.</x:v>
      </x:c>
      <x:c r="N45" s="13" t="str">
        <x:v>개발·QA</x:v>
      </x:c>
      <x:c r="O45" s="13" t="str">
        <x:v>P1</x:v>
      </x:c>
      <x:c r="P45" s="15" t="str">
        <x:v>계획</x:v>
      </x:c>
      <x:c r="Q45" s="15" t="str">
        <x:v>미실행</x:v>
      </x:c>
      <x:c r="R45" s="15" t="str">
        <x:v>미실행</x:v>
      </x:c>
      <x:c r="S45" s="15" t="str">
        <x:v>자동+수동</x:v>
      </x:c>
      <x:c r="T45" s="15" t="str"/>
      <x:c r="U45" s="15" t="str"/>
      <x:c r="V45" s="15" t="str"/>
      <x:c r="W45" s="15" t="str"/>
      <x:c r="X45" s="16" t="str"/>
      <x:c r="Y45" s="15" t="str"/>
      <x:c r="Z45" s="13" t="str">
        <x:f>IF(J45&lt;&gt;"적용","산정제외",IF(OR(Q45="실패",R45="실패"),"실패",IF(AND(P45="구현",T45&lt;&gt;"",U45&lt;&gt;"",V45&lt;&gt;"",W45&lt;&gt;"",ISNUMBER(X45),Y45="",OR(S45="수동",Q45="통과"),OR(S45="자동",R45="통과")),"통과","미검증")))</x:f>
        <x:v>미검증</x:v>
      </x:c>
      <x:c r="AA45" s="13" t="str"/>
      <x:c r="AB45" s="13" t="str">
        <x:v>S01, S04, S06</x:v>
      </x:c>
    </x:row>
    <x:row r="46" ht="37.5" customHeight="1">
      <x:c r="A46" s="14" t="str">
        <x:v>SEC-014</x:v>
      </x:c>
      <x:c r="B46" s="14" t="str">
        <x:v>보안</x:v>
      </x:c>
      <x:c r="C46" s="14" t="str">
        <x:v>보안</x:v>
      </x:c>
      <x:c r="D46" s="14" t="str">
        <x:v>공급망·취약 패키지</x:v>
      </x:c>
      <x:c r="E46" s="14" t="str">
        <x:v>의존성과 라이선스를 식별하고 취약점 판정 기록을 유지한다.</x:v>
      </x:c>
      <x:c r="F46" s="14" t="str">
        <x:v>SRC-007</x:v>
      </x:c>
      <x:c r="G46" s="14" t="str">
        <x:v>세부 조항 직접 인용 아님</x:v>
      </x:c>
      <x:c r="H46" s="14" t="str">
        <x:v>해당없음(사내 기준)</x:v>
      </x:c>
      <x:c r="I46" s="14" t="str">
        <x:v>MUST(안)</x:v>
      </x:c>
      <x:c r="J46" s="14" t="str">
        <x:v>적용</x:v>
      </x:c>
      <x:c r="K46" s="14" t="str">
        <x:v>현재 샘플의 회사 필수 기준으로 채택 제안</x:v>
      </x:c>
      <x:c r="L46" s="14" t="str">
        <x:v>잠금파일, SBOM, SCA 결과를 보존한다. 새 고위험 취약점은 해결 또는 근거 있는 승인 후 진행한다.</x:v>
      </x:c>
      <x:c r="M46" s="14" t="str">
        <x:v>동일 commit의 SBOM·스캔시각·CVE 판정·예외를 대조한다.</x:v>
      </x:c>
      <x:c r="N46" s="14" t="str">
        <x:v>개발·QA</x:v>
      </x:c>
      <x:c r="O46" s="14" t="str">
        <x:v>P1</x:v>
      </x:c>
      <x:c r="P46" s="15" t="str">
        <x:v>계획</x:v>
      </x:c>
      <x:c r="Q46" s="15" t="str">
        <x:v>미실행</x:v>
      </x:c>
      <x:c r="R46" s="15" t="str">
        <x:v>미실행</x:v>
      </x:c>
      <x:c r="S46" s="15" t="str">
        <x:v>자동+수동</x:v>
      </x:c>
      <x:c r="T46" s="15" t="str"/>
      <x:c r="U46" s="15" t="str"/>
      <x:c r="V46" s="15" t="str"/>
      <x:c r="W46" s="15" t="str"/>
      <x:c r="X46" s="16" t="str"/>
      <x:c r="Y46" s="15" t="str"/>
      <x:c r="Z46" s="14" t="str">
        <x:f>IF(J46&lt;&gt;"적용","산정제외",IF(OR(Q46="실패",R46="실패"),"실패",IF(AND(P46="구현",T46&lt;&gt;"",U46&lt;&gt;"",V46&lt;&gt;"",W46&lt;&gt;"",ISNUMBER(X46),Y46="",OR(S46="수동",Q46="통과"),OR(S46="자동",R46="통과")),"통과","미검증")))</x:f>
        <x:v>미검증</x:v>
      </x:c>
      <x:c r="AA46" s="14" t="str"/>
      <x:c r="AB46" s="14" t="str">
        <x:v>S01~S08 / 공통</x:v>
      </x:c>
    </x:row>
    <x:row r="47" ht="37.5" customHeight="1">
      <x:c r="A47" s="13" t="str">
        <x:v>SEC-015</x:v>
      </x:c>
      <x:c r="B47" s="13" t="str">
        <x:v>보안</x:v>
      </x:c>
      <x:c r="C47" s="13" t="str">
        <x:v>보안</x:v>
      </x:c>
      <x:c r="D47" s="13" t="str">
        <x:v>엑셀·CSV 수식 주입</x:v>
      </x:c>
      <x:c r="E47" s="13" t="str">
        <x:v>사용자 입력이 내려받은 문서의 수식으로 실행되지 않게 한다.</x:v>
      </x:c>
      <x:c r="F47" s="13" t="str">
        <x:v>SRC-018</x:v>
      </x:c>
      <x:c r="G47" s="13" t="str">
        <x:v>세부 조항 직접 인용 아님</x:v>
      </x:c>
      <x:c r="H47" s="13" t="str">
        <x:v>해당없음(사내 기준)</x:v>
      </x:c>
      <x:c r="I47" s="13" t="str">
        <x:v>MUST(안)</x:v>
      </x:c>
      <x:c r="J47" s="13" t="str">
        <x:v>적용</x:v>
      </x:c>
      <x:c r="K47" s="13" t="str">
        <x:v>현재 샘플의 회사 필수 기준으로 채택 제안</x:v>
      </x:c>
      <x:c r="L47" s="13" t="str">
        <x:v>XLSX는 문자열 셀 타입으로 쓰고 CSV는 위험 시작문자와 구분자·개행을 처리한다.</x:v>
      </x:c>
      <x:c r="M47" s="13" t="str">
        <x:v>=,+,-,@ 및 탭/개행 입력을 내려받아 실제 셀 타입과 표시를 확인한다.</x:v>
      </x:c>
      <x:c r="N47" s="13" t="str">
        <x:v>개발·QA</x:v>
      </x:c>
      <x:c r="O47" s="13" t="str">
        <x:v>P1</x:v>
      </x:c>
      <x:c r="P47" s="15" t="str">
        <x:v>계획</x:v>
      </x:c>
      <x:c r="Q47" s="15" t="str">
        <x:v>미실행</x:v>
      </x:c>
      <x:c r="R47" s="15" t="str">
        <x:v>미실행</x:v>
      </x:c>
      <x:c r="S47" s="15" t="str">
        <x:v>자동+수동</x:v>
      </x:c>
      <x:c r="T47" s="15" t="str"/>
      <x:c r="U47" s="15" t="str"/>
      <x:c r="V47" s="15" t="str"/>
      <x:c r="W47" s="15" t="str"/>
      <x:c r="X47" s="16" t="str"/>
      <x:c r="Y47" s="15" t="str"/>
      <x:c r="Z47" s="13" t="str">
        <x:f>IF(J47&lt;&gt;"적용","산정제외",IF(OR(Q47="실패",R47="실패"),"실패",IF(AND(P47="구현",T47&lt;&gt;"",U47&lt;&gt;"",V47&lt;&gt;"",W47&lt;&gt;"",ISNUMBER(X47),Y47="",OR(S47="수동",Q47="통과"),OR(S47="자동",R47="통과")),"통과","미검증")))</x:f>
        <x:v>미검증</x:v>
      </x:c>
      <x:c r="AA47" s="13" t="str"/>
      <x:c r="AB47" s="13" t="str">
        <x:v>S01~S08 / 공통</x:v>
      </x:c>
    </x:row>
    <x:row r="48" ht="37.5" customHeight="1">
      <x:c r="A48" s="14" t="str">
        <x:v>SEC-016</x:v>
      </x:c>
      <x:c r="B48" s="14" t="str">
        <x:v>보안</x:v>
      </x:c>
      <x:c r="C48" s="14" t="str">
        <x:v>보안</x:v>
      </x:c>
      <x:c r="D48" s="14" t="str">
        <x:v>서버 외부요청 제한</x:v>
      </x:c>
      <x:c r="E48" s="14" t="str">
        <x:v>URL을 받는 기능에는 SSRF 방어를 적용한다.</x:v>
      </x:c>
      <x:c r="F48" s="14" t="str">
        <x:v>SRC-012</x:v>
      </x:c>
      <x:c r="G48" s="14" t="str">
        <x:v>세부 조항 직접 인용 아님</x:v>
      </x:c>
      <x:c r="H48" s="14" t="str">
        <x:v>해당없음(사내 기준)</x:v>
      </x:c>
      <x:c r="I48" s="14" t="str">
        <x:v>MUST(안)</x:v>
      </x:c>
      <x:c r="J48" s="14" t="str">
        <x:v>조건부</x:v>
      </x:c>
      <x:c r="K48" s="14" t="str">
        <x:v>기능/대상 존재 및 적용 조건 확인 후 재판정</x:v>
      </x:c>
      <x:c r="L48" s="14" t="str">
        <x:v>외부 URL 가져오기를 기본 비활성화하고 필요 시 허용대상·DNS/IP·리다이렉트·응답크기를 제한한다.</x:v>
      </x:c>
      <x:c r="M48" s="14" t="str">
        <x:v>내부/루프백/메타데이터 주소와 리다이렉트 시도를 거부하는지 시험한다.</x:v>
      </x:c>
      <x:c r="N48" s="14" t="str">
        <x:v>개발·QA</x:v>
      </x:c>
      <x:c r="O48" s="14" t="str">
        <x:v>P1</x:v>
      </x:c>
      <x:c r="P48" s="15" t="str">
        <x:v>계획</x:v>
      </x:c>
      <x:c r="Q48" s="15" t="str">
        <x:v>미실행</x:v>
      </x:c>
      <x:c r="R48" s="15" t="str">
        <x:v>미실행</x:v>
      </x:c>
      <x:c r="S48" s="15" t="str">
        <x:v>자동+수동</x:v>
      </x:c>
      <x:c r="T48" s="15" t="str"/>
      <x:c r="U48" s="15" t="str"/>
      <x:c r="V48" s="15" t="str"/>
      <x:c r="W48" s="15" t="str"/>
      <x:c r="X48" s="16" t="str"/>
      <x:c r="Y48" s="15" t="str"/>
      <x:c r="Z48" s="14" t="str">
        <x:f>IF(J48&lt;&gt;"적용","산정제외",IF(OR(Q48="실패",R48="실패"),"실패",IF(AND(P48="구현",T48&lt;&gt;"",U48&lt;&gt;"",V48&lt;&gt;"",W48&lt;&gt;"",ISNUMBER(X48),Y48="",OR(S48="수동",Q48="통과"),OR(S48="자동",R48="통과")),"통과","미검증")))</x:f>
        <x:v>산정제외</x:v>
      </x:c>
      <x:c r="AA48" s="14" t="str"/>
      <x:c r="AB48" s="14" t="str">
        <x:v>S01~S08 / 공통</x:v>
      </x:c>
    </x:row>
    <x:row r="49" ht="37.5" customHeight="1">
      <x:c r="A49" s="13" t="str">
        <x:v>SEC-017</x:v>
      </x:c>
      <x:c r="B49" s="13" t="str">
        <x:v>보안</x:v>
      </x:c>
      <x:c r="C49" s="13" t="str">
        <x:v>보안</x:v>
      </x:c>
      <x:c r="D49" s="13" t="str">
        <x:v>샘플 데이터·백업</x:v>
      </x:c>
      <x:c r="E49" s="13" t="str">
        <x:v>개발·검증에 가상정보를 사용하고 저장·백업 접근을 제한한다.</x:v>
      </x:c>
      <x:c r="F49" s="13" t="str">
        <x:v>SRC-003</x:v>
      </x:c>
      <x:c r="G49" s="13" t="str">
        <x:v>세부 조항 직접 인용 아님</x:v>
      </x:c>
      <x:c r="H49" s="13" t="str">
        <x:v>해당없음(사내 기준)</x:v>
      </x:c>
      <x:c r="I49" s="13" t="str">
        <x:v>MUST(안)</x:v>
      </x:c>
      <x:c r="J49" s="13" t="str">
        <x:v>적용</x:v>
      </x:c>
      <x:c r="K49" s="13" t="str">
        <x:v>현재 샘플의 회사 필수 기준으로 채택 제안</x:v>
      </x:c>
      <x:c r="L49" s="13" t="str">
        <x:v>가상 seed 데이터를 제공하고 운영 데이터 가져오기는 별도 승인과 비식별 절차로 처리한다.</x:v>
      </x:c>
      <x:c r="M49" s="13" t="str">
        <x:v>데모 데이터의 실개인정보 부재와 복원절차를 확인한다.</x:v>
      </x:c>
      <x:c r="N49" s="13" t="str">
        <x:v>개발·QA</x:v>
      </x:c>
      <x:c r="O49" s="13" t="str">
        <x:v>P1</x:v>
      </x:c>
      <x:c r="P49" s="15" t="str">
        <x:v>계획</x:v>
      </x:c>
      <x:c r="Q49" s="15" t="str">
        <x:v>미실행</x:v>
      </x:c>
      <x:c r="R49" s="15" t="str">
        <x:v>미실행</x:v>
      </x:c>
      <x:c r="S49" s="15" t="str">
        <x:v>자동+수동</x:v>
      </x:c>
      <x:c r="T49" s="15" t="str"/>
      <x:c r="U49" s="15" t="str"/>
      <x:c r="V49" s="15" t="str"/>
      <x:c r="W49" s="15" t="str"/>
      <x:c r="X49" s="16" t="str"/>
      <x:c r="Y49" s="15" t="str"/>
      <x:c r="Z49" s="13" t="str">
        <x:f>IF(J49&lt;&gt;"적용","산정제외",IF(OR(Q49="실패",R49="실패"),"실패",IF(AND(P49="구현",T49&lt;&gt;"",U49&lt;&gt;"",V49&lt;&gt;"",W49&lt;&gt;"",ISNUMBER(X49),Y49="",OR(S49="수동",Q49="통과"),OR(S49="자동",R49="통과")),"통과","미검증")))</x:f>
        <x:v>미검증</x:v>
      </x:c>
      <x:c r="AA49" s="13" t="str"/>
      <x:c r="AB49" s="13" t="str">
        <x:v>S01~S08 / 공통</x:v>
      </x:c>
    </x:row>
    <x:row r="50" ht="37.5" customHeight="1">
      <x:c r="A50" s="14" t="str">
        <x:v>SEC-018</x:v>
      </x:c>
      <x:c r="B50" s="14" t="str">
        <x:v>보안</x:v>
      </x:c>
      <x:c r="C50" s="14" t="str">
        <x:v>보안</x:v>
      </x:c>
      <x:c r="D50" s="14" t="str">
        <x:v>안전한 파싱</x:v>
      </x:c>
      <x:c r="E50" s="14" t="str">
        <x:v>불필요한 동적 실행과 신뢰할 수 없는 역직렬화를 사용하지 않는다.</x:v>
      </x:c>
      <x:c r="F50" s="14" t="str">
        <x:v>SRC-013</x:v>
      </x:c>
      <x:c r="G50" s="14" t="str">
        <x:v>세부 조항 직접 인용 아님</x:v>
      </x:c>
      <x:c r="H50" s="14" t="str">
        <x:v>해당없음(사내 기준)</x:v>
      </x:c>
      <x:c r="I50" s="14" t="str">
        <x:v>MUST(안)</x:v>
      </x:c>
      <x:c r="J50" s="14" t="str">
        <x:v>적용</x:v>
      </x:c>
      <x:c r="K50" s="14" t="str">
        <x:v>현재 샘플의 회사 필수 기준으로 채택 제안</x:v>
      </x:c>
      <x:c r="L50" s="14" t="str">
        <x:v>JSON 스키마 검증, 제한된 파서 설정, eval/임의 타입 생성 금지를 적용한다.</x:v>
      </x:c>
      <x:c r="M50" s="14" t="str">
        <x:v>악성 구조·중첩 과다·크기초과·동적 실행 경로를 점검한다.</x:v>
      </x:c>
      <x:c r="N50" s="14" t="str">
        <x:v>개발·QA</x:v>
      </x:c>
      <x:c r="O50" s="14" t="str">
        <x:v>P1</x:v>
      </x:c>
      <x:c r="P50" s="15" t="str">
        <x:v>계획</x:v>
      </x:c>
      <x:c r="Q50" s="15" t="str">
        <x:v>미실행</x:v>
      </x:c>
      <x:c r="R50" s="15" t="str">
        <x:v>미실행</x:v>
      </x:c>
      <x:c r="S50" s="15" t="str">
        <x:v>자동+수동</x:v>
      </x:c>
      <x:c r="T50" s="15" t="str"/>
      <x:c r="U50" s="15" t="str"/>
      <x:c r="V50" s="15" t="str"/>
      <x:c r="W50" s="15" t="str"/>
      <x:c r="X50" s="16" t="str"/>
      <x:c r="Y50" s="15" t="str"/>
      <x:c r="Z50" s="14" t="str">
        <x:f>IF(J50&lt;&gt;"적용","산정제외",IF(OR(Q50="실패",R50="실패"),"실패",IF(AND(P50="구현",T50&lt;&gt;"",U50&lt;&gt;"",V50&lt;&gt;"",W50&lt;&gt;"",ISNUMBER(X50),Y50="",OR(S50="수동",Q50="통과"),OR(S50="자동",R50="통과")),"통과","미검증")))</x:f>
        <x:v>미검증</x:v>
      </x:c>
      <x:c r="AA50" s="14" t="str"/>
      <x:c r="AB50" s="14" t="str">
        <x:v>S01~S08 / 공통</x:v>
      </x:c>
    </x:row>
    <x:row r="51" ht="37.5" customHeight="1">
      <x:c r="A51" s="13" t="str">
        <x:v>MDR-000</x:v>
      </x:c>
      <x:c r="B51" s="13" t="str">
        <x:v>MDR 확인</x:v>
      </x:c>
      <x:c r="C51" s="13" t="str">
        <x:v>조건부 표준</x:v>
      </x:c>
      <x:c r="D51" s="13" t="str">
        <x:v>MDR 식별</x:v>
      </x:c>
      <x:c r="E51" s="13" t="str">
        <x:v>MDR의 정식 명칭·발행기관·판본·대상 언어와 적용범위를 확정한다.</x:v>
      </x:c>
      <x:c r="F51" s="13" t="str">
        <x:v>SRC-003</x:v>
      </x:c>
      <x:c r="G51" s="13" t="str">
        <x:v>세부 조항 직접 인용 아님</x:v>
      </x:c>
      <x:c r="H51" s="13" t="str">
        <x:v>해당없음(사내 기준)</x:v>
      </x:c>
      <x:c r="I51" s="13" t="str">
        <x:v>범위 판단 대기</x:v>
      </x:c>
      <x:c r="J51" s="13" t="str">
        <x:v>확인필요</x:v>
      </x:c>
      <x:c r="K51" s="13" t="str">
        <x:v>MDR 정식 명칭·판본·대상 언어/제품 미확정</x:v>
      </x:c>
      <x:c r="L51" s="13" t="str">
        <x:v>미확정 동안 MDR=미정으로 기록하고 MISRA·EU MDR·MDR 보안관제를 임의 치환하지 않는다.</x:v>
      </x:c>
      <x:c r="M51" s="13" t="str">
        <x:v>사용자 제공 원문/정식 명칭으로 확인 후 별도 프로파일과 조항 목록을 만든다.</x:v>
      </x:c>
      <x:c r="N51" s="13" t="str">
        <x:v>개발·QA</x:v>
      </x:c>
      <x:c r="O51" s="13" t="str">
        <x:v>P0</x:v>
      </x:c>
      <x:c r="P51" s="15" t="str">
        <x:v>계획</x:v>
      </x:c>
      <x:c r="Q51" s="15" t="str">
        <x:v>미실행</x:v>
      </x:c>
      <x:c r="R51" s="15" t="str">
        <x:v>미실행</x:v>
      </x:c>
      <x:c r="S51" s="15" t="str">
        <x:v>수동</x:v>
      </x:c>
      <x:c r="T51" s="15" t="str"/>
      <x:c r="U51" s="15" t="str"/>
      <x:c r="V51" s="15" t="str"/>
      <x:c r="W51" s="15" t="str"/>
      <x:c r="X51" s="16" t="str"/>
      <x:c r="Y51" s="15" t="str"/>
      <x:c r="Z51" s="13" t="str">
        <x:f>IF(J51&lt;&gt;"적용","산정제외",IF(OR(Q51="실패",R51="실패"),"실패",IF(AND(P51="구현",T51&lt;&gt;"",U51&lt;&gt;"",V51&lt;&gt;"",W51&lt;&gt;"",ISNUMBER(X51),Y51="",OR(S51="수동",Q51="통과"),OR(S51="자동",R51="통과")),"통과","미검증")))</x:f>
        <x:v>산정제외</x:v>
      </x:c>
      <x:c r="AA51" s="13" t="str"/>
      <x:c r="AB51" s="13" t="str">
        <x:v>S05</x:v>
      </x:c>
    </x:row>
    <x:row r="52" ht="37.5" customHeight="1">
      <x:c r="A52" s="14" t="str">
        <x:v>UI-001</x:v>
      </x:c>
      <x:c r="B52" s="14" t="str">
        <x:v>KRDS UI/UX</x:v>
      </x:c>
      <x:c r="C52" s="14" t="str">
        <x:v>UI 원칙</x:v>
      </x:c>
      <x:c r="D52" s="14" t="str">
        <x:v>사용자 중심의 서비스</x:v>
      </x:c>
      <x:c r="E52" s="14" t="str">
        <x:v>핵심 사용자와 업무 성공조건을 먼저 정의</x:v>
      </x:c>
      <x:c r="F52" s="14" t="str">
        <x:v>SRC-001</x:v>
      </x:c>
      <x:c r="G52" s="14" t="str">
        <x:v>디자인 원칙 / 원칙 / 사용자 중심의 서비스 / p.49-50</x:v>
      </x:c>
      <x:c r="H52" s="14" t="str">
        <x:v>원문 등급 별도 확인</x:v>
      </x:c>
      <x:c r="I52" s="14" t="str">
        <x:v>MUST(안)</x:v>
      </x:c>
      <x:c r="J52" s="14" t="str">
        <x:v>적용</x:v>
      </x:c>
      <x:c r="K52" s="14" t="str">
        <x:v>업무요청 웹 샘플에 채택하는 회사 기준. 실제 이행은 구현 후 판정.</x:v>
      </x:c>
      <x:c r="L52" s="14" t="str">
        <x:v>요청자·처리담당자·관리자별 탐색부터 완료까지 과업을 정하고 요구 ID와 연결</x:v>
      </x:c>
      <x:c r="M52" s="14" t="str">
        <x:v>역할별 대표 과업과 수용기준 검토</x:v>
      </x:c>
      <x:c r="N52" s="14" t="str">
        <x:v>UX·개발·QA</x:v>
      </x:c>
      <x:c r="O52" s="14" t="str">
        <x:v>P1</x:v>
      </x:c>
      <x:c r="P52" s="15" t="str">
        <x:v>계획</x:v>
      </x:c>
      <x:c r="Q52" s="15" t="str">
        <x:v>미실행</x:v>
      </x:c>
      <x:c r="R52" s="15" t="str">
        <x:v>미실행</x:v>
      </x:c>
      <x:c r="S52" s="15" t="str">
        <x:v>자동+수동</x:v>
      </x:c>
      <x:c r="T52" s="15" t="str"/>
      <x:c r="U52" s="15" t="str"/>
      <x:c r="V52" s="15" t="str"/>
      <x:c r="W52" s="15" t="str"/>
      <x:c r="X52" s="16" t="str"/>
      <x:c r="Y52" s="15" t="str"/>
      <x:c r="Z52" s="14" t="str">
        <x:f>IF(J52&lt;&gt;"적용","산정제외",IF(OR(Q52="실패",R52="실패"),"실패",IF(AND(P52="구현",T52&lt;&gt;"",U52&lt;&gt;"",V52&lt;&gt;"",W52&lt;&gt;"",ISNUMBER(X52),Y52="",OR(S52="수동",Q52="통과"),OR(S52="자동",R52="통과")),"통과","미검증")))</x:f>
        <x:v>미검증</x:v>
      </x:c>
      <x:c r="AA52" s="14" t="str">
        <x:v>KRDS-SEC-001</x:v>
      </x:c>
      <x:c r="AB52" s="14" t="str">
        <x:v>S05</x:v>
      </x:c>
    </x:row>
    <x:row r="53" ht="37.5" customHeight="1">
      <x:c r="A53" s="13" t="str">
        <x:v>UI-002</x:v>
      </x:c>
      <x:c r="B53" s="13" t="str">
        <x:v>KRDS UI/UX</x:v>
      </x:c>
      <x:c r="C53" s="13" t="str">
        <x:v>UI 원칙</x:v>
      </x:c>
      <x:c r="D53" s="13" t="str">
        <x:v>모든 사용자를 포용하는 서비스</x:v>
      </x:c>
      <x:c r="E53" s="13" t="str">
        <x:v>장애·고령·디지털 숙련도 차이를 고려</x:v>
      </x:c>
      <x:c r="F53" s="13" t="str">
        <x:v>SRC-001</x:v>
      </x:c>
      <x:c r="G53" s="13" t="str">
        <x:v>디자인 원칙 / 원칙 / 모든 사용자를 포용하는 서비스 / p.51-52</x:v>
      </x:c>
      <x:c r="H53" s="13" t="str">
        <x:v>원문 등급 별도 확인</x:v>
      </x:c>
      <x:c r="I53" s="13" t="str">
        <x:v>MUST(안)</x:v>
      </x:c>
      <x:c r="J53" s="13" t="str">
        <x:v>적용</x:v>
      </x:c>
      <x:c r="K53" s="13" t="str">
        <x:v>업무요청 웹 샘플에 채택하는 회사 기준. 실제 이행은 구현 후 판정.</x:v>
      </x:c>
      <x:c r="L53" s="13" t="str">
        <x:v>키보드, 화면낭독기, 확대, 대조, 쉬운 문구를 공통 컴포넌트 기본값으로 구현</x:v>
      </x:c>
      <x:c r="M53" s="13" t="str">
        <x:v>접근성 자동 검사와 수동 사용자 여정 점검</x:v>
      </x:c>
      <x:c r="N53" s="13" t="str">
        <x:v>UX·개발·QA</x:v>
      </x:c>
      <x:c r="O53" s="13" t="str">
        <x:v>P1</x:v>
      </x:c>
      <x:c r="P53" s="15" t="str">
        <x:v>계획</x:v>
      </x:c>
      <x:c r="Q53" s="15" t="str">
        <x:v>미실행</x:v>
      </x:c>
      <x:c r="R53" s="15" t="str">
        <x:v>미실행</x:v>
      </x:c>
      <x:c r="S53" s="15" t="str">
        <x:v>자동+수동</x:v>
      </x:c>
      <x:c r="T53" s="15" t="str"/>
      <x:c r="U53" s="15" t="str"/>
      <x:c r="V53" s="15" t="str"/>
      <x:c r="W53" s="15" t="str"/>
      <x:c r="X53" s="16" t="str"/>
      <x:c r="Y53" s="15" t="str"/>
      <x:c r="Z53" s="13" t="str">
        <x:f>IF(J53&lt;&gt;"적용","산정제외",IF(OR(Q53="실패",R53="실패"),"실패",IF(AND(P53="구현",T53&lt;&gt;"",U53&lt;&gt;"",V53&lt;&gt;"",W53&lt;&gt;"",ISNUMBER(X53),Y53="",OR(S53="수동",Q53="통과"),OR(S53="자동",R53="통과")),"통과","미검증")))</x:f>
        <x:v>미검증</x:v>
      </x:c>
      <x:c r="AA53" s="13" t="str">
        <x:v>KRDS-SEC-002</x:v>
      </x:c>
      <x:c r="AB53" s="13" t="str">
        <x:v>S01~S08 / 공통</x:v>
      </x:c>
    </x:row>
    <x:row r="54" ht="37.5" customHeight="1">
      <x:c r="A54" s="14" t="str">
        <x:v>UI-003</x:v>
      </x:c>
      <x:c r="B54" s="14" t="str">
        <x:v>KRDS UI/UX</x:v>
      </x:c>
      <x:c r="C54" s="14" t="str">
        <x:v>UI 원칙</x:v>
      </x:c>
      <x:c r="D54" s="14" t="str">
        <x:v>공통된 경험 안에서 개별 특성을 고려한 서비스</x:v>
      </x:c>
      <x:c r="E54" s="14" t="str">
        <x:v>공통 컴포넌트와 업무별 특성을 함께 관리</x:v>
      </x:c>
      <x:c r="F54" s="14" t="str">
        <x:v>SRC-001</x:v>
      </x:c>
      <x:c r="G54" s="14" t="str">
        <x:v>디자인 원칙 / 원칙 / 공통된 경험 안에서 개별 특성을 고려한 서비스 / p.53-54</x:v>
      </x:c>
      <x:c r="H54" s="14" t="str">
        <x:v>원문 등급 별도 확인</x:v>
      </x:c>
      <x:c r="I54" s="14" t="str">
        <x:v>MUST(안)</x:v>
      </x:c>
      <x:c r="J54" s="14" t="str">
        <x:v>적용</x:v>
      </x:c>
      <x:c r="K54" s="14" t="str">
        <x:v>업무요청 웹 샘플에 채택하는 회사 기준. 실제 이행은 구현 후 판정.</x:v>
      </x:c>
      <x:c r="L54" s="14" t="str">
        <x:v>공유 디자인 토큰과 기본 패턴을 사용하고 업무 특화 변경은 예외대장에 기록</x:v>
      </x:c>
      <x:c r="M54" s="14" t="str">
        <x:v>페이지 간 동일 기능의 표현·행동 비교</x:v>
      </x:c>
      <x:c r="N54" s="14" t="str">
        <x:v>UX·개발·QA</x:v>
      </x:c>
      <x:c r="O54" s="14" t="str">
        <x:v>P1</x:v>
      </x:c>
      <x:c r="P54" s="15" t="str">
        <x:v>계획</x:v>
      </x:c>
      <x:c r="Q54" s="15" t="str">
        <x:v>미실행</x:v>
      </x:c>
      <x:c r="R54" s="15" t="str">
        <x:v>미실행</x:v>
      </x:c>
      <x:c r="S54" s="15" t="str">
        <x:v>자동+수동</x:v>
      </x:c>
      <x:c r="T54" s="15" t="str"/>
      <x:c r="U54" s="15" t="str"/>
      <x:c r="V54" s="15" t="str"/>
      <x:c r="W54" s="15" t="str"/>
      <x:c r="X54" s="16" t="str"/>
      <x:c r="Y54" s="15" t="str"/>
      <x:c r="Z54" s="14" t="str">
        <x:f>IF(J54&lt;&gt;"적용","산정제외",IF(OR(Q54="실패",R54="실패"),"실패",IF(AND(P54="구현",T54&lt;&gt;"",U54&lt;&gt;"",V54&lt;&gt;"",W54&lt;&gt;"",ISNUMBER(X54),Y54="",OR(S54="수동",Q54="통과"),OR(S54="자동",R54="통과")),"통과","미검증")))</x:f>
        <x:v>미검증</x:v>
      </x:c>
      <x:c r="AA54" s="14" t="str">
        <x:v>KRDS-SEC-003</x:v>
      </x:c>
      <x:c r="AB54" s="14" t="str">
        <x:v>S01~S08 / 공통</x:v>
      </x:c>
    </x:row>
    <x:row r="55" ht="37.5" customHeight="1">
      <x:c r="A55" s="13" t="str">
        <x:v>UI-004</x:v>
      </x:c>
      <x:c r="B55" s="13" t="str">
        <x:v>KRDS UI/UX</x:v>
      </x:c>
      <x:c r="C55" s="13" t="str">
        <x:v>UI 원칙</x:v>
      </x:c>
      <x:c r="D55" s="13" t="str">
        <x:v>빠르고 간단한 서비스</x:v>
      </x:c>
      <x:c r="E55" s="13" t="str">
        <x:v>불필요한 입력과 절차를 줄임</x:v>
      </x:c>
      <x:c r="F55" s="13" t="str">
        <x:v>SRC-001</x:v>
      </x:c>
      <x:c r="G55" s="13" t="str">
        <x:v>디자인 원칙 / 원칙 / 빠르고 간단한 서비스 / p.55-56</x:v>
      </x:c>
      <x:c r="H55" s="13" t="str">
        <x:v>원문 등급 별도 확인</x:v>
      </x:c>
      <x:c r="I55" s="13" t="str">
        <x:v>MUST(안)</x:v>
      </x:c>
      <x:c r="J55" s="13" t="str">
        <x:v>적용</x:v>
      </x:c>
      <x:c r="K55" s="13" t="str">
        <x:v>업무요청 웹 샘플에 채택하는 회사 기준. 실제 이행은 구현 후 판정.</x:v>
      </x:c>
      <x:c r="L55" s="13" t="str">
        <x:v>필수 업무데이터만 수집하고 이전 입력 재사용·진행상태·처리결과를 표시</x:v>
      </x:c>
      <x:c r="M55" s="13" t="str">
        <x:v>등록 과업의 단계 수와 중복입력 점검</x:v>
      </x:c>
      <x:c r="N55" s="13" t="str">
        <x:v>UX·개발·QA</x:v>
      </x:c>
      <x:c r="O55" s="13" t="str">
        <x:v>P1</x:v>
      </x:c>
      <x:c r="P55" s="15" t="str">
        <x:v>계획</x:v>
      </x:c>
      <x:c r="Q55" s="15" t="str">
        <x:v>미실행</x:v>
      </x:c>
      <x:c r="R55" s="15" t="str">
        <x:v>미실행</x:v>
      </x:c>
      <x:c r="S55" s="15" t="str">
        <x:v>자동+수동</x:v>
      </x:c>
      <x:c r="T55" s="15" t="str"/>
      <x:c r="U55" s="15" t="str"/>
      <x:c r="V55" s="15" t="str"/>
      <x:c r="W55" s="15" t="str"/>
      <x:c r="X55" s="16" t="str"/>
      <x:c r="Y55" s="15" t="str"/>
      <x:c r="Z55" s="13" t="str">
        <x:f>IF(J55&lt;&gt;"적용","산정제외",IF(OR(Q55="실패",R55="실패"),"실패",IF(AND(P55="구현",T55&lt;&gt;"",U55&lt;&gt;"",V55&lt;&gt;"",W55&lt;&gt;"",ISNUMBER(X55),Y55="",OR(S55="수동",Q55="통과"),OR(S55="자동",R55="통과")),"통과","미검증")))</x:f>
        <x:v>미검증</x:v>
      </x:c>
      <x:c r="AA55" s="13" t="str">
        <x:v>KRDS-SEC-004</x:v>
      </x:c>
      <x:c r="AB55" s="13" t="str">
        <x:v>S05</x:v>
      </x:c>
    </x:row>
    <x:row r="56" ht="37.5" customHeight="1">
      <x:c r="A56" s="14" t="str">
        <x:v>UI-005</x:v>
      </x:c>
      <x:c r="B56" s="14" t="str">
        <x:v>KRDS UI/UX</x:v>
      </x:c>
      <x:c r="C56" s="14" t="str">
        <x:v>UI 원칙</x:v>
      </x:c>
      <x:c r="D56" s="14" t="str">
        <x:v>쉽게 이해하고 사용할 수 있는 서비스</x:v>
      </x:c>
      <x:c r="E56" s="14" t="str">
        <x:v>이해 가능한 용어와 예측 가능한 행동 제공</x:v>
      </x:c>
      <x:c r="F56" s="14" t="str">
        <x:v>SRC-001</x:v>
      </x:c>
      <x:c r="G56" s="14" t="str">
        <x:v>디자인 원칙 / 원칙 / 쉽게 이해하고 사용할 수 있는 서비스 / p.57-58</x:v>
      </x:c>
      <x:c r="H56" s="14" t="str">
        <x:v>원문 등급 별도 확인</x:v>
      </x:c>
      <x:c r="I56" s="14" t="str">
        <x:v>MUST(안)</x:v>
      </x:c>
      <x:c r="J56" s="14" t="str">
        <x:v>적용</x:v>
      </x:c>
      <x:c r="K56" s="14" t="str">
        <x:v>업무요청 웹 샘플에 채택하는 회사 기준. 실제 이행은 구현 후 판정.</x:v>
      </x:c>
      <x:c r="L56" s="14" t="str">
        <x:v>사용자 언어로 버튼·오류·상태를 작성하고 설명·예시를 입력 근처에 제공</x:v>
      </x:c>
      <x:c r="M56" s="14" t="str">
        <x:v>비개발자 대상 문구 검토와 과업 관찰</x:v>
      </x:c>
      <x:c r="N56" s="14" t="str">
        <x:v>UX·개발·QA</x:v>
      </x:c>
      <x:c r="O56" s="14" t="str">
        <x:v>P1</x:v>
      </x:c>
      <x:c r="P56" s="15" t="str">
        <x:v>계획</x:v>
      </x:c>
      <x:c r="Q56" s="15" t="str">
        <x:v>미실행</x:v>
      </x:c>
      <x:c r="R56" s="15" t="str">
        <x:v>미실행</x:v>
      </x:c>
      <x:c r="S56" s="15" t="str">
        <x:v>자동+수동</x:v>
      </x:c>
      <x:c r="T56" s="15" t="str"/>
      <x:c r="U56" s="15" t="str"/>
      <x:c r="V56" s="15" t="str"/>
      <x:c r="W56" s="15" t="str"/>
      <x:c r="X56" s="16" t="str"/>
      <x:c r="Y56" s="15" t="str"/>
      <x:c r="Z56" s="14" t="str">
        <x:f>IF(J56&lt;&gt;"적용","산정제외",IF(OR(Q56="실패",R56="실패"),"실패",IF(AND(P56="구현",T56&lt;&gt;"",U56&lt;&gt;"",V56&lt;&gt;"",W56&lt;&gt;"",ISNUMBER(X56),Y56="",OR(S56="수동",Q56="통과"),OR(S56="자동",R56="통과")),"통과","미검증")))</x:f>
        <x:v>미검증</x:v>
      </x:c>
      <x:c r="AA56" s="14" t="str">
        <x:v>KRDS-SEC-005</x:v>
      </x:c>
      <x:c r="AB56" s="14" t="str">
        <x:v>S05</x:v>
      </x:c>
    </x:row>
    <x:row r="57" ht="37.5" customHeight="1">
      <x:c r="A57" s="13" t="str">
        <x:v>UI-006</x:v>
      </x:c>
      <x:c r="B57" s="13" t="str">
        <x:v>KRDS UI/UX</x:v>
      </x:c>
      <x:c r="C57" s="13" t="str">
        <x:v>UI 원칙</x:v>
      </x:c>
      <x:c r="D57" s="13" t="str">
        <x:v>사용자의 다양한 상황을 고려하는 서비스</x:v>
      </x:c>
      <x:c r="E57" s="13" t="str">
        <x:v>다양한 기기·입력·연결 상황을 고려</x:v>
      </x:c>
      <x:c r="F57" s="13" t="str">
        <x:v>SRC-001</x:v>
      </x:c>
      <x:c r="G57" s="13" t="str">
        <x:v>디자인 원칙 / 원칙 / 사용자의 다양한 상황을 고려하는 서비스 / p.59-60</x:v>
      </x:c>
      <x:c r="H57" s="13" t="str">
        <x:v>원문 등급 별도 확인</x:v>
      </x:c>
      <x:c r="I57" s="13" t="str">
        <x:v>MUST(안)</x:v>
      </x:c>
      <x:c r="J57" s="13" t="str">
        <x:v>적용</x:v>
      </x:c>
      <x:c r="K57" s="13" t="str">
        <x:v>업무요청 웹 샘플에 채택하는 회사 기준. 실제 이행은 구현 후 판정.</x:v>
      </x:c>
      <x:c r="L57" s="13" t="str">
        <x:v>작은 화면·키보드·터치·느린 요청·오프라인 안내와 복구 경로를 설계</x:v>
      </x:c>
      <x:c r="M57" s="13" t="str">
        <x:v>기기·입력·네트워크 매트릭스 점검</x:v>
      </x:c>
      <x:c r="N57" s="13" t="str">
        <x:v>UX·개발·QA</x:v>
      </x:c>
      <x:c r="O57" s="13" t="str">
        <x:v>P1</x:v>
      </x:c>
      <x:c r="P57" s="15" t="str">
        <x:v>계획</x:v>
      </x:c>
      <x:c r="Q57" s="15" t="str">
        <x:v>미실행</x:v>
      </x:c>
      <x:c r="R57" s="15" t="str">
        <x:v>미실행</x:v>
      </x:c>
      <x:c r="S57" s="15" t="str">
        <x:v>자동+수동</x:v>
      </x:c>
      <x:c r="T57" s="15" t="str"/>
      <x:c r="U57" s="15" t="str"/>
      <x:c r="V57" s="15" t="str"/>
      <x:c r="W57" s="15" t="str"/>
      <x:c r="X57" s="16" t="str"/>
      <x:c r="Y57" s="15" t="str"/>
      <x:c r="Z57" s="13" t="str">
        <x:f>IF(J57&lt;&gt;"적용","산정제외",IF(OR(Q57="실패",R57="실패"),"실패",IF(AND(P57="구현",T57&lt;&gt;"",U57&lt;&gt;"",V57&lt;&gt;"",W57&lt;&gt;"",ISNUMBER(X57),Y57="",OR(S57="수동",Q57="통과"),OR(S57="자동",R57="통과")),"통과","미검증")))</x:f>
        <x:v>미검증</x:v>
      </x:c>
      <x:c r="AA57" s="13" t="str">
        <x:v>KRDS-SEC-006</x:v>
      </x:c>
      <x:c r="AB57" s="13" t="str">
        <x:v>S01~S08 / 공통</x:v>
      </x:c>
    </x:row>
    <x:row r="58" ht="37.5" customHeight="1">
      <x:c r="A58" s="14" t="str">
        <x:v>UI-007</x:v>
      </x:c>
      <x:c r="B58" s="14" t="str">
        <x:v>KRDS UI/UX</x:v>
      </x:c>
      <x:c r="C58" s="14" t="str">
        <x:v>UI 원칙</x:v>
      </x:c>
      <x:c r="D58" s="14" t="str">
        <x:v>신뢰할 수 있는 서비스</x:v>
      </x:c>
      <x:c r="E58" s="14" t="str">
        <x:v>정확한 정보와 예측 가능한 피드백 제공</x:v>
      </x:c>
      <x:c r="F58" s="14" t="str">
        <x:v>SRC-001</x:v>
      </x:c>
      <x:c r="G58" s="14" t="str">
        <x:v>디자인 원칙 / 원칙 / 신뢰할 수 있는 서비스 / p.61-64</x:v>
      </x:c>
      <x:c r="H58" s="14" t="str">
        <x:v>원문 등급 별도 확인</x:v>
      </x:c>
      <x:c r="I58" s="14" t="str">
        <x:v>MUST(안)</x:v>
      </x:c>
      <x:c r="J58" s="14" t="str">
        <x:v>적용</x:v>
      </x:c>
      <x:c r="K58" s="14" t="str">
        <x:v>업무요청 웹 샘플에 채택하는 회사 기준. 실제 이행은 구현 후 판정.</x:v>
      </x:c>
      <x:c r="L58" s="14" t="str">
        <x:v>회사 운영주체, 처리상태, 문의수단, 데이터 처리안내를 일관되게 제공</x:v>
      </x:c>
      <x:c r="M58" s="14" t="str">
        <x:v>표시 정보와 실제 서버 상태의 일치 검토</x:v>
      </x:c>
      <x:c r="N58" s="14" t="str">
        <x:v>UX·개발·QA</x:v>
      </x:c>
      <x:c r="O58" s="14" t="str">
        <x:v>P1</x:v>
      </x:c>
      <x:c r="P58" s="15" t="str">
        <x:v>계획</x:v>
      </x:c>
      <x:c r="Q58" s="15" t="str">
        <x:v>미실행</x:v>
      </x:c>
      <x:c r="R58" s="15" t="str">
        <x:v>미실행</x:v>
      </x:c>
      <x:c r="S58" s="15" t="str">
        <x:v>자동+수동</x:v>
      </x:c>
      <x:c r="T58" s="15" t="str"/>
      <x:c r="U58" s="15" t="str"/>
      <x:c r="V58" s="15" t="str"/>
      <x:c r="W58" s="15" t="str"/>
      <x:c r="X58" s="16" t="str"/>
      <x:c r="Y58" s="15" t="str"/>
      <x:c r="Z58" s="14" t="str">
        <x:f>IF(J58&lt;&gt;"적용","산정제외",IF(OR(Q58="실패",R58="실패"),"실패",IF(AND(P58="구현",T58&lt;&gt;"",U58&lt;&gt;"",V58&lt;&gt;"",W58&lt;&gt;"",ISNUMBER(X58),Y58="",OR(S58="수동",Q58="통과"),OR(S58="자동",R58="통과")),"통과","미검증")))</x:f>
        <x:v>미검증</x:v>
      </x:c>
      <x:c r="AA58" s="14" t="str">
        <x:v>KRDS-SEC-007</x:v>
      </x:c>
      <x:c r="AB58" s="14" t="str">
        <x:v>S01~S08 / 공통</x:v>
      </x:c>
    </x:row>
    <x:row r="59" ht="37.5" customHeight="1">
      <x:c r="A59" s="13" t="str">
        <x:v>UI-008</x:v>
      </x:c>
      <x:c r="B59" s="13" t="str">
        <x:v>KRDS UI/UX</x:v>
      </x:c>
      <x:c r="C59" s="13" t="str">
        <x:v>UI 스타일</x:v>
      </x:c>
      <x:c r="D59" s="13" t="str">
        <x:v>색상</x:v>
      </x:c>
      <x:c r="E59" s="13" t="str">
        <x:v>의미·상태별 색상과 대비를 토큰으로 관리</x:v>
      </x:c>
      <x:c r="F59" s="13" t="str">
        <x:v>SRC-001</x:v>
      </x:c>
      <x:c r="G59" s="13" t="str">
        <x:v>디자인 스타일 / 스타일 / 색상 / p.74-101</x:v>
      </x:c>
      <x:c r="H59" s="13" t="str">
        <x:v>원문 등급 별도 확인</x:v>
      </x:c>
      <x:c r="I59" s="13" t="str">
        <x:v>MUST(안)</x:v>
      </x:c>
      <x:c r="J59" s="13" t="str">
        <x:v>적용</x:v>
      </x:c>
      <x:c r="K59" s="13" t="str">
        <x:v>업무요청 웹 샘플에 채택하는 회사 기준. 실제 이행은 구현 후 판정.</x:v>
      </x:c>
      <x:c r="L59" s="13" t="str">
        <x:v>브랜드/중립/오류/성공 색을 CSS 변수로 관리하고 색 외 텍스트·아이콘을 함께 제공</x:v>
      </x:c>
      <x:c r="M59" s="13" t="str">
        <x:v>실제 전경·배경 조합의 대비 측정 및 색상 제거 점검</x:v>
      </x:c>
      <x:c r="N59" s="13" t="str">
        <x:v>UX·개발·QA</x:v>
      </x:c>
      <x:c r="O59" s="13" t="str">
        <x:v>P1</x:v>
      </x:c>
      <x:c r="P59" s="15" t="str">
        <x:v>계획</x:v>
      </x:c>
      <x:c r="Q59" s="15" t="str">
        <x:v>미실행</x:v>
      </x:c>
      <x:c r="R59" s="15" t="str">
        <x:v>미실행</x:v>
      </x:c>
      <x:c r="S59" s="15" t="str">
        <x:v>자동+수동</x:v>
      </x:c>
      <x:c r="T59" s="15" t="str"/>
      <x:c r="U59" s="15" t="str"/>
      <x:c r="V59" s="15" t="str"/>
      <x:c r="W59" s="15" t="str"/>
      <x:c r="X59" s="16" t="str"/>
      <x:c r="Y59" s="15" t="str"/>
      <x:c r="Z59" s="13" t="str">
        <x:f>IF(J59&lt;&gt;"적용","산정제외",IF(OR(Q59="실패",R59="실패"),"실패",IF(AND(P59="구현",T59&lt;&gt;"",U59&lt;&gt;"",V59&lt;&gt;"",W59&lt;&gt;"",ISNUMBER(X59),Y59="",OR(S59="수동",Q59="통과"),OR(S59="자동",R59="통과")),"통과","미검증")))</x:f>
        <x:v>미검증</x:v>
      </x:c>
      <x:c r="AA59" s="13" t="str">
        <x:v>KRDS-SEC-009</x:v>
      </x:c>
      <x:c r="AB59" s="13" t="str">
        <x:v>S05</x:v>
      </x:c>
    </x:row>
    <x:row r="60" ht="37.5" customHeight="1">
      <x:c r="A60" s="14" t="str">
        <x:v>UI-009</x:v>
      </x:c>
      <x:c r="B60" s="14" t="str">
        <x:v>KRDS UI/UX</x:v>
      </x:c>
      <x:c r="C60" s="14" t="str">
        <x:v>UI 스타일</x:v>
      </x:c>
      <x:c r="D60" s="14" t="str">
        <x:v>타이포그래피</x:v>
      </x:c>
      <x:c r="E60" s="14" t="str">
        <x:v>본문 가독성과 글자 크기 조절을 보장</x:v>
      </x:c>
      <x:c r="F60" s="14" t="str">
        <x:v>SRC-001</x:v>
      </x:c>
      <x:c r="G60" s="14" t="str">
        <x:v>디자인 스타일 / 스타일 / 타이포그래피 / p.102-125</x:v>
      </x:c>
      <x:c r="H60" s="14" t="str">
        <x:v>원문 등급 별도 확인</x:v>
      </x:c>
      <x:c r="I60" s="14" t="str">
        <x:v>MUST(안)</x:v>
      </x:c>
      <x:c r="J60" s="14" t="str">
        <x:v>적용</x:v>
      </x:c>
      <x:c r="K60" s="14" t="str">
        <x:v>업무요청 웹 샘플에 채택하는 회사 기준. 실제 이행은 구현 후 판정.</x:v>
      </x:c>
      <x:c r="L60" s="14" t="str">
        <x:v>고딕계열 글꼴, 본문 최소16px 상당·Pretendard GOV 사용 시 기본17px 상당, line-height 1.5 이상, 상대단위 적용</x:v>
      </x:c>
      <x:c r="M60" s="14" t="str">
        <x:v>글꼴 실제 계산값과 200% 확대 시 콘텐츠·기능 보존 점검</x:v>
      </x:c>
      <x:c r="N60" s="14" t="str">
        <x:v>UX·개발·QA</x:v>
      </x:c>
      <x:c r="O60" s="14" t="str">
        <x:v>P1</x:v>
      </x:c>
      <x:c r="P60" s="15" t="str">
        <x:v>계획</x:v>
      </x:c>
      <x:c r="Q60" s="15" t="str">
        <x:v>미실행</x:v>
      </x:c>
      <x:c r="R60" s="15" t="str">
        <x:v>미실행</x:v>
      </x:c>
      <x:c r="S60" s="15" t="str">
        <x:v>자동+수동</x:v>
      </x:c>
      <x:c r="T60" s="15" t="str"/>
      <x:c r="U60" s="15" t="str"/>
      <x:c r="V60" s="15" t="str"/>
      <x:c r="W60" s="15" t="str"/>
      <x:c r="X60" s="16" t="str"/>
      <x:c r="Y60" s="15" t="str"/>
      <x:c r="Z60" s="14" t="str">
        <x:f>IF(J60&lt;&gt;"적용","산정제외",IF(OR(Q60="실패",R60="실패"),"실패",IF(AND(P60="구현",T60&lt;&gt;"",U60&lt;&gt;"",V60&lt;&gt;"",W60&lt;&gt;"",ISNUMBER(X60),Y60="",OR(S60="수동",Q60="통과"),OR(S60="자동",R60="통과")),"통과","미검증")))</x:f>
        <x:v>미검증</x:v>
      </x:c>
      <x:c r="AA60" s="14" t="str">
        <x:v>KRDS-SEC-010</x:v>
      </x:c>
      <x:c r="AB60" s="14" t="str">
        <x:v>S01~S08 / 공통</x:v>
      </x:c>
    </x:row>
    <x:row r="61" ht="37.5" customHeight="1">
      <x:c r="A61" s="13" t="str">
        <x:v>UI-010</x:v>
      </x:c>
      <x:c r="B61" s="13" t="str">
        <x:v>KRDS UI/UX</x:v>
      </x:c>
      <x:c r="C61" s="13" t="str">
        <x:v>UI 스타일</x:v>
      </x:c>
      <x:c r="D61" s="13" t="str">
        <x:v>형태</x:v>
      </x:c>
      <x:c r="E61" s="13" t="str">
        <x:v>크기·모서리·테두리의 일관된 규칙 적용</x:v>
      </x:c>
      <x:c r="F61" s="13" t="str">
        <x:v>SRC-001</x:v>
      </x:c>
      <x:c r="G61" s="13" t="str">
        <x:v>디자인 스타일 / 스타일 / 형태 / p.126-138</x:v>
      </x:c>
      <x:c r="H61" s="13" t="str">
        <x:v>원문 등급 별도 확인</x:v>
      </x:c>
      <x:c r="I61" s="13" t="str">
        <x:v>MUST(안)</x:v>
      </x:c>
      <x:c r="J61" s="13" t="str">
        <x:v>적용</x:v>
      </x:c>
      <x:c r="K61" s="13" t="str">
        <x:v>업무요청 웹 샘플에 채택하는 회사 기준. 실제 이행은 구현 후 판정.</x:v>
      </x:c>
      <x:c r="L61" s="13" t="str">
        <x:v>버튼·입력·선택 요소의 크기, radius, border를 토큰으로 정의</x:v>
      </x:c>
      <x:c r="M61" s="13" t="str">
        <x:v>컴포넌트 갤러리에서 상태별 규격 비교</x:v>
      </x:c>
      <x:c r="N61" s="13" t="str">
        <x:v>UX·개발·QA</x:v>
      </x:c>
      <x:c r="O61" s="13" t="str">
        <x:v>P1</x:v>
      </x:c>
      <x:c r="P61" s="15" t="str">
        <x:v>계획</x:v>
      </x:c>
      <x:c r="Q61" s="15" t="str">
        <x:v>미실행</x:v>
      </x:c>
      <x:c r="R61" s="15" t="str">
        <x:v>미실행</x:v>
      </x:c>
      <x:c r="S61" s="15" t="str">
        <x:v>자동+수동</x:v>
      </x:c>
      <x:c r="T61" s="15" t="str"/>
      <x:c r="U61" s="15" t="str"/>
      <x:c r="V61" s="15" t="str"/>
      <x:c r="W61" s="15" t="str"/>
      <x:c r="X61" s="16" t="str"/>
      <x:c r="Y61" s="15" t="str"/>
      <x:c r="Z61" s="13" t="str">
        <x:f>IF(J61&lt;&gt;"적용","산정제외",IF(OR(Q61="실패",R61="실패"),"실패",IF(AND(P61="구현",T61&lt;&gt;"",U61&lt;&gt;"",V61&lt;&gt;"",W61&lt;&gt;"",ISNUMBER(X61),Y61="",OR(S61="수동",Q61="통과"),OR(S61="자동",R61="통과")),"통과","미검증")))</x:f>
        <x:v>미검증</x:v>
      </x:c>
      <x:c r="AA61" s="13" t="str">
        <x:v>KRDS-SEC-011</x:v>
      </x:c>
      <x:c r="AB61" s="13" t="str">
        <x:v>S05</x:v>
      </x:c>
    </x:row>
    <x:row r="62" ht="37.5" customHeight="1">
      <x:c r="A62" s="14" t="str">
        <x:v>UI-011</x:v>
      </x:c>
      <x:c r="B62" s="14" t="str">
        <x:v>KRDS UI/UX</x:v>
      </x:c>
      <x:c r="C62" s="14" t="str">
        <x:v>UI 스타일</x:v>
      </x:c>
      <x:c r="D62" s="14" t="str">
        <x:v>레이아웃</x:v>
      </x:c>
      <x:c r="E62" s="14" t="str">
        <x:v>화면 폭에 맞는 정보 계층과 간격 제공</x:v>
      </x:c>
      <x:c r="F62" s="14" t="str">
        <x:v>SRC-001</x:v>
      </x:c>
      <x:c r="G62" s="14" t="str">
        <x:v>디자인 스타일 / 스타일 / 레이아웃 / p.139-161</x:v>
      </x:c>
      <x:c r="H62" s="14" t="str">
        <x:v>원문 등급 별도 확인</x:v>
      </x:c>
      <x:c r="I62" s="14" t="str">
        <x:v>MUST(안)</x:v>
      </x:c>
      <x:c r="J62" s="14" t="str">
        <x:v>적용</x:v>
      </x:c>
      <x:c r="K62" s="14" t="str">
        <x:v>업무요청 웹 샘플에 채택하는 회사 기준. 실제 이행은 구현 후 판정.</x:v>
      </x:c>
      <x:c r="L62" s="14" t="str">
        <x:v>모바일 우선 그리드, 충분한 가장자리 간격, 읽기 순서와 일치하는 DOM 구성</x:v>
      </x:c>
      <x:c r="M62" s="14" t="str">
        <x:v>320 CSS px부터 데스크톱까지 재배치·수평 넘침 점검</x:v>
      </x:c>
      <x:c r="N62" s="14" t="str">
        <x:v>UX·개발·QA</x:v>
      </x:c>
      <x:c r="O62" s="14" t="str">
        <x:v>P1</x:v>
      </x:c>
      <x:c r="P62" s="15" t="str">
        <x:v>계획</x:v>
      </x:c>
      <x:c r="Q62" s="15" t="str">
        <x:v>미실행</x:v>
      </x:c>
      <x:c r="R62" s="15" t="str">
        <x:v>미실행</x:v>
      </x:c>
      <x:c r="S62" s="15" t="str">
        <x:v>자동+수동</x:v>
      </x:c>
      <x:c r="T62" s="15" t="str"/>
      <x:c r="U62" s="15" t="str"/>
      <x:c r="V62" s="15" t="str"/>
      <x:c r="W62" s="15" t="str"/>
      <x:c r="X62" s="16" t="str"/>
      <x:c r="Y62" s="15" t="str"/>
      <x:c r="Z62" s="14" t="str">
        <x:f>IF(J62&lt;&gt;"적용","산정제외",IF(OR(Q62="실패",R62="실패"),"실패",IF(AND(P62="구현",T62&lt;&gt;"",U62&lt;&gt;"",V62&lt;&gt;"",W62&lt;&gt;"",ISNUMBER(X62),Y62="",OR(S62="수동",Q62="통과"),OR(S62="자동",R62="통과")),"통과","미검증")))</x:f>
        <x:v>미검증</x:v>
      </x:c>
      <x:c r="AA62" s="14" t="str">
        <x:v>KRDS-SEC-012</x:v>
      </x:c>
      <x:c r="AB62" s="14" t="str">
        <x:v>S01~S08 / 공통</x:v>
      </x:c>
    </x:row>
    <x:row r="63" ht="37.5" customHeight="1">
      <x:c r="A63" s="13" t="str">
        <x:v>UI-012</x:v>
      </x:c>
      <x:c r="B63" s="13" t="str">
        <x:v>KRDS UI/UX</x:v>
      </x:c>
      <x:c r="C63" s="13" t="str">
        <x:v>UI 스타일</x:v>
      </x:c>
      <x:c r="D63" s="13" t="str">
        <x:v>아이콘</x:v>
      </x:c>
      <x:c r="E63" s="13" t="str">
        <x:v>아이콘 의미와 접근 가능한 이름을 제공</x:v>
      </x:c>
      <x:c r="F63" s="13" t="str">
        <x:v>SRC-001</x:v>
      </x:c>
      <x:c r="G63" s="13" t="str">
        <x:v>디자인 스타일 / 스타일 / 아이콘 / p.162-176</x:v>
      </x:c>
      <x:c r="H63" s="13" t="str">
        <x:v>원문 등급 별도 확인</x:v>
      </x:c>
      <x:c r="I63" s="13" t="str">
        <x:v>MUST(안)</x:v>
      </x:c>
      <x:c r="J63" s="13" t="str">
        <x:v>적용</x:v>
      </x:c>
      <x:c r="K63" s="13" t="str">
        <x:v>업무요청 웹 샘플에 채택하는 회사 기준. 실제 이행은 구현 후 판정.</x:v>
      </x:c>
      <x:c r="L63" s="13" t="str">
        <x:v>장식 아이콘은 보조기술에서 제외하고 행동 아이콘에는 명확한 버튼 이름 제공</x:v>
      </x:c>
      <x:c r="M63" s="13" t="str">
        <x:v>접근성 트리의 이름·역할 확인 및 아이콘 단독 이해도 검토</x:v>
      </x:c>
      <x:c r="N63" s="13" t="str">
        <x:v>UX·개발·QA</x:v>
      </x:c>
      <x:c r="O63" s="13" t="str">
        <x:v>P1</x:v>
      </x:c>
      <x:c r="P63" s="15" t="str">
        <x:v>계획</x:v>
      </x:c>
      <x:c r="Q63" s="15" t="str">
        <x:v>미실행</x:v>
      </x:c>
      <x:c r="R63" s="15" t="str">
        <x:v>미실행</x:v>
      </x:c>
      <x:c r="S63" s="15" t="str">
        <x:v>자동+수동</x:v>
      </x:c>
      <x:c r="T63" s="15" t="str"/>
      <x:c r="U63" s="15" t="str"/>
      <x:c r="V63" s="15" t="str"/>
      <x:c r="W63" s="15" t="str"/>
      <x:c r="X63" s="16" t="str"/>
      <x:c r="Y63" s="15" t="str"/>
      <x:c r="Z63" s="13" t="str">
        <x:f>IF(J63&lt;&gt;"적용","산정제외",IF(OR(Q63="실패",R63="실패"),"실패",IF(AND(P63="구현",T63&lt;&gt;"",U63&lt;&gt;"",V63&lt;&gt;"",W63&lt;&gt;"",ISNUMBER(X63),Y63="",OR(S63="수동",Q63="통과"),OR(S63="자동",R63="통과")),"통과","미검증")))</x:f>
        <x:v>미검증</x:v>
      </x:c>
      <x:c r="AA63" s="13" t="str">
        <x:v>KRDS-SEC-013</x:v>
      </x:c>
      <x:c r="AB63" s="13" t="str">
        <x:v>S01~S08 / 공통</x:v>
      </x:c>
    </x:row>
    <x:row r="64" ht="37.5" customHeight="1">
      <x:c r="A64" s="14" t="str">
        <x:v>UI-013</x:v>
      </x:c>
      <x:c r="B64" s="14" t="str">
        <x:v>KRDS UI/UX</x:v>
      </x:c>
      <x:c r="C64" s="14" t="str">
        <x:v>UI 스타일</x:v>
      </x:c>
      <x:c r="D64" s="14" t="str">
        <x:v>엘리베이션</x:v>
      </x:c>
      <x:c r="E64" s="14" t="str">
        <x:v>층위 표현이 콘텐츠 식별을 방해하지 않게 함</x:v>
      </x:c>
      <x:c r="F64" s="14" t="str">
        <x:v>SRC-001</x:v>
      </x:c>
      <x:c r="G64" s="14" t="str">
        <x:v>디자인 스타일 / 스타일 / 엘리베이션 / p.177-191</x:v>
      </x:c>
      <x:c r="H64" s="14" t="str">
        <x:v>원문 등급 별도 확인</x:v>
      </x:c>
      <x:c r="I64" s="14" t="str">
        <x:v>MUST(안)</x:v>
      </x:c>
      <x:c r="J64" s="14" t="str">
        <x:v>적용</x:v>
      </x:c>
      <x:c r="K64" s="14" t="str">
        <x:v>업무요청 웹 샘플에 채택하는 회사 기준. 실제 이행은 구현 후 판정.</x:v>
      </x:c>
      <x:c r="L64" s="14" t="str">
        <x:v>모달·팝오버·고정영역의 계층과 그림자를 토큰화하고 고대비 모드에서는 테두리 보완</x:v>
      </x:c>
      <x:c r="M64" s="14" t="str">
        <x:v>중첩 요소·초점 가림·강제 색상 모드 점검</x:v>
      </x:c>
      <x:c r="N64" s="14" t="str">
        <x:v>UX·개발·QA</x:v>
      </x:c>
      <x:c r="O64" s="14" t="str">
        <x:v>P1</x:v>
      </x:c>
      <x:c r="P64" s="15" t="str">
        <x:v>계획</x:v>
      </x:c>
      <x:c r="Q64" s="15" t="str">
        <x:v>미실행</x:v>
      </x:c>
      <x:c r="R64" s="15" t="str">
        <x:v>미실행</x:v>
      </x:c>
      <x:c r="S64" s="15" t="str">
        <x:v>자동+수동</x:v>
      </x:c>
      <x:c r="T64" s="15" t="str"/>
      <x:c r="U64" s="15" t="str"/>
      <x:c r="V64" s="15" t="str"/>
      <x:c r="W64" s="15" t="str"/>
      <x:c r="X64" s="16" t="str"/>
      <x:c r="Y64" s="15" t="str"/>
      <x:c r="Z64" s="14" t="str">
        <x:f>IF(J64&lt;&gt;"적용","산정제외",IF(OR(Q64="실패",R64="실패"),"실패",IF(AND(P64="구현",T64&lt;&gt;"",U64&lt;&gt;"",V64&lt;&gt;"",W64&lt;&gt;"",ISNUMBER(X64),Y64="",OR(S64="수동",Q64="통과"),OR(S64="자동",R64="통과")),"통과","미검증")))</x:f>
        <x:v>미검증</x:v>
      </x:c>
      <x:c r="AA64" s="14" t="str">
        <x:v>KRDS-SEC-014</x:v>
      </x:c>
      <x:c r="AB64" s="14" t="str">
        <x:v>S01~S08 / 공통</x:v>
      </x:c>
    </x:row>
    <x:row r="65" ht="37.5" customHeight="1">
      <x:c r="A65" s="13" t="str">
        <x:v>UI-014</x:v>
      </x:c>
      <x:c r="B65" s="13" t="str">
        <x:v>KRDS UI/UX</x:v>
      </x:c>
      <x:c r="C65" s="13" t="str">
        <x:v>UI 스타일</x:v>
      </x:c>
      <x:c r="D65" s="13" t="str">
        <x:v>선명한 화면 모드</x:v>
      </x:c>
      <x:c r="E65" s="13" t="str">
        <x:v>선명한 모드에서도 모든 정보와 기능을 유지</x:v>
      </x:c>
      <x:c r="F65" s="13" t="str">
        <x:v>SRC-001</x:v>
      </x:c>
      <x:c r="G65" s="13" t="str">
        <x:v>디자인 스타일 / 스타일 / 선명한 화면 모드 / p.192-204</x:v>
      </x:c>
      <x:c r="H65" s="13" t="str">
        <x:v>원문 등급 별도 확인</x:v>
      </x:c>
      <x:c r="I65" s="13" t="str">
        <x:v>MUST(안)</x:v>
      </x:c>
      <x:c r="J65" s="13" t="str">
        <x:v>적용</x:v>
      </x:c>
      <x:c r="K65" s="13" t="str">
        <x:v>업무요청 웹 샘플에 채택하는 회사 기준. 실제 이행은 구현 후 판정.</x:v>
      </x:c>
      <x:c r="L65" s="13" t="str">
        <x:v>일반/선명한 모드를 공통 토큰으로 전환하고 본문15:1·헤딩/레이블/아이콘7:1·보조수단4.5:1 기준을 역할별 채택</x:v>
      </x:c>
      <x:c r="M65" s="13" t="str">
        <x:v>각 역할의 실제 대비를 계산하고 페이지 전환 후 모드 유지 확인</x:v>
      </x:c>
      <x:c r="N65" s="13" t="str">
        <x:v>UX·개발·QA</x:v>
      </x:c>
      <x:c r="O65" s="13" t="str">
        <x:v>P1</x:v>
      </x:c>
      <x:c r="P65" s="15" t="str">
        <x:v>계획</x:v>
      </x:c>
      <x:c r="Q65" s="15" t="str">
        <x:v>미실행</x:v>
      </x:c>
      <x:c r="R65" s="15" t="str">
        <x:v>미실행</x:v>
      </x:c>
      <x:c r="S65" s="15" t="str">
        <x:v>자동+수동</x:v>
      </x:c>
      <x:c r="T65" s="15" t="str"/>
      <x:c r="U65" s="15" t="str"/>
      <x:c r="V65" s="15" t="str"/>
      <x:c r="W65" s="15" t="str"/>
      <x:c r="X65" s="16" t="str"/>
      <x:c r="Y65" s="15" t="str"/>
      <x:c r="Z65" s="13" t="str">
        <x:f>IF(J65&lt;&gt;"적용","산정제외",IF(OR(Q65="실패",R65="실패"),"실패",IF(AND(P65="구현",T65&lt;&gt;"",U65&lt;&gt;"",V65&lt;&gt;"",W65&lt;&gt;"",ISNUMBER(X65),Y65="",OR(S65="수동",Q65="통과"),OR(S65="자동",R65="통과")),"통과","미검증")))</x:f>
        <x:v>미검증</x:v>
      </x:c>
      <x:c r="AA65" s="13" t="str">
        <x:v>KRDS-SEC-015</x:v>
      </x:c>
      <x:c r="AB65" s="13" t="str">
        <x:v>S01~S08 / 공통</x:v>
      </x:c>
    </x:row>
    <x:row r="66" ht="37.5" customHeight="1">
      <x:c r="A66" s="14" t="str">
        <x:v>UI-015</x:v>
      </x:c>
      <x:c r="B66" s="14" t="str">
        <x:v>KRDS UI/UX</x:v>
      </x:c>
      <x:c r="C66" s="14" t="str">
        <x:v>UI 스타일</x:v>
      </x:c>
      <x:c r="D66" s="14" t="str">
        <x:v>디자인 토큰</x:v>
      </x:c>
      <x:c r="E66" s="14" t="str">
        <x:v>스타일 값을 재사용 가능한 변수로 관리</x:v>
      </x:c>
      <x:c r="F66" s="14" t="str">
        <x:v>SRC-001</x:v>
      </x:c>
      <x:c r="G66" s="14" t="str">
        <x:v>디자인 스타일 / 스타일 / 디자인 토큰 / p.205-219</x:v>
      </x:c>
      <x:c r="H66" s="14" t="str">
        <x:v>원문 등급 별도 확인</x:v>
      </x:c>
      <x:c r="I66" s="14" t="str">
        <x:v>MUST(안)</x:v>
      </x:c>
      <x:c r="J66" s="14" t="str">
        <x:v>적용</x:v>
      </x:c>
      <x:c r="K66" s="14" t="str">
        <x:v>업무요청 웹 샘플에 채택하는 회사 기준. 실제 이행은 구현 후 판정.</x:v>
      </x:c>
      <x:c r="L66" s="14" t="str">
        <x:v>원시 토큰·의미 토큰·컴포넌트 토큰을 분리하고 직접 색상값 사용을 제한</x:v>
      </x:c>
      <x:c r="M66" s="14" t="str">
        <x:v>토큰 정의와 컴포넌트 참조를 정적 검사</x:v>
      </x:c>
      <x:c r="N66" s="14" t="str">
        <x:v>UX·개발·QA</x:v>
      </x:c>
      <x:c r="O66" s="14" t="str">
        <x:v>P1</x:v>
      </x:c>
      <x:c r="P66" s="15" t="str">
        <x:v>계획</x:v>
      </x:c>
      <x:c r="Q66" s="15" t="str">
        <x:v>미실행</x:v>
      </x:c>
      <x:c r="R66" s="15" t="str">
        <x:v>미실행</x:v>
      </x:c>
      <x:c r="S66" s="15" t="str">
        <x:v>자동+수동</x:v>
      </x:c>
      <x:c r="T66" s="15" t="str"/>
      <x:c r="U66" s="15" t="str"/>
      <x:c r="V66" s="15" t="str"/>
      <x:c r="W66" s="15" t="str"/>
      <x:c r="X66" s="16" t="str"/>
      <x:c r="Y66" s="15" t="str"/>
      <x:c r="Z66" s="14" t="str">
        <x:f>IF(J66&lt;&gt;"적용","산정제외",IF(OR(Q66="실패",R66="실패"),"실패",IF(AND(P66="구현",T66&lt;&gt;"",U66&lt;&gt;"",V66&lt;&gt;"",W66&lt;&gt;"",ISNUMBER(X66),Y66="",OR(S66="수동",Q66="통과"),OR(S66="자동",R66="통과")),"통과","미검증")))</x:f>
        <x:v>미검증</x:v>
      </x:c>
      <x:c r="AA66" s="14" t="str">
        <x:v>KRDS-SEC-016</x:v>
      </x:c>
      <x:c r="AB66" s="14" t="str">
        <x:v>S01~S08 / 공통</x:v>
      </x:c>
    </x:row>
    <x:row r="67" ht="37.5" customHeight="1">
      <x:c r="A67" s="13" t="str">
        <x:v>UI-016</x:v>
      </x:c>
      <x:c r="B67" s="13" t="str">
        <x:v>KRDS UI/UX</x:v>
      </x:c>
      <x:c r="C67" s="13" t="str">
        <x:v>UI 컴포넌트</x:v>
      </x:c>
      <x:c r="D67" s="13" t="str">
        <x:v>공식 배너</x:v>
      </x:c>
      <x:c r="E67" s="13" t="str">
        <x:v>회사 샘플에 정부 공식 배너를 표시하지 않음</x:v>
      </x:c>
      <x:c r="F67" s="13" t="str">
        <x:v>SRC-001</x:v>
      </x:c>
      <x:c r="G67" s="13" t="str">
        <x:v>컴포넌트 / 아이덴티티 / 공식 배너 / p.220-226</x:v>
      </x:c>
      <x:c r="H67" s="13" t="str">
        <x:v>원문 등급 별도 확인</x:v>
      </x:c>
      <x:c r="I67" s="13" t="str">
        <x:v>대상외</x:v>
      </x:c>
      <x:c r="J67" s="13" t="str">
        <x:v>해당없음</x:v>
      </x:c>
      <x:c r="K67" s="13" t="str">
        <x:v>현재 회사 자체 브랜드 웹 샘플 범위와 맞지 않음. 근거를 유지하고 범위 변경 시 재평가.</x:v>
      </x:c>
      <x:c r="L67" s="13" t="str">
        <x:v>정부 공식서비스임을 나타내는 문구·정부상징을 넣지 않고 회사 브랜드만 사용</x:v>
      </x:c>
      <x:c r="M67" s="13" t="str">
        <x:v>화면·정적 자산에서 정부 배너 및 오인 문구 부재 확인</x:v>
      </x:c>
      <x:c r="N67" s="13" t="str">
        <x:v>UX·개발·QA</x:v>
      </x:c>
      <x:c r="O67" s="13" t="str">
        <x:v>P0</x:v>
      </x:c>
      <x:c r="P67" s="15" t="str">
        <x:v>해당없음</x:v>
      </x:c>
      <x:c r="Q67" s="15" t="str">
        <x:v>미실행</x:v>
      </x:c>
      <x:c r="R67" s="15" t="str">
        <x:v>미실행</x:v>
      </x:c>
      <x:c r="S67" s="15" t="str">
        <x:v>수동</x:v>
      </x:c>
      <x:c r="T67" s="15" t="str"/>
      <x:c r="U67" s="15" t="str"/>
      <x:c r="V67" s="15" t="str"/>
      <x:c r="W67" s="15" t="str"/>
      <x:c r="X67" s="16" t="str"/>
      <x:c r="Y67" s="15" t="str"/>
      <x:c r="Z67" s="13" t="str">
        <x:f>IF(J67&lt;&gt;"적용","산정제외",IF(OR(Q67="실패",R67="실패"),"실패",IF(AND(P67="구현",T67&lt;&gt;"",U67&lt;&gt;"",V67&lt;&gt;"",W67&lt;&gt;"",ISNUMBER(X67),Y67="",OR(S67="수동",Q67="통과"),OR(S67="자동",R67="통과")),"통과","미검증")))</x:f>
        <x:v>산정제외</x:v>
      </x:c>
      <x:c r="AA67" s="13" t="str">
        <x:v>KRDS-SEC-017</x:v>
      </x:c>
      <x:c r="AB67" s="13" t="str">
        <x:v>S01~S08 / 공통</x:v>
      </x:c>
    </x:row>
    <x:row r="68" ht="37.5" customHeight="1">
      <x:c r="A68" s="14" t="str">
        <x:v>UI-017</x:v>
      </x:c>
      <x:c r="B68" s="14" t="str">
        <x:v>KRDS UI/UX</x:v>
      </x:c>
      <x:c r="C68" s="14" t="str">
        <x:v>UI 컴포넌트</x:v>
      </x:c>
      <x:c r="D68" s="14" t="str">
        <x:v>운영기관 식별자</x:v>
      </x:c>
      <x:c r="E68" s="14" t="str">
        <x:v>회사 샘플에 정부 운영기관 식별자를 사용하지 않음</x:v>
      </x:c>
      <x:c r="F68" s="14" t="str">
        <x:v>SRC-001</x:v>
      </x:c>
      <x:c r="G68" s="14" t="str">
        <x:v>컴포넌트 / 아이덴티티 / 운영기관 식별자 / p.227-232</x:v>
      </x:c>
      <x:c r="H68" s="14" t="str">
        <x:v>원문 등급 별도 확인</x:v>
      </x:c>
      <x:c r="I68" s="14" t="str">
        <x:v>대상외</x:v>
      </x:c>
      <x:c r="J68" s="14" t="str">
        <x:v>해당없음</x:v>
      </x:c>
      <x:c r="K68" s="14" t="str">
        <x:v>현재 회사 자체 브랜드 웹 샘플 범위와 맞지 않음. 근거를 유지하고 범위 변경 시 재평가.</x:v>
      </x:c>
      <x:c r="L68" s="14" t="str">
        <x:v>회사 정보는 일반 푸터로 표시; 공공 프로젝트 프로필에서만 운영기관 식별자 검토</x:v>
      </x:c>
      <x:c r="M68" s="14" t="str">
        <x:v>정부서비스로 오인할 식별자·상위기관 로고 부재 확인</x:v>
      </x:c>
      <x:c r="N68" s="14" t="str">
        <x:v>UX·개발·QA</x:v>
      </x:c>
      <x:c r="O68" s="14" t="str">
        <x:v>P0</x:v>
      </x:c>
      <x:c r="P68" s="15" t="str">
        <x:v>해당없음</x:v>
      </x:c>
      <x:c r="Q68" s="15" t="str">
        <x:v>미실행</x:v>
      </x:c>
      <x:c r="R68" s="15" t="str">
        <x:v>미실행</x:v>
      </x:c>
      <x:c r="S68" s="15" t="str">
        <x:v>수동</x:v>
      </x:c>
      <x:c r="T68" s="15" t="str"/>
      <x:c r="U68" s="15" t="str"/>
      <x:c r="V68" s="15" t="str"/>
      <x:c r="W68" s="15" t="str"/>
      <x:c r="X68" s="16" t="str"/>
      <x:c r="Y68" s="15" t="str"/>
      <x:c r="Z68" s="14" t="str">
        <x:f>IF(J68&lt;&gt;"적용","산정제외",IF(OR(Q68="실패",R68="실패"),"실패",IF(AND(P68="구현",T68&lt;&gt;"",U68&lt;&gt;"",V68&lt;&gt;"",W68&lt;&gt;"",ISNUMBER(X68),Y68="",OR(S68="수동",Q68="통과"),OR(S68="자동",R68="통과")),"통과","미검증")))</x:f>
        <x:v>산정제외</x:v>
      </x:c>
      <x:c r="AA68" s="14" t="str">
        <x:v>KRDS-SEC-018</x:v>
      </x:c>
      <x:c r="AB68" s="14" t="str">
        <x:v>S01~S08 / 공통</x:v>
      </x:c>
    </x:row>
    <x:row r="69" ht="37.5" customHeight="1">
      <x:c r="A69" s="13" t="str">
        <x:v>UI-018</x:v>
      </x:c>
      <x:c r="B69" s="13" t="str">
        <x:v>KRDS UI/UX</x:v>
      </x:c>
      <x:c r="C69" s="13" t="str">
        <x:v>UI 컴포넌트</x:v>
      </x:c>
      <x:c r="D69" s="13" t="str">
        <x:v>헤더</x:v>
      </x:c>
      <x:c r="E69" s="13" t="str">
        <x:v>일관된 탐색과 서비스 식별 제공</x:v>
      </x:c>
      <x:c r="F69" s="13" t="str">
        <x:v>SRC-001</x:v>
      </x:c>
      <x:c r="G69" s="13" t="str">
        <x:v>컴포넌트 / 아이덴티티 / 헤더 / p.233-245</x:v>
      </x:c>
      <x:c r="H69" s="13" t="str">
        <x:v>원문 등급 별도 확인</x:v>
      </x:c>
      <x:c r="I69" s="13" t="str">
        <x:v>MUST(안)</x:v>
      </x:c>
      <x:c r="J69" s="13" t="str">
        <x:v>적용</x:v>
      </x:c>
      <x:c r="K69" s="13" t="str">
        <x:v>업무요청 웹 샘플에 채택하는 회사 기준. 실제 이행은 구현 후 판정.</x:v>
      </x:c>
      <x:c r="L69" s="13" t="str">
        <x:v>회사 로고·주요 메뉴·검색·로그인 상태를 일관되게 배치하고 좁은 화면에서 축약</x:v>
      </x:c>
      <x:c r="M69" s="13" t="str">
        <x:v>모든 경로의 헤더·키보드 메뉴·고정영역 가림 점검</x:v>
      </x:c>
      <x:c r="N69" s="13" t="str">
        <x:v>UX·개발·QA</x:v>
      </x:c>
      <x:c r="O69" s="13" t="str">
        <x:v>P1</x:v>
      </x:c>
      <x:c r="P69" s="15" t="str">
        <x:v>계획</x:v>
      </x:c>
      <x:c r="Q69" s="15" t="str">
        <x:v>미실행</x:v>
      </x:c>
      <x:c r="R69" s="15" t="str">
        <x:v>미실행</x:v>
      </x:c>
      <x:c r="S69" s="15" t="str">
        <x:v>자동+수동</x:v>
      </x:c>
      <x:c r="T69" s="15" t="str"/>
      <x:c r="U69" s="15" t="str"/>
      <x:c r="V69" s="15" t="str"/>
      <x:c r="W69" s="15" t="str"/>
      <x:c r="X69" s="16" t="str"/>
      <x:c r="Y69" s="15" t="str"/>
      <x:c r="Z69" s="13" t="str">
        <x:f>IF(J69&lt;&gt;"적용","산정제외",IF(OR(Q69="실패",R69="실패"),"실패",IF(AND(P69="구현",T69&lt;&gt;"",U69&lt;&gt;"",V69&lt;&gt;"",W69&lt;&gt;"",ISNUMBER(X69),Y69="",OR(S69="수동",Q69="통과"),OR(S69="자동",R69="통과")),"통과","미검증")))</x:f>
        <x:v>미검증</x:v>
      </x:c>
      <x:c r="AA69" s="13" t="str">
        <x:v>KRDS-SEC-019</x:v>
      </x:c>
      <x:c r="AB69" s="13" t="str">
        <x:v>S01, S05</x:v>
      </x:c>
    </x:row>
    <x:row r="70" ht="37.5" customHeight="1">
      <x:c r="A70" s="14" t="str">
        <x:v>UI-019</x:v>
      </x:c>
      <x:c r="B70" s="14" t="str">
        <x:v>KRDS UI/UX</x:v>
      </x:c>
      <x:c r="C70" s="14" t="str">
        <x:v>UI 컴포넌트</x:v>
      </x:c>
      <x:c r="D70" s="14" t="str">
        <x:v>푸터</x:v>
      </x:c>
      <x:c r="E70" s="14" t="str">
        <x:v>운영·문의·정책 정보를 쉽게 찾게 함</x:v>
      </x:c>
      <x:c r="F70" s="14" t="str">
        <x:v>SRC-001</x:v>
      </x:c>
      <x:c r="G70" s="14" t="str">
        <x:v>컴포넌트 / 아이덴티티 / 푸터 / p.246-253</x:v>
      </x:c>
      <x:c r="H70" s="14" t="str">
        <x:v>원문 등급 별도 확인</x:v>
      </x:c>
      <x:c r="I70" s="14" t="str">
        <x:v>MUST(안)</x:v>
      </x:c>
      <x:c r="J70" s="14" t="str">
        <x:v>적용</x:v>
      </x:c>
      <x:c r="K70" s="14" t="str">
        <x:v>업무요청 웹 샘플에 채택하는 회사 기준. 실제 이행은 구현 후 판정.</x:v>
      </x:c>
      <x:c r="L70" s="14" t="str">
        <x:v>footer 랜드마크에 회사 정보와 문의 링크, 시각적으로 구분한 개인정보 처리방침 제공</x:v>
      </x:c>
      <x:c r="M70" s="14" t="str">
        <x:v>본문이 짧거나 긴 화면에서 위치·링크·보조기술 확인</x:v>
      </x:c>
      <x:c r="N70" s="14" t="str">
        <x:v>UX·개발·QA</x:v>
      </x:c>
      <x:c r="O70" s="14" t="str">
        <x:v>P1</x:v>
      </x:c>
      <x:c r="P70" s="15" t="str">
        <x:v>계획</x:v>
      </x:c>
      <x:c r="Q70" s="15" t="str">
        <x:v>미실행</x:v>
      </x:c>
      <x:c r="R70" s="15" t="str">
        <x:v>미실행</x:v>
      </x:c>
      <x:c r="S70" s="15" t="str">
        <x:v>자동+수동</x:v>
      </x:c>
      <x:c r="T70" s="15" t="str"/>
      <x:c r="U70" s="15" t="str"/>
      <x:c r="V70" s="15" t="str"/>
      <x:c r="W70" s="15" t="str"/>
      <x:c r="X70" s="16" t="str"/>
      <x:c r="Y70" s="15" t="str"/>
      <x:c r="Z70" s="14" t="str">
        <x:f>IF(J70&lt;&gt;"적용","산정제외",IF(OR(Q70="실패",R70="실패"),"실패",IF(AND(P70="구현",T70&lt;&gt;"",U70&lt;&gt;"",V70&lt;&gt;"",W70&lt;&gt;"",ISNUMBER(X70),Y70="",OR(S70="수동",Q70="통과"),OR(S70="자동",R70="통과")),"통과","미검증")))</x:f>
        <x:v>미검증</x:v>
      </x:c>
      <x:c r="AA70" s="14" t="str">
        <x:v>KRDS-SEC-020</x:v>
      </x:c>
      <x:c r="AB70" s="14" t="str">
        <x:v>S01~S08 / 공통</x:v>
      </x:c>
    </x:row>
    <x:row r="71" ht="37.5" customHeight="1">
      <x:c r="A71" s="13" t="str">
        <x:v>UI-020</x:v>
      </x:c>
      <x:c r="B71" s="13" t="str">
        <x:v>KRDS UI/UX</x:v>
      </x:c>
      <x:c r="C71" s="13" t="str">
        <x:v>UI 컴포넌트</x:v>
      </x:c>
      <x:c r="D71" s="13" t="str">
        <x:v>건너뛰기 링크</x:v>
      </x:c>
      <x:c r="E71" s="13" t="str">
        <x:v>반복 영역을 건너 본문으로 이동</x:v>
      </x:c>
      <x:c r="F71" s="13" t="str">
        <x:v>SRC-001</x:v>
      </x:c>
      <x:c r="G71" s="13" t="str">
        <x:v>컴포넌트 / 탐색 / 건너뛰기 링크 / p.254-262</x:v>
      </x:c>
      <x:c r="H71" s="13" t="str">
        <x:v>원문 등급 별도 확인</x:v>
      </x:c>
      <x:c r="I71" s="13" t="str">
        <x:v>MUST(안)</x:v>
      </x:c>
      <x:c r="J71" s="13" t="str">
        <x:v>적용</x:v>
      </x:c>
      <x:c r="K71" s="13" t="str">
        <x:v>업무요청 웹 샘플에 채택하는 회사 기준. 실제 이행은 구현 후 판정.</x:v>
      </x:c>
      <x:c r="L71" s="13" t="str">
        <x:v>문서 첫 포커스 위치에 본문 바로가기 제공하고 실행 시 main으로 초점 이동</x:v>
      </x:c>
      <x:c r="M71" s="13" t="str">
        <x:v>Tab 첫 진입과 Enter 후 실제 초점·스크롤 위치 확인</x:v>
      </x:c>
      <x:c r="N71" s="13" t="str">
        <x:v>UX·개발·QA</x:v>
      </x:c>
      <x:c r="O71" s="13" t="str">
        <x:v>P0</x:v>
      </x:c>
      <x:c r="P71" s="15" t="str">
        <x:v>계획</x:v>
      </x:c>
      <x:c r="Q71" s="15" t="str">
        <x:v>미실행</x:v>
      </x:c>
      <x:c r="R71" s="15" t="str">
        <x:v>미실행</x:v>
      </x:c>
      <x:c r="S71" s="15" t="str">
        <x:v>자동+수동</x:v>
      </x:c>
      <x:c r="T71" s="15" t="str"/>
      <x:c r="U71" s="15" t="str"/>
      <x:c r="V71" s="15" t="str"/>
      <x:c r="W71" s="15" t="str"/>
      <x:c r="X71" s="16" t="str"/>
      <x:c r="Y71" s="15" t="str"/>
      <x:c r="Z71" s="13" t="str">
        <x:f>IF(J71&lt;&gt;"적용","산정제외",IF(OR(Q71="실패",R71="실패"),"실패",IF(AND(P71="구현",T71&lt;&gt;"",U71&lt;&gt;"",V71&lt;&gt;"",W71&lt;&gt;"",ISNUMBER(X71),Y71="",OR(S71="수동",Q71="통과"),OR(S71="자동",R71="통과")),"통과","미검증")))</x:f>
        <x:v>미검증</x:v>
      </x:c>
      <x:c r="AA71" s="13" t="str">
        <x:v>KRDS-SEC-021</x:v>
      </x:c>
      <x:c r="AB71" s="13" t="str">
        <x:v>S01~S08 / 공통</x:v>
      </x:c>
    </x:row>
    <x:row r="72" ht="37.5" customHeight="1">
      <x:c r="A72" s="14" t="str">
        <x:v>UI-021</x:v>
      </x:c>
      <x:c r="B72" s="14" t="str">
        <x:v>KRDS UI/UX</x:v>
      </x:c>
      <x:c r="C72" s="14" t="str">
        <x:v>UI 컴포넌트</x:v>
      </x:c>
      <x:c r="D72" s="14" t="str">
        <x:v>메인 메뉴</x:v>
      </x:c>
      <x:c r="E72" s="14" t="str">
        <x:v>직관적 레이블과 일관된 메뉴 구조</x:v>
      </x:c>
      <x:c r="F72" s="14" t="str">
        <x:v>SRC-001</x:v>
      </x:c>
      <x:c r="G72" s="14" t="str">
        <x:v>컴포넌트 / 탐색 / 메인 메뉴 / p.263-279</x:v>
      </x:c>
      <x:c r="H72" s="14" t="str">
        <x:v>원문 등급 별도 확인</x:v>
      </x:c>
      <x:c r="I72" s="14" t="str">
        <x:v>MUST(안)</x:v>
      </x:c>
      <x:c r="J72" s="14" t="str">
        <x:v>적용</x:v>
      </x:c>
      <x:c r="K72" s="14" t="str">
        <x:v>업무요청 웹 샘플에 채택하는 회사 기준. 실제 이행은 구현 후 판정.</x:v>
      </x:c>
      <x:c r="L72" s="14" t="str">
        <x:v>업무요청·내 요청·관리·도움말로 구성하고 클릭/키보드로 열림 상태 관리</x:v>
      </x:c>
      <x:c r="M72" s="14" t="str">
        <x:v>Tab·Enter·Escape와 화면낭독기로 탐색 확인</x:v>
      </x:c>
      <x:c r="N72" s="14" t="str">
        <x:v>UX·개발·QA</x:v>
      </x:c>
      <x:c r="O72" s="14" t="str">
        <x:v>P1</x:v>
      </x:c>
      <x:c r="P72" s="15" t="str">
        <x:v>계획</x:v>
      </x:c>
      <x:c r="Q72" s="15" t="str">
        <x:v>미실행</x:v>
      </x:c>
      <x:c r="R72" s="15" t="str">
        <x:v>미실행</x:v>
      </x:c>
      <x:c r="S72" s="15" t="str">
        <x:v>자동+수동</x:v>
      </x:c>
      <x:c r="T72" s="15" t="str"/>
      <x:c r="U72" s="15" t="str"/>
      <x:c r="V72" s="15" t="str"/>
      <x:c r="W72" s="15" t="str"/>
      <x:c r="X72" s="16" t="str"/>
      <x:c r="Y72" s="15" t="str"/>
      <x:c r="Z72" s="14" t="str">
        <x:f>IF(J72&lt;&gt;"적용","산정제외",IF(OR(Q72="실패",R72="실패"),"실패",IF(AND(P72="구현",T72&lt;&gt;"",U72&lt;&gt;"",V72&lt;&gt;"",W72&lt;&gt;"",ISNUMBER(X72),Y72="",OR(S72="수동",Q72="통과"),OR(S72="자동",R72="통과")),"통과","미검증")))</x:f>
        <x:v>미검증</x:v>
      </x:c>
      <x:c r="AA72" s="14" t="str">
        <x:v>KRDS-SEC-022</x:v>
      </x:c>
      <x:c r="AB72" s="14" t="str">
        <x:v>S01~S08 / 공통</x:v>
      </x:c>
    </x:row>
    <x:row r="73" ht="37.5" customHeight="1">
      <x:c r="A73" s="13" t="str">
        <x:v>UI-022</x:v>
      </x:c>
      <x:c r="B73" s="13" t="str">
        <x:v>KRDS UI/UX</x:v>
      </x:c>
      <x:c r="C73" s="13" t="str">
        <x:v>UI 컴포넌트</x:v>
      </x:c>
      <x:c r="D73" s="13" t="str">
        <x:v>브레드크럼</x:v>
      </x:c>
      <x:c r="E73" s="13" t="str">
        <x:v>현재 위치와 상위 경로 식별</x:v>
      </x:c>
      <x:c r="F73" s="13" t="str">
        <x:v>SRC-001</x:v>
      </x:c>
      <x:c r="G73" s="13" t="str">
        <x:v>컴포넌트 / 탐색 / 브레드크럼 / p.280-292</x:v>
      </x:c>
      <x:c r="H73" s="13" t="str">
        <x:v>원문 등급 별도 확인</x:v>
      </x:c>
      <x:c r="I73" s="13" t="str">
        <x:v>MUST(안)</x:v>
      </x:c>
      <x:c r="J73" s="13" t="str">
        <x:v>적용</x:v>
      </x:c>
      <x:c r="K73" s="13" t="str">
        <x:v>업무요청 웹 샘플에 채택하는 회사 기준. 실제 이행은 구현 후 판정.</x:v>
      </x:c>
      <x:c r="L73" s="13" t="str">
        <x:v>홈/업무요청/상세의 계층을 nav와 목록으로 표현하고 현재 위치 알림</x:v>
      </x:c>
      <x:c r="M73" s="13" t="str">
        <x:v>상세화면의 경로·링크 이름·현재 위치 확인</x:v>
      </x:c>
      <x:c r="N73" s="13" t="str">
        <x:v>UX·개발·QA</x:v>
      </x:c>
      <x:c r="O73" s="13" t="str">
        <x:v>P1</x:v>
      </x:c>
      <x:c r="P73" s="15" t="str">
        <x:v>계획</x:v>
      </x:c>
      <x:c r="Q73" s="15" t="str">
        <x:v>미실행</x:v>
      </x:c>
      <x:c r="R73" s="15" t="str">
        <x:v>미실행</x:v>
      </x:c>
      <x:c r="S73" s="15" t="str">
        <x:v>자동+수동</x:v>
      </x:c>
      <x:c r="T73" s="15" t="str"/>
      <x:c r="U73" s="15" t="str"/>
      <x:c r="V73" s="15" t="str"/>
      <x:c r="W73" s="15" t="str"/>
      <x:c r="X73" s="16" t="str"/>
      <x:c r="Y73" s="15" t="str"/>
      <x:c r="Z73" s="13" t="str">
        <x:f>IF(J73&lt;&gt;"적용","산정제외",IF(OR(Q73="실패",R73="실패"),"실패",IF(AND(P73="구현",T73&lt;&gt;"",U73&lt;&gt;"",V73&lt;&gt;"",W73&lt;&gt;"",ISNUMBER(X73),Y73="",OR(S73="수동",Q73="통과"),OR(S73="자동",R73="통과")),"통과","미검증")))</x:f>
        <x:v>미검증</x:v>
      </x:c>
      <x:c r="AA73" s="13" t="str">
        <x:v>KRDS-SEC-023</x:v>
      </x:c>
      <x:c r="AB73" s="13" t="str">
        <x:v>S03</x:v>
      </x:c>
    </x:row>
    <x:row r="74" ht="37.5" customHeight="1">
      <x:c r="A74" s="14" t="str">
        <x:v>UI-023</x:v>
      </x:c>
      <x:c r="B74" s="14" t="str">
        <x:v>KRDS UI/UX</x:v>
      </x:c>
      <x:c r="C74" s="14" t="str">
        <x:v>UI 컴포넌트</x:v>
      </x:c>
      <x:c r="D74" s="14" t="str">
        <x:v>사이드 메뉴</x:v>
      </x:c>
      <x:c r="E74" s="14" t="str">
        <x:v>관리 영역 하위 메뉴의 현재 위치 표시</x:v>
      </x:c>
      <x:c r="F74" s="14" t="str">
        <x:v>SRC-001</x:v>
      </x:c>
      <x:c r="G74" s="14" t="str">
        <x:v>컴포넌트 / 탐색 / 사이드 메뉴 / p.293-307</x:v>
      </x:c>
      <x:c r="H74" s="14" t="str">
        <x:v>원문 등급 별도 확인</x:v>
      </x:c>
      <x:c r="I74" s="14" t="str">
        <x:v>MUST(안)</x:v>
      </x:c>
      <x:c r="J74" s="14" t="str">
        <x:v>조건부</x:v>
      </x:c>
      <x:c r="K74" s="14" t="str">
        <x:v>해당 기능 또는 서비스 조건이 실제 범위에 포함될 때 적용.</x:v>
      </x:c>
      <x:c r="L74" s="14" t="str">
        <x:v>관리자 화면이 복수 섹션일 때 최대 2수준 메뉴와 현재 항목 표시</x:v>
      </x:c>
      <x:c r="M74" s="14" t="str">
        <x:v>선택 상태와 키보드 순서, 작은 화면 대체 탐색 점검</x:v>
      </x:c>
      <x:c r="N74" s="14" t="str">
        <x:v>UX·개발·QA</x:v>
      </x:c>
      <x:c r="O74" s="14" t="str">
        <x:v>P2</x:v>
      </x:c>
      <x:c r="P74" s="15" t="str">
        <x:v>계획</x:v>
      </x:c>
      <x:c r="Q74" s="15" t="str">
        <x:v>미실행</x:v>
      </x:c>
      <x:c r="R74" s="15" t="str">
        <x:v>미실행</x:v>
      </x:c>
      <x:c r="S74" s="15" t="str">
        <x:v>자동+수동</x:v>
      </x:c>
      <x:c r="T74" s="15" t="str"/>
      <x:c r="U74" s="15" t="str"/>
      <x:c r="V74" s="15" t="str"/>
      <x:c r="W74" s="15" t="str"/>
      <x:c r="X74" s="16" t="str"/>
      <x:c r="Y74" s="15" t="str"/>
      <x:c r="Z74" s="14" t="str">
        <x:f>IF(J74&lt;&gt;"적용","산정제외",IF(OR(Q74="실패",R74="실패"),"실패",IF(AND(P74="구현",T74&lt;&gt;"",U74&lt;&gt;"",V74&lt;&gt;"",W74&lt;&gt;"",ISNUMBER(X74),Y74="",OR(S74="수동",Q74="통과"),OR(S74="자동",R74="통과")),"통과","미검증")))</x:f>
        <x:v>산정제외</x:v>
      </x:c>
      <x:c r="AA74" s="14" t="str">
        <x:v>KRDS-SEC-024</x:v>
      </x:c>
      <x:c r="AB74" s="14" t="str">
        <x:v>S01, S04, S06</x:v>
      </x:c>
    </x:row>
    <x:row r="75" ht="37.5" customHeight="1">
      <x:c r="A75" s="13" t="str">
        <x:v>UI-024</x:v>
      </x:c>
      <x:c r="B75" s="13" t="str">
        <x:v>KRDS UI/UX</x:v>
      </x:c>
      <x:c r="C75" s="13" t="str">
        <x:v>UI 컴포넌트</x:v>
      </x:c>
      <x:c r="D75" s="13" t="str">
        <x:v>콘텐츠 내 탐색</x:v>
      </x:c>
      <x:c r="E75" s="13" t="str">
        <x:v>긴 문서의 섹션 탐색 제공</x:v>
      </x:c>
      <x:c r="F75" s="13" t="str">
        <x:v>SRC-001</x:v>
      </x:c>
      <x:c r="G75" s="13" t="str">
        <x:v>컴포넌트 / 탐색 / 콘텐츠 내 탐색 / p.308-316</x:v>
      </x:c>
      <x:c r="H75" s="13" t="str">
        <x:v>원문 등급 별도 확인</x:v>
      </x:c>
      <x:c r="I75" s="13" t="str">
        <x:v>MUST(안)</x:v>
      </x:c>
      <x:c r="J75" s="13" t="str">
        <x:v>조건부</x:v>
      </x:c>
      <x:c r="K75" s="13" t="str">
        <x:v>해당 기능 또는 서비스 조건이 실제 범위에 포함될 때 적용.</x:v>
      </x:c>
      <x:c r="L75" s="13" t="str">
        <x:v>장문의 도움말·정책 페이지에 제목과 일치하는 목차 링크 제공</x:v>
      </x:c>
      <x:c r="M75" s="13" t="str">
        <x:v>목차 실행 시 목표 제목으로 초점 이동 확인</x:v>
      </x:c>
      <x:c r="N75" s="13" t="str">
        <x:v>UX·개발·QA</x:v>
      </x:c>
      <x:c r="O75" s="13" t="str">
        <x:v>P2</x:v>
      </x:c>
      <x:c r="P75" s="15" t="str">
        <x:v>계획</x:v>
      </x:c>
      <x:c r="Q75" s="15" t="str">
        <x:v>미실행</x:v>
      </x:c>
      <x:c r="R75" s="15" t="str">
        <x:v>미실행</x:v>
      </x:c>
      <x:c r="S75" s="15" t="str">
        <x:v>자동+수동</x:v>
      </x:c>
      <x:c r="T75" s="15" t="str"/>
      <x:c r="U75" s="15" t="str"/>
      <x:c r="V75" s="15" t="str"/>
      <x:c r="W75" s="15" t="str"/>
      <x:c r="X75" s="16" t="str"/>
      <x:c r="Y75" s="15" t="str"/>
      <x:c r="Z75" s="13" t="str">
        <x:f>IF(J75&lt;&gt;"적용","산정제외",IF(OR(Q75="실패",R75="실패"),"실패",IF(AND(P75="구현",T75&lt;&gt;"",U75&lt;&gt;"",V75&lt;&gt;"",W75&lt;&gt;"",ISNUMBER(X75),Y75="",OR(S75="수동",Q75="통과"),OR(S75="자동",R75="통과")),"통과","미검증")))</x:f>
        <x:v>산정제외</x:v>
      </x:c>
      <x:c r="AA75" s="13" t="str">
        <x:v>KRDS-SEC-025</x:v>
      </x:c>
      <x:c r="AB75" s="13" t="str">
        <x:v>S01~S08 / 공통</x:v>
      </x:c>
    </x:row>
    <x:row r="76" ht="37.5" customHeight="1">
      <x:c r="A76" s="14" t="str">
        <x:v>UI-025</x:v>
      </x:c>
      <x:c r="B76" s="14" t="str">
        <x:v>KRDS UI/UX</x:v>
      </x:c>
      <x:c r="C76" s="14" t="str">
        <x:v>UI 컴포넌트</x:v>
      </x:c>
      <x:c r="D76" s="14" t="str">
        <x:v>페이지네이션</x:v>
      </x:c>
      <x:c r="E76" s="14" t="str">
        <x:v>목록 범위와 이동수단 제공</x:v>
      </x:c>
      <x:c r="F76" s="14" t="str">
        <x:v>SRC-001</x:v>
      </x:c>
      <x:c r="G76" s="14" t="str">
        <x:v>컴포넌트 / 탐색 / 페이지네이션 / p.317-338</x:v>
      </x:c>
      <x:c r="H76" s="14" t="str">
        <x:v>원문 등급 별도 확인</x:v>
      </x:c>
      <x:c r="I76" s="14" t="str">
        <x:v>MUST(안)</x:v>
      </x:c>
      <x:c r="J76" s="14" t="str">
        <x:v>적용</x:v>
      </x:c>
      <x:c r="K76" s="14" t="str">
        <x:v>업무요청 웹 샘플에 채택하는 회사 기준. 실제 이행은 구현 후 판정.</x:v>
      </x:c>
      <x:c r="L76" s="14" t="str">
        <x:v>현재 페이지·전체 건수·이전/다음과 접근 가능한 페이지 이름 제공</x:v>
      </x:c>
      <x:c r="M76" s="14" t="str">
        <x:v>첫/중간/마지막 페이지의 이동·상태·초점 보존 확인</x:v>
      </x:c>
      <x:c r="N76" s="14" t="str">
        <x:v>UX·개발·QA</x:v>
      </x:c>
      <x:c r="O76" s="14" t="str">
        <x:v>P1</x:v>
      </x:c>
      <x:c r="P76" s="15" t="str">
        <x:v>계획</x:v>
      </x:c>
      <x:c r="Q76" s="15" t="str">
        <x:v>미실행</x:v>
      </x:c>
      <x:c r="R76" s="15" t="str">
        <x:v>미실행</x:v>
      </x:c>
      <x:c r="S76" s="15" t="str">
        <x:v>자동+수동</x:v>
      </x:c>
      <x:c r="T76" s="15" t="str"/>
      <x:c r="U76" s="15" t="str"/>
      <x:c r="V76" s="15" t="str"/>
      <x:c r="W76" s="15" t="str"/>
      <x:c r="X76" s="16" t="str"/>
      <x:c r="Y76" s="15" t="str"/>
      <x:c r="Z76" s="14" t="str">
        <x:f>IF(J76&lt;&gt;"적용","산정제외",IF(OR(Q76="실패",R76="실패"),"실패",IF(AND(P76="구현",T76&lt;&gt;"",U76&lt;&gt;"",V76&lt;&gt;"",W76&lt;&gt;"",ISNUMBER(X76),Y76="",OR(S76="수동",Q76="통과"),OR(S76="자동",R76="통과")),"통과","미검증")))</x:f>
        <x:v>미검증</x:v>
      </x:c>
      <x:c r="AA76" s="14" t="str">
        <x:v>KRDS-SEC-026</x:v>
      </x:c>
      <x:c r="AB76" s="14" t="str">
        <x:v>S03</x:v>
      </x:c>
    </x:row>
    <x:row r="77" ht="37.5" customHeight="1">
      <x:c r="A77" s="13" t="str">
        <x:v>UI-026</x:v>
      </x:c>
      <x:c r="B77" s="13" t="str">
        <x:v>KRDS UI/UX</x:v>
      </x:c>
      <x:c r="C77" s="13" t="str">
        <x:v>UI 컴포넌트</x:v>
      </x:c>
      <x:c r="D77" s="13" t="str">
        <x:v>탭바</x:v>
      </x:c>
      <x:c r="E77" s="13" t="str">
        <x:v>모바일 주요 탐색을 일관되게 제공</x:v>
      </x:c>
      <x:c r="F77" s="13" t="str">
        <x:v>SRC-001</x:v>
      </x:c>
      <x:c r="G77" s="13" t="str">
        <x:v>컴포넌트 / 탐색 / 탭바 / p.339-352</x:v>
      </x:c>
      <x:c r="H77" s="13" t="str">
        <x:v>원문 등급 별도 확인</x:v>
      </x:c>
      <x:c r="I77" s="13" t="str">
        <x:v>MUST(안)</x:v>
      </x:c>
      <x:c r="J77" s="13" t="str">
        <x:v>조건부</x:v>
      </x:c>
      <x:c r="K77" s="13" t="str">
        <x:v>해당 기능 또는 서비스 조건이 실제 범위에 포함될 때 적용.</x:v>
      </x:c>
      <x:c r="L77" s="13" t="str">
        <x:v>하단 탐색 채택 시 5개 이하 메뉴·아이콘과 텍스트·현재 메뉴를 제공</x:v>
      </x:c>
      <x:c r="M77" s="13" t="str">
        <x:v>작은 화면에서 내용·초점이 하단바에 가리지 않는지 확인</x:v>
      </x:c>
      <x:c r="N77" s="13" t="str">
        <x:v>UX·개발·QA</x:v>
      </x:c>
      <x:c r="O77" s="13" t="str">
        <x:v>P2</x:v>
      </x:c>
      <x:c r="P77" s="15" t="str">
        <x:v>계획</x:v>
      </x:c>
      <x:c r="Q77" s="15" t="str">
        <x:v>미실행</x:v>
      </x:c>
      <x:c r="R77" s="15" t="str">
        <x:v>미실행</x:v>
      </x:c>
      <x:c r="S77" s="15" t="str">
        <x:v>자동+수동</x:v>
      </x:c>
      <x:c r="T77" s="15" t="str"/>
      <x:c r="U77" s="15" t="str"/>
      <x:c r="V77" s="15" t="str"/>
      <x:c r="W77" s="15" t="str"/>
      <x:c r="X77" s="16" t="str"/>
      <x:c r="Y77" s="15" t="str"/>
      <x:c r="Z77" s="13" t="str">
        <x:f>IF(J77&lt;&gt;"적용","산정제외",IF(OR(Q77="실패",R77="실패"),"실패",IF(AND(P77="구현",T77&lt;&gt;"",U77&lt;&gt;"",V77&lt;&gt;"",W77&lt;&gt;"",ISNUMBER(X77),Y77="",OR(S77="수동",Q77="통과"),OR(S77="자동",R77="통과")),"통과","미검증")))</x:f>
        <x:v>산정제외</x:v>
      </x:c>
      <x:c r="AA77" s="13" t="str">
        <x:v>KRDS-SEC-027</x:v>
      </x:c>
      <x:c r="AB77" s="13" t="str">
        <x:v>S01~S08 / 공통</x:v>
      </x:c>
    </x:row>
    <x:row r="78" ht="37.5" customHeight="1">
      <x:c r="A78" s="14" t="str">
        <x:v>UI-027</x:v>
      </x:c>
      <x:c r="B78" s="14" t="str">
        <x:v>KRDS UI/UX</x:v>
      </x:c>
      <x:c r="C78" s="14" t="str">
        <x:v>UI 컴포넌트</x:v>
      </x:c>
      <x:c r="D78" s="14" t="str">
        <x:v>구조화 목록</x:v>
      </x:c>
      <x:c r="E78" s="14" t="str">
        <x:v>동일 속성의 자료를 일정한 구조로 표현</x:v>
      </x:c>
      <x:c r="F78" s="14" t="str">
        <x:v>SRC-001</x:v>
      </x:c>
      <x:c r="G78" s="14" t="str">
        <x:v>컴포넌트 / 레이아웃·표현 / 구조화 목록 / p.353-359</x:v>
      </x:c>
      <x:c r="H78" s="14" t="str">
        <x:v>원문 등급 별도 확인</x:v>
      </x:c>
      <x:c r="I78" s="14" t="str">
        <x:v>MUST(안)</x:v>
      </x:c>
      <x:c r="J78" s="14" t="str">
        <x:v>적용</x:v>
      </x:c>
      <x:c r="K78" s="14" t="str">
        <x:v>업무요청 웹 샘플에 채택하는 회사 기준. 실제 이행은 구현 후 판정.</x:v>
      </x:c>
      <x:c r="L78" s="14" t="str">
        <x:v>요청 카드마다 제목·상태·날짜·담당자 순서를 고정</x:v>
      </x:c>
      <x:c r="M78" s="14" t="str">
        <x:v>목록 항목과 제목·링크의 구조를 보조기술로 점검</x:v>
      </x:c>
      <x:c r="N78" s="14" t="str">
        <x:v>UX·개발·QA</x:v>
      </x:c>
      <x:c r="O78" s="14" t="str">
        <x:v>P1</x:v>
      </x:c>
      <x:c r="P78" s="15" t="str">
        <x:v>계획</x:v>
      </x:c>
      <x:c r="Q78" s="15" t="str">
        <x:v>미실행</x:v>
      </x:c>
      <x:c r="R78" s="15" t="str">
        <x:v>미실행</x:v>
      </x:c>
      <x:c r="S78" s="15" t="str">
        <x:v>자동+수동</x:v>
      </x:c>
      <x:c r="T78" s="15" t="str"/>
      <x:c r="U78" s="15" t="str"/>
      <x:c r="V78" s="15" t="str"/>
      <x:c r="W78" s="15" t="str"/>
      <x:c r="X78" s="16" t="str"/>
      <x:c r="Y78" s="15" t="str"/>
      <x:c r="Z78" s="14" t="str">
        <x:f>IF(J78&lt;&gt;"적용","산정제외",IF(OR(Q78="실패",R78="실패"),"실패",IF(AND(P78="구현",T78&lt;&gt;"",U78&lt;&gt;"",V78&lt;&gt;"",W78&lt;&gt;"",ISNUMBER(X78),Y78="",OR(S78="수동",Q78="통과"),OR(S78="자동",R78="통과")),"통과","미검증")))</x:f>
        <x:v>미검증</x:v>
      </x:c>
      <x:c r="AA78" s="14" t="str">
        <x:v>KRDS-SEC-028</x:v>
      </x:c>
      <x:c r="AB78" s="14" t="str">
        <x:v>S03</x:v>
      </x:c>
    </x:row>
    <x:row r="79" ht="37.5" customHeight="1">
      <x:c r="A79" s="13" t="str">
        <x:v>UI-028</x:v>
      </x:c>
      <x:c r="B79" s="13" t="str">
        <x:v>KRDS UI/UX</x:v>
      </x:c>
      <x:c r="C79" s="13" t="str">
        <x:v>UI 컴포넌트</x:v>
      </x:c>
      <x:c r="D79" s="13" t="str">
        <x:v>긴급 공지</x:v>
      </x:c>
      <x:c r="E79" s="13" t="str">
        <x:v>즉시 알아야 할 공지를 적절한 우선순위로 제공</x:v>
      </x:c>
      <x:c r="F79" s="13" t="str">
        <x:v>SRC-001</x:v>
      </x:c>
      <x:c r="G79" s="13" t="str">
        <x:v>컴포넌트 / 레이아웃·표현 / 긴급 공지 / p.360-367</x:v>
      </x:c>
      <x:c r="H79" s="13" t="str">
        <x:v>원문 등급 별도 확인</x:v>
      </x:c>
      <x:c r="I79" s="13" t="str">
        <x:v>MUST(안)</x:v>
      </x:c>
      <x:c r="J79" s="13" t="str">
        <x:v>조건부</x:v>
      </x:c>
      <x:c r="K79" s="13" t="str">
        <x:v>해당 기능 또는 서비스 조건이 실제 범위에 포함될 때 적용.</x:v>
      </x:c>
      <x:c r="L79" s="13" t="str">
        <x:v>서비스 장애가 있을 때만 상단 공지, 일시·영향·대처 안내</x:v>
      </x:c>
      <x:c r="M79" s="13" t="str">
        <x:v>반복 낭독이나 과도한 초점 강제 없이 인지 가능한지 확인</x:v>
      </x:c>
      <x:c r="N79" s="13" t="str">
        <x:v>UX·개발·QA</x:v>
      </x:c>
      <x:c r="O79" s="13" t="str">
        <x:v>P2</x:v>
      </x:c>
      <x:c r="P79" s="15" t="str">
        <x:v>계획</x:v>
      </x:c>
      <x:c r="Q79" s="15" t="str">
        <x:v>미실행</x:v>
      </x:c>
      <x:c r="R79" s="15" t="str">
        <x:v>미실행</x:v>
      </x:c>
      <x:c r="S79" s="15" t="str">
        <x:v>자동+수동</x:v>
      </x:c>
      <x:c r="T79" s="15" t="str"/>
      <x:c r="U79" s="15" t="str"/>
      <x:c r="V79" s="15" t="str"/>
      <x:c r="W79" s="15" t="str"/>
      <x:c r="X79" s="16" t="str"/>
      <x:c r="Y79" s="15" t="str"/>
      <x:c r="Z79" s="13" t="str">
        <x:f>IF(J79&lt;&gt;"적용","산정제외",IF(OR(Q79="실패",R79="실패"),"실패",IF(AND(P79="구현",T79&lt;&gt;"",U79&lt;&gt;"",V79&lt;&gt;"",W79&lt;&gt;"",ISNUMBER(X79),Y79="",OR(S79="수동",Q79="통과"),OR(S79="자동",R79="통과")),"통과","미검증")))</x:f>
        <x:v>산정제외</x:v>
      </x:c>
      <x:c r="AA79" s="13" t="str">
        <x:v>KRDS-SEC-029</x:v>
      </x:c>
      <x:c r="AB79" s="13" t="str">
        <x:v>S01~S08 / 공통</x:v>
      </x:c>
    </x:row>
    <x:row r="80" ht="37.5" customHeight="1">
      <x:c r="A80" s="14" t="str">
        <x:v>UI-029</x:v>
      </x:c>
      <x:c r="B80" s="14" t="str">
        <x:v>KRDS UI/UX</x:v>
      </x:c>
      <x:c r="C80" s="14" t="str">
        <x:v>UI 컴포넌트</x:v>
      </x:c>
      <x:c r="D80" s="14" t="str">
        <x:v>달력</x:v>
      </x:c>
      <x:c r="E80" s="14" t="str">
        <x:v>달력 선택과 직접 입력을 함께 지원</x:v>
      </x:c>
      <x:c r="F80" s="14" t="str">
        <x:v>SRC-001</x:v>
      </x:c>
      <x:c r="G80" s="14" t="str">
        <x:v>컴포넌트 / 레이아웃·표현 / 달력 / p.368-378</x:v>
      </x:c>
      <x:c r="H80" s="14" t="str">
        <x:v>원문 등급 별도 확인</x:v>
      </x:c>
      <x:c r="I80" s="14" t="str">
        <x:v>MUST(안)</x:v>
      </x:c>
      <x:c r="J80" s="14" t="str">
        <x:v>조건부</x:v>
      </x:c>
      <x:c r="K80" s="14" t="str">
        <x:v>해당 기능 또는 서비스 조건이 실제 범위에 포함될 때 적용.</x:v>
      </x:c>
      <x:c r="L80" s="14" t="str">
        <x:v>사용 시 날짜 텍스트 입력을 기본으로 유지하고 팝업 달력에 키보드 조작 제공</x:v>
      </x:c>
      <x:c r="M80" s="14" t="str">
        <x:v>날짜 이동·선택·닫기·초점 복귀와 날짜 형식 안내 확인</x:v>
      </x:c>
      <x:c r="N80" s="14" t="str">
        <x:v>UX·개발·QA</x:v>
      </x:c>
      <x:c r="O80" s="14" t="str">
        <x:v>P1</x:v>
      </x:c>
      <x:c r="P80" s="15" t="str">
        <x:v>계획</x:v>
      </x:c>
      <x:c r="Q80" s="15" t="str">
        <x:v>미실행</x:v>
      </x:c>
      <x:c r="R80" s="15" t="str">
        <x:v>미실행</x:v>
      </x:c>
      <x:c r="S80" s="15" t="str">
        <x:v>자동+수동</x:v>
      </x:c>
      <x:c r="T80" s="15" t="str"/>
      <x:c r="U80" s="15" t="str"/>
      <x:c r="V80" s="15" t="str"/>
      <x:c r="W80" s="15" t="str"/>
      <x:c r="X80" s="16" t="str"/>
      <x:c r="Y80" s="15" t="str"/>
      <x:c r="Z80" s="14" t="str">
        <x:f>IF(J80&lt;&gt;"적용","산정제외",IF(OR(Q80="실패",R80="실패"),"실패",IF(AND(P80="구현",T80&lt;&gt;"",U80&lt;&gt;"",V80&lt;&gt;"",W80&lt;&gt;"",ISNUMBER(X80),Y80="",OR(S80="수동",Q80="통과"),OR(S80="자동",R80="통과")),"통과","미검증")))</x:f>
        <x:v>산정제외</x:v>
      </x:c>
      <x:c r="AA80" s="14" t="str">
        <x:v>KRDS-SEC-030</x:v>
      </x:c>
      <x:c r="AB80" s="14" t="str">
        <x:v>S05</x:v>
      </x:c>
    </x:row>
    <x:row r="81" ht="37.5" customHeight="1">
      <x:c r="A81" s="13" t="str">
        <x:v>UI-030</x:v>
      </x:c>
      <x:c r="B81" s="13" t="str">
        <x:v>KRDS UI/UX</x:v>
      </x:c>
      <x:c r="C81" s="13" t="str">
        <x:v>UI 컴포넌트</x:v>
      </x:c>
      <x:c r="D81" s="13" t="str">
        <x:v>디스클로저</x:v>
      </x:c>
      <x:c r="E81" s="13" t="str">
        <x:v>추가 정보의 펼침 상태를 명확히 표현</x:v>
      </x:c>
      <x:c r="F81" s="13" t="str">
        <x:v>SRC-001</x:v>
      </x:c>
      <x:c r="G81" s="13" t="str">
        <x:v>컴포넌트 / 레이아웃·표현 / 디스클로저 / p.379-386</x:v>
      </x:c>
      <x:c r="H81" s="13" t="str">
        <x:v>원문 등급 별도 확인</x:v>
      </x:c>
      <x:c r="I81" s="13" t="str">
        <x:v>MUST(안)</x:v>
      </x:c>
      <x:c r="J81" s="13" t="str">
        <x:v>적용</x:v>
      </x:c>
      <x:c r="K81" s="13" t="str">
        <x:v>업무요청 웹 샘플에 채택하는 회사 기준. 실제 이행은 구현 후 판정.</x:v>
      </x:c>
      <x:c r="L81" s="13" t="str">
        <x:v>기본 details/summary 또는 버튼과 aria-expanded로 보충정보 표시</x:v>
      </x:c>
      <x:c r="M81" s="13" t="str">
        <x:v>Enter/Space 작동, 펼침 상태와 숨긴 콘텐츠 접근 확인</x:v>
      </x:c>
      <x:c r="N81" s="13" t="str">
        <x:v>UX·개발·QA</x:v>
      </x:c>
      <x:c r="O81" s="13" t="str">
        <x:v>P1</x:v>
      </x:c>
      <x:c r="P81" s="15" t="str">
        <x:v>계획</x:v>
      </x:c>
      <x:c r="Q81" s="15" t="str">
        <x:v>미실행</x:v>
      </x:c>
      <x:c r="R81" s="15" t="str">
        <x:v>미실행</x:v>
      </x:c>
      <x:c r="S81" s="15" t="str">
        <x:v>자동+수동</x:v>
      </x:c>
      <x:c r="T81" s="15" t="str"/>
      <x:c r="U81" s="15" t="str"/>
      <x:c r="V81" s="15" t="str"/>
      <x:c r="W81" s="15" t="str"/>
      <x:c r="X81" s="16" t="str"/>
      <x:c r="Y81" s="15" t="str"/>
      <x:c r="Z81" s="13" t="str">
        <x:f>IF(J81&lt;&gt;"적용","산정제외",IF(OR(Q81="실패",R81="실패"),"실패",IF(AND(P81="구현",T81&lt;&gt;"",U81&lt;&gt;"",V81&lt;&gt;"",W81&lt;&gt;"",ISNUMBER(X81),Y81="",OR(S81="수동",Q81="통과"),OR(S81="자동",R81="통과")),"통과","미검증")))</x:f>
        <x:v>미검증</x:v>
      </x:c>
      <x:c r="AA81" s="13" t="str">
        <x:v>KRDS-SEC-031</x:v>
      </x:c>
      <x:c r="AB81" s="13" t="str">
        <x:v>S01~S08 / 공통</x:v>
      </x:c>
    </x:row>
    <x:row r="82" ht="37.5" customHeight="1">
      <x:c r="A82" s="14" t="str">
        <x:v>UI-031</x:v>
      </x:c>
      <x:c r="B82" s="14" t="str">
        <x:v>KRDS UI/UX</x:v>
      </x:c>
      <x:c r="C82" s="14" t="str">
        <x:v>UI 컴포넌트</x:v>
      </x:c>
      <x:c r="D82" s="14" t="str">
        <x:v>모달</x:v>
      </x:c>
      <x:c r="E82" s="14" t="str">
        <x:v>모달 내 작업·닫기·초점 흐름 제공</x:v>
      </x:c>
      <x:c r="F82" s="14" t="str">
        <x:v>SRC-001</x:v>
      </x:c>
      <x:c r="G82" s="14" t="str">
        <x:v>컴포넌트 / 레이아웃·표현 / 모달 / p.387-398</x:v>
      </x:c>
      <x:c r="H82" s="14" t="str">
        <x:v>원문 등급 별도 확인</x:v>
      </x:c>
      <x:c r="I82" s="14" t="str">
        <x:v>MUST(안)</x:v>
      </x:c>
      <x:c r="J82" s="14" t="str">
        <x:v>적용</x:v>
      </x:c>
      <x:c r="K82" s="14" t="str">
        <x:v>업무요청 웹 샘플에 채택하는 회사 기준. 실제 이행은 구현 후 판정.</x:v>
      </x:c>
      <x:c r="L82" s="14" t="str">
        <x:v>제목을 연결한 대화상자, 내부 포커스 유지, Escape·취소, 호출 버튼으로 복귀</x:v>
      </x:c>
      <x:c r="M82" s="14" t="str">
        <x:v>키보드 순환·Escape·스크린리더·배경 비활성 점검</x:v>
      </x:c>
      <x:c r="N82" s="14" t="str">
        <x:v>UX·개발·QA</x:v>
      </x:c>
      <x:c r="O82" s="14" t="str">
        <x:v>P0</x:v>
      </x:c>
      <x:c r="P82" s="15" t="str">
        <x:v>계획</x:v>
      </x:c>
      <x:c r="Q82" s="15" t="str">
        <x:v>미실행</x:v>
      </x:c>
      <x:c r="R82" s="15" t="str">
        <x:v>미실행</x:v>
      </x:c>
      <x:c r="S82" s="15" t="str">
        <x:v>자동+수동</x:v>
      </x:c>
      <x:c r="T82" s="15" t="str"/>
      <x:c r="U82" s="15" t="str"/>
      <x:c r="V82" s="15" t="str"/>
      <x:c r="W82" s="15" t="str"/>
      <x:c r="X82" s="16" t="str"/>
      <x:c r="Y82" s="15" t="str"/>
      <x:c r="Z82" s="14" t="str">
        <x:f>IF(J82&lt;&gt;"적용","산정제외",IF(OR(Q82="실패",R82="실패"),"실패",IF(AND(P82="구현",T82&lt;&gt;"",U82&lt;&gt;"",V82&lt;&gt;"",W82&lt;&gt;"",ISNUMBER(X82),Y82="",OR(S82="수동",Q82="통과"),OR(S82="자동",R82="통과")),"통과","미검증")))</x:f>
        <x:v>미검증</x:v>
      </x:c>
      <x:c r="AA82" s="14" t="str">
        <x:v>KRDS-SEC-032</x:v>
      </x:c>
      <x:c r="AB82" s="14" t="str">
        <x:v>S01~S08 / 공통</x:v>
      </x:c>
    </x:row>
    <x:row r="83" ht="37.5" customHeight="1">
      <x:c r="A83" s="13" t="str">
        <x:v>UI-032</x:v>
      </x:c>
      <x:c r="B83" s="13" t="str">
        <x:v>KRDS UI/UX</x:v>
      </x:c>
      <x:c r="C83" s="13" t="str">
        <x:v>UI 컴포넌트</x:v>
      </x:c>
      <x:c r="D83" s="13" t="str">
        <x:v>배지</x:v>
      </x:c>
      <x:c r="E83" s="13" t="str">
        <x:v>상태를 텍스트와 시각 단서로 전달</x:v>
      </x:c>
      <x:c r="F83" s="13" t="str">
        <x:v>SRC-001</x:v>
      </x:c>
      <x:c r="G83" s="13" t="str">
        <x:v>컴포넌트 / 레이아웃·표현 / 배지 / p.399-404</x:v>
      </x:c>
      <x:c r="H83" s="13" t="str">
        <x:v>원문 등급 별도 확인</x:v>
      </x:c>
      <x:c r="I83" s="13" t="str">
        <x:v>MUST(안)</x:v>
      </x:c>
      <x:c r="J83" s="13" t="str">
        <x:v>적용</x:v>
      </x:c>
      <x:c r="K83" s="13" t="str">
        <x:v>업무요청 웹 샘플에 채택하는 회사 기준. 실제 이행은 구현 후 판정.</x:v>
      </x:c>
      <x:c r="L83" s="13" t="str">
        <x:v>접수/처리중/완료 상태를 텍스트+색+필요시 아이콘으로 표현</x:v>
      </x:c>
      <x:c r="M83" s="13" t="str">
        <x:v>색 제거 시에도 상태 구분 가능 여부 확인</x:v>
      </x:c>
      <x:c r="N83" s="13" t="str">
        <x:v>UX·개발·QA</x:v>
      </x:c>
      <x:c r="O83" s="13" t="str">
        <x:v>P1</x:v>
      </x:c>
      <x:c r="P83" s="15" t="str">
        <x:v>계획</x:v>
      </x:c>
      <x:c r="Q83" s="15" t="str">
        <x:v>미실행</x:v>
      </x:c>
      <x:c r="R83" s="15" t="str">
        <x:v>미실행</x:v>
      </x:c>
      <x:c r="S83" s="15" t="str">
        <x:v>자동+수동</x:v>
      </x:c>
      <x:c r="T83" s="15" t="str"/>
      <x:c r="U83" s="15" t="str"/>
      <x:c r="V83" s="15" t="str"/>
      <x:c r="W83" s="15" t="str"/>
      <x:c r="X83" s="16" t="str"/>
      <x:c r="Y83" s="15" t="str"/>
      <x:c r="Z83" s="13" t="str">
        <x:f>IF(J83&lt;&gt;"적용","산정제외",IF(OR(Q83="실패",R83="실패"),"실패",IF(AND(P83="구현",T83&lt;&gt;"",U83&lt;&gt;"",V83&lt;&gt;"",W83&lt;&gt;"",ISNUMBER(X83),Y83="",OR(S83="수동",Q83="통과"),OR(S83="자동",R83="통과")),"통과","미검증")))</x:f>
        <x:v>미검증</x:v>
      </x:c>
      <x:c r="AA83" s="13" t="str">
        <x:v>KRDS-SEC-033</x:v>
      </x:c>
      <x:c r="AB83" s="13" t="str">
        <x:v>S05</x:v>
      </x:c>
    </x:row>
    <x:row r="84" ht="37.5" customHeight="1">
      <x:c r="A84" s="14" t="str">
        <x:v>UI-033</x:v>
      </x:c>
      <x:c r="B84" s="14" t="str">
        <x:v>KRDS UI/UX</x:v>
      </x:c>
      <x:c r="C84" s="14" t="str">
        <x:v>UI 컴포넌트</x:v>
      </x:c>
      <x:c r="D84" s="14" t="str">
        <x:v>아코디언</x:v>
      </x:c>
      <x:c r="E84" s="14" t="str">
        <x:v>여러 설명 영역을 예측 가능하게 확장</x:v>
      </x:c>
      <x:c r="F84" s="14" t="str">
        <x:v>SRC-001</x:v>
      </x:c>
      <x:c r="G84" s="14" t="str">
        <x:v>컴포넌트 / 레이아웃·표현 / 아코디언 / p.405-415</x:v>
      </x:c>
      <x:c r="H84" s="14" t="str">
        <x:v>원문 등급 별도 확인</x:v>
      </x:c>
      <x:c r="I84" s="14" t="str">
        <x:v>MUST(안)</x:v>
      </x:c>
      <x:c r="J84" s="14" t="str">
        <x:v>적용</x:v>
      </x:c>
      <x:c r="K84" s="14" t="str">
        <x:v>업무요청 웹 샘플에 채택하는 회사 기준. 실제 이행은 구현 후 판정.</x:v>
      </x:c>
      <x:c r="L84" s="14" t="str">
        <x:v>FAQ에 제목 버튼과 연결 패널, 상태 속성 제공</x:v>
      </x:c>
      <x:c r="M84" s="14" t="str">
        <x:v>각 제목의 실행·초점·확장 상태 확인</x:v>
      </x:c>
      <x:c r="N84" s="14" t="str">
        <x:v>UX·개발·QA</x:v>
      </x:c>
      <x:c r="O84" s="14" t="str">
        <x:v>P1</x:v>
      </x:c>
      <x:c r="P84" s="15" t="str">
        <x:v>계획</x:v>
      </x:c>
      <x:c r="Q84" s="15" t="str">
        <x:v>미실행</x:v>
      </x:c>
      <x:c r="R84" s="15" t="str">
        <x:v>미실행</x:v>
      </x:c>
      <x:c r="S84" s="15" t="str">
        <x:v>자동+수동</x:v>
      </x:c>
      <x:c r="T84" s="15" t="str"/>
      <x:c r="U84" s="15" t="str"/>
      <x:c r="V84" s="15" t="str"/>
      <x:c r="W84" s="15" t="str"/>
      <x:c r="X84" s="16" t="str"/>
      <x:c r="Y84" s="15" t="str"/>
      <x:c r="Z84" s="14" t="str">
        <x:f>IF(J84&lt;&gt;"적용","산정제외",IF(OR(Q84="실패",R84="실패"),"실패",IF(AND(P84="구현",T84&lt;&gt;"",U84&lt;&gt;"",V84&lt;&gt;"",W84&lt;&gt;"",ISNUMBER(X84),Y84="",OR(S84="수동",Q84="통과"),OR(S84="자동",R84="통과")),"통과","미검증")))</x:f>
        <x:v>미검증</x:v>
      </x:c>
      <x:c r="AA84" s="14" t="str">
        <x:v>KRDS-SEC-034</x:v>
      </x:c>
      <x:c r="AB84" s="14" t="str">
        <x:v>S01~S08 / 공통</x:v>
      </x:c>
    </x:row>
    <x:row r="85" ht="37.5" customHeight="1">
      <x:c r="A85" s="13" t="str">
        <x:v>UI-034</x:v>
      </x:c>
      <x:c r="B85" s="13" t="str">
        <x:v>KRDS UI/UX</x:v>
      </x:c>
      <x:c r="C85" s="13" t="str">
        <x:v>UI 컴포넌트</x:v>
      </x:c>
      <x:c r="D85" s="13" t="str">
        <x:v>이미지</x:v>
      </x:c>
      <x:c r="E85" s="13" t="str">
        <x:v>이미지 목적에 맞는 대체정보 제공</x:v>
      </x:c>
      <x:c r="F85" s="13" t="str">
        <x:v>SRC-001</x:v>
      </x:c>
      <x:c r="G85" s="13" t="str">
        <x:v>컴포넌트 / 레이아웃·표현 / 이미지 / p.416-423</x:v>
      </x:c>
      <x:c r="H85" s="13" t="str">
        <x:v>원문 등급 별도 확인</x:v>
      </x:c>
      <x:c r="I85" s="13" t="str">
        <x:v>MUST(안)</x:v>
      </x:c>
      <x:c r="J85" s="13" t="str">
        <x:v>적용</x:v>
      </x:c>
      <x:c r="K85" s="13" t="str">
        <x:v>업무요청 웹 샘플에 채택하는 회사 기준. 실제 이행은 구현 후 판정.</x:v>
      </x:c>
      <x:c r="L85" s="13" t="str">
        <x:v>첨부 이미지 미리보기에는 목적에 맞는 alt, 장식 이미지에는 빈 alt 제공</x:v>
      </x:c>
      <x:c r="M85" s="13" t="str">
        <x:v>유의미한 이미지와 장식 이미지의 대체텍스트 검토</x:v>
      </x:c>
      <x:c r="N85" s="13" t="str">
        <x:v>UX·개발·QA</x:v>
      </x:c>
      <x:c r="O85" s="13" t="str">
        <x:v>P0</x:v>
      </x:c>
      <x:c r="P85" s="15" t="str">
        <x:v>계획</x:v>
      </x:c>
      <x:c r="Q85" s="15" t="str">
        <x:v>미실행</x:v>
      </x:c>
      <x:c r="R85" s="15" t="str">
        <x:v>미실행</x:v>
      </x:c>
      <x:c r="S85" s="15" t="str">
        <x:v>자동+수동</x:v>
      </x:c>
      <x:c r="T85" s="15" t="str"/>
      <x:c r="U85" s="15" t="str"/>
      <x:c r="V85" s="15" t="str"/>
      <x:c r="W85" s="15" t="str"/>
      <x:c r="X85" s="16" t="str"/>
      <x:c r="Y85" s="15" t="str"/>
      <x:c r="Z85" s="13" t="str">
        <x:f>IF(J85&lt;&gt;"적용","산정제외",IF(OR(Q85="실패",R85="실패"),"실패",IF(AND(P85="구현",T85&lt;&gt;"",U85&lt;&gt;"",V85&lt;&gt;"",W85&lt;&gt;"",ISNUMBER(X85),Y85="",OR(S85="수동",Q85="통과"),OR(S85="자동",R85="통과")),"통과","미검증")))</x:f>
        <x:v>미검증</x:v>
      </x:c>
      <x:c r="AA85" s="13" t="str">
        <x:v>KRDS-SEC-035</x:v>
      </x:c>
      <x:c r="AB85" s="13" t="str">
        <x:v>S04, S05</x:v>
      </x:c>
    </x:row>
    <x:row r="86" ht="37.5" customHeight="1">
      <x:c r="A86" s="14" t="str">
        <x:v>UI-035</x:v>
      </x:c>
      <x:c r="B86" s="14" t="str">
        <x:v>KRDS UI/UX</x:v>
      </x:c>
      <x:c r="C86" s="14" t="str">
        <x:v>UI 컴포넌트</x:v>
      </x:c>
      <x:c r="D86" s="14" t="str">
        <x:v>캐러셀</x:v>
      </x:c>
      <x:c r="E86" s="14" t="str">
        <x:v>캐러셀 사용 시 사용자 제어를 보장</x:v>
      </x:c>
      <x:c r="F86" s="14" t="str">
        <x:v>SRC-001</x:v>
      </x:c>
      <x:c r="G86" s="14" t="str">
        <x:v>컴포넌트 / 레이아웃·표현 / 캐러셀 / p.424-444</x:v>
      </x:c>
      <x:c r="H86" s="14" t="str">
        <x:v>원문 등급 별도 확인</x:v>
      </x:c>
      <x:c r="I86" s="14" t="str">
        <x:v>MUST(안)</x:v>
      </x:c>
      <x:c r="J86" s="14" t="str">
        <x:v>조건부</x:v>
      </x:c>
      <x:c r="K86" s="14" t="str">
        <x:v>해당 기능 또는 서비스 조건이 실제 범위에 포함될 때 적용.</x:v>
      </x:c>
      <x:c r="L86" s="14" t="str">
        <x:v>기본 샘플에서는 미사용; 채택 시 이전/다음·정지·항목 상태를 제공</x:v>
      </x:c>
      <x:c r="M86" s="14" t="str">
        <x:v>자동회전 중지·키보드·터치·대체 콘텐츠 검증</x:v>
      </x:c>
      <x:c r="N86" s="14" t="str">
        <x:v>UX·개발·QA</x:v>
      </x:c>
      <x:c r="O86" s="14" t="str">
        <x:v>P2</x:v>
      </x:c>
      <x:c r="P86" s="15" t="str">
        <x:v>계획</x:v>
      </x:c>
      <x:c r="Q86" s="15" t="str">
        <x:v>미실행</x:v>
      </x:c>
      <x:c r="R86" s="15" t="str">
        <x:v>미실행</x:v>
      </x:c>
      <x:c r="S86" s="15" t="str">
        <x:v>자동+수동</x:v>
      </x:c>
      <x:c r="T86" s="15" t="str"/>
      <x:c r="U86" s="15" t="str"/>
      <x:c r="V86" s="15" t="str"/>
      <x:c r="W86" s="15" t="str"/>
      <x:c r="X86" s="16" t="str"/>
      <x:c r="Y86" s="15" t="str"/>
      <x:c r="Z86" s="14" t="str">
        <x:f>IF(J86&lt;&gt;"적용","산정제외",IF(OR(Q86="실패",R86="실패"),"실패",IF(AND(P86="구현",T86&lt;&gt;"",U86&lt;&gt;"",V86&lt;&gt;"",W86&lt;&gt;"",ISNUMBER(X86),Y86="",OR(S86="수동",Q86="통과"),OR(S86="자동",R86="통과")),"통과","미검증")))</x:f>
        <x:v>산정제외</x:v>
      </x:c>
      <x:c r="AA86" s="14" t="str">
        <x:v>KRDS-SEC-036</x:v>
      </x:c>
      <x:c r="AB86" s="14" t="str">
        <x:v>S01~S08 / 공통</x:v>
      </x:c>
    </x:row>
    <x:row r="87" ht="37.5" customHeight="1">
      <x:c r="A87" s="13" t="str">
        <x:v>UI-036</x:v>
      </x:c>
      <x:c r="B87" s="13" t="str">
        <x:v>KRDS UI/UX</x:v>
      </x:c>
      <x:c r="C87" s="13" t="str">
        <x:v>UI 컴포넌트</x:v>
      </x:c>
      <x:c r="D87" s="13" t="str">
        <x:v>탭</x:v>
      </x:c>
      <x:c r="E87" s="13" t="str">
        <x:v>탭과 패널 관계·키보드 이동 제공</x:v>
      </x:c>
      <x:c r="F87" s="13" t="str">
        <x:v>SRC-001</x:v>
      </x:c>
      <x:c r="G87" s="13" t="str">
        <x:v>컴포넌트 / 레이아웃·표현 / 탭 / p.445-458</x:v>
      </x:c>
      <x:c r="H87" s="13" t="str">
        <x:v>원문 등급 별도 확인</x:v>
      </x:c>
      <x:c r="I87" s="13" t="str">
        <x:v>MUST(안)</x:v>
      </x:c>
      <x:c r="J87" s="13" t="str">
        <x:v>적용</x:v>
      </x:c>
      <x:c r="K87" s="13" t="str">
        <x:v>업무요청 웹 샘플에 채택하는 회사 기준. 실제 이행은 구현 후 판정.</x:v>
      </x:c>
      <x:c r="L87" s="13" t="str">
        <x:v>상세의 정보/이력 패널에 tablist/tab/tabpanel을 정확히 연결</x:v>
      </x:c>
      <x:c r="M87" s="13" t="str">
        <x:v>좌우 방향키·Home/End·선택 상태·패널 노출 확인</x:v>
      </x:c>
      <x:c r="N87" s="13" t="str">
        <x:v>UX·개발·QA</x:v>
      </x:c>
      <x:c r="O87" s="13" t="str">
        <x:v>P1</x:v>
      </x:c>
      <x:c r="P87" s="15" t="str">
        <x:v>계획</x:v>
      </x:c>
      <x:c r="Q87" s="15" t="str">
        <x:v>미실행</x:v>
      </x:c>
      <x:c r="R87" s="15" t="str">
        <x:v>미실행</x:v>
      </x:c>
      <x:c r="S87" s="15" t="str">
        <x:v>자동+수동</x:v>
      </x:c>
      <x:c r="T87" s="15" t="str"/>
      <x:c r="U87" s="15" t="str"/>
      <x:c r="V87" s="15" t="str"/>
      <x:c r="W87" s="15" t="str"/>
      <x:c r="X87" s="16" t="str"/>
      <x:c r="Y87" s="15" t="str"/>
      <x:c r="Z87" s="13" t="str">
        <x:f>IF(J87&lt;&gt;"적용","산정제외",IF(OR(Q87="실패",R87="실패"),"실패",IF(AND(P87="구현",T87&lt;&gt;"",U87&lt;&gt;"",V87&lt;&gt;"",W87&lt;&gt;"",ISNUMBER(X87),Y87="",OR(S87="수동",Q87="통과"),OR(S87="자동",R87="통과")),"통과","미검증")))</x:f>
        <x:v>미검증</x:v>
      </x:c>
      <x:c r="AA87" s="13" t="str">
        <x:v>KRDS-SEC-037</x:v>
      </x:c>
      <x:c r="AB87" s="13" t="str">
        <x:v>S01~S08 / 공통</x:v>
      </x:c>
    </x:row>
    <x:row r="88" ht="37.5" customHeight="1">
      <x:c r="A88" s="14" t="str">
        <x:v>UI-037</x:v>
      </x:c>
      <x:c r="B88" s="14" t="str">
        <x:v>KRDS UI/UX</x:v>
      </x:c>
      <x:c r="C88" s="14" t="str">
        <x:v>UI 컴포넌트</x:v>
      </x:c>
      <x:c r="D88" s="14" t="str">
        <x:v>표</x:v>
      </x:c>
      <x:c r="E88" s="14" t="str">
        <x:v>데이터 구조와 정렬을 접근 가능하게 제공</x:v>
      </x:c>
      <x:c r="F88" s="14" t="str">
        <x:v>SRC-001</x:v>
      </x:c>
      <x:c r="G88" s="14" t="str">
        <x:v>컴포넌트 / 레이아웃·표현 / 표 / p.459-470</x:v>
      </x:c>
      <x:c r="H88" s="14" t="str">
        <x:v>원문 등급 별도 확인</x:v>
      </x:c>
      <x:c r="I88" s="14" t="str">
        <x:v>MUST(안)</x:v>
      </x:c>
      <x:c r="J88" s="14" t="str">
        <x:v>적용</x:v>
      </x:c>
      <x:c r="K88" s="14" t="str">
        <x:v>업무요청 웹 샘플에 채택하는 회사 기준. 실제 이행은 구현 후 판정.</x:v>
      </x:c>
      <x:c r="L88" s="14" t="str">
        <x:v>caption·th/scope와 정렬 버튼·aria-sort 제공, 숫자는 우측 정렬</x:v>
      </x:c>
      <x:c r="M88" s="14" t="str">
        <x:v>화면낭독기 표 탐색·정렬 상태·좁은 화면 스크롤 점검</x:v>
      </x:c>
      <x:c r="N88" s="14" t="str">
        <x:v>UX·개발·QA</x:v>
      </x:c>
      <x:c r="O88" s="14" t="str">
        <x:v>P1</x:v>
      </x:c>
      <x:c r="P88" s="15" t="str">
        <x:v>계획</x:v>
      </x:c>
      <x:c r="Q88" s="15" t="str">
        <x:v>미실행</x:v>
      </x:c>
      <x:c r="R88" s="15" t="str">
        <x:v>미실행</x:v>
      </x:c>
      <x:c r="S88" s="15" t="str">
        <x:v>자동+수동</x:v>
      </x:c>
      <x:c r="T88" s="15" t="str"/>
      <x:c r="U88" s="15" t="str"/>
      <x:c r="V88" s="15" t="str"/>
      <x:c r="W88" s="15" t="str"/>
      <x:c r="X88" s="16" t="str"/>
      <x:c r="Y88" s="15" t="str"/>
      <x:c r="Z88" s="14" t="str">
        <x:f>IF(J88&lt;&gt;"적용","산정제외",IF(OR(Q88="실패",R88="실패"),"실패",IF(AND(P88="구현",T88&lt;&gt;"",U88&lt;&gt;"",V88&lt;&gt;"",W88&lt;&gt;"",ISNUMBER(X88),Y88="",OR(S88="수동",Q88="통과"),OR(S88="자동",R88="통과")),"통과","미검증")))</x:f>
        <x:v>미검증</x:v>
      </x:c>
      <x:c r="AA88" s="14" t="str">
        <x:v>KRDS-SEC-038</x:v>
      </x:c>
      <x:c r="AB88" s="14" t="str">
        <x:v>S03</x:v>
      </x:c>
    </x:row>
    <x:row r="89" ht="37.5" customHeight="1">
      <x:c r="A89" s="13" t="str">
        <x:v>UI-038</x:v>
      </x:c>
      <x:c r="B89" s="13" t="str">
        <x:v>KRDS UI/UX</x:v>
      </x:c>
      <x:c r="C89" s="13" t="str">
        <x:v>UI 컴포넌트</x:v>
      </x:c>
      <x:c r="D89" s="13" t="str">
        <x:v>스플래시 스크린</x:v>
      </x:c>
      <x:c r="E89" s="13" t="str">
        <x:v>네이티브 앱의 시작 화면 가이드</x:v>
      </x:c>
      <x:c r="F89" s="13" t="str">
        <x:v>SRC-001</x:v>
      </x:c>
      <x:c r="G89" s="13" t="str">
        <x:v>컴포넌트 / 레이아웃·표현 / 스플래시 스크린 / p.471-483</x:v>
      </x:c>
      <x:c r="H89" s="13" t="str">
        <x:v>원문 등급 별도 확인</x:v>
      </x:c>
      <x:c r="I89" s="13" t="str">
        <x:v>대상외</x:v>
      </x:c>
      <x:c r="J89" s="13" t="str">
        <x:v>해당없음</x:v>
      </x:c>
      <x:c r="K89" s="13" t="str">
        <x:v>현재 회사 자체 브랜드 웹 샘플 범위와 맞지 않음. 근거를 유지하고 범위 변경 시 재평가.</x:v>
      </x:c>
      <x:c r="L89" s="13" t="str">
        <x:v>이번 웹 샘플은 별도 스플래시 미구현; 향후 앱에서 중요한 정보 배치 금지</x:v>
      </x:c>
      <x:c r="M89" s="13" t="str">
        <x:v>범위 변경 시 플랫폼 기본 시작화면·노출시간 재검토</x:v>
      </x:c>
      <x:c r="N89" s="13" t="str">
        <x:v>UX·개발·QA</x:v>
      </x:c>
      <x:c r="O89" s="13" t="str">
        <x:v>P2</x:v>
      </x:c>
      <x:c r="P89" s="15" t="str">
        <x:v>해당없음</x:v>
      </x:c>
      <x:c r="Q89" s="15" t="str">
        <x:v>미실행</x:v>
      </x:c>
      <x:c r="R89" s="15" t="str">
        <x:v>미실행</x:v>
      </x:c>
      <x:c r="S89" s="15" t="str">
        <x:v>수동</x:v>
      </x:c>
      <x:c r="T89" s="15" t="str"/>
      <x:c r="U89" s="15" t="str"/>
      <x:c r="V89" s="15" t="str"/>
      <x:c r="W89" s="15" t="str"/>
      <x:c r="X89" s="16" t="str"/>
      <x:c r="Y89" s="15" t="str"/>
      <x:c r="Z89" s="13" t="str">
        <x:f>IF(J89&lt;&gt;"적용","산정제외",IF(OR(Q89="실패",R89="실패"),"실패",IF(AND(P89="구현",T89&lt;&gt;"",U89&lt;&gt;"",V89&lt;&gt;"",W89&lt;&gt;"",ISNUMBER(X89),Y89="",OR(S89="수동",Q89="통과"),OR(S89="자동",R89="통과")),"통과","미검증")))</x:f>
        <x:v>산정제외</x:v>
      </x:c>
      <x:c r="AA89" s="13" t="str">
        <x:v>KRDS-SEC-039</x:v>
      </x:c>
      <x:c r="AB89" s="13" t="str">
        <x:v>S01~S08 / 공통</x:v>
      </x:c>
    </x:row>
    <x:row r="90" ht="37.5" customHeight="1">
      <x:c r="A90" s="14" t="str">
        <x:v>UI-039</x:v>
      </x:c>
      <x:c r="B90" s="14" t="str">
        <x:v>KRDS UI/UX</x:v>
      </x:c>
      <x:c r="C90" s="14" t="str">
        <x:v>UI 컴포넌트</x:v>
      </x:c>
      <x:c r="D90" s="14" t="str">
        <x:v>텍스트 목록</x:v>
      </x:c>
      <x:c r="E90" s="14" t="str">
        <x:v>의미에 맞는 목록 마크업 제공</x:v>
      </x:c>
      <x:c r="F90" s="14" t="str">
        <x:v>SRC-001</x:v>
      </x:c>
      <x:c r="G90" s="14" t="str">
        <x:v>컴포넌트 / 레이아웃·표현 / 텍스트 목록 / p.484-494</x:v>
      </x:c>
      <x:c r="H90" s="14" t="str">
        <x:v>원문 등급 별도 확인</x:v>
      </x:c>
      <x:c r="I90" s="14" t="str">
        <x:v>MUST(안)</x:v>
      </x:c>
      <x:c r="J90" s="14" t="str">
        <x:v>적용</x:v>
      </x:c>
      <x:c r="K90" s="14" t="str">
        <x:v>업무요청 웹 샘플에 채택하는 회사 기준. 실제 이행은 구현 후 판정.</x:v>
      </x:c>
      <x:c r="L90" s="14" t="str">
        <x:v>순서 있는 절차는 ol, 순서 없는 항목은 ul 사용</x:v>
      </x:c>
      <x:c r="M90" s="14" t="str">
        <x:v>읽기 순서·항목 수·목록 인식 확인</x:v>
      </x:c>
      <x:c r="N90" s="14" t="str">
        <x:v>UX·개발·QA</x:v>
      </x:c>
      <x:c r="O90" s="14" t="str">
        <x:v>P1</x:v>
      </x:c>
      <x:c r="P90" s="15" t="str">
        <x:v>계획</x:v>
      </x:c>
      <x:c r="Q90" s="15" t="str">
        <x:v>미실행</x:v>
      </x:c>
      <x:c r="R90" s="15" t="str">
        <x:v>미실행</x:v>
      </x:c>
      <x:c r="S90" s="15" t="str">
        <x:v>자동+수동</x:v>
      </x:c>
      <x:c r="T90" s="15" t="str"/>
      <x:c r="U90" s="15" t="str"/>
      <x:c r="V90" s="15" t="str"/>
      <x:c r="W90" s="15" t="str"/>
      <x:c r="X90" s="16" t="str"/>
      <x:c r="Y90" s="15" t="str"/>
      <x:c r="Z90" s="14" t="str">
        <x:f>IF(J90&lt;&gt;"적용","산정제외",IF(OR(Q90="실패",R90="실패"),"실패",IF(AND(P90="구현",T90&lt;&gt;"",U90&lt;&gt;"",V90&lt;&gt;"",W90&lt;&gt;"",ISNUMBER(X90),Y90="",OR(S90="수동",Q90="통과"),OR(S90="자동",R90="통과")),"통과","미검증")))</x:f>
        <x:v>미검증</x:v>
      </x:c>
      <x:c r="AA90" s="14" t="str">
        <x:v>KRDS-SEC-040</x:v>
      </x:c>
      <x:c r="AB90" s="14" t="str">
        <x:v>S03</x:v>
      </x:c>
    </x:row>
    <x:row r="91" ht="37.5" customHeight="1">
      <x:c r="A91" s="13" t="str">
        <x:v>UI-040</x:v>
      </x:c>
      <x:c r="B91" s="13" t="str">
        <x:v>KRDS UI/UX</x:v>
      </x:c>
      <x:c r="C91" s="13" t="str">
        <x:v>UI 컴포넌트</x:v>
      </x:c>
      <x:c r="D91" s="13" t="str">
        <x:v>링크</x:v>
      </x:c>
      <x:c r="E91" s="13" t="str">
        <x:v>목적지를 예측할 수 있는 링크 제공</x:v>
      </x:c>
      <x:c r="F91" s="13" t="str">
        <x:v>SRC-001</x:v>
      </x:c>
      <x:c r="G91" s="13" t="str">
        <x:v>컴포넌트 / 액션 / 링크 / p.495-509</x:v>
      </x:c>
      <x:c r="H91" s="13" t="str">
        <x:v>원문 등급 별도 확인</x:v>
      </x:c>
      <x:c r="I91" s="13" t="str">
        <x:v>MUST(안)</x:v>
      </x:c>
      <x:c r="J91" s="13" t="str">
        <x:v>적용</x:v>
      </x:c>
      <x:c r="K91" s="13" t="str">
        <x:v>업무요청 웹 샘플에 채택하는 회사 기준. 실제 이행은 구현 후 판정.</x:v>
      </x:c>
      <x:c r="L91" s="13" t="str">
        <x:v>이동은 a 요소로 구현, 의미 있는 링크명·새 창 사전 안내 제공</x:v>
      </x:c>
      <x:c r="M91" s="13" t="str">
        <x:v>링크 목록 낭독 시 목적지 식별 및 실제 이동 확인</x:v>
      </x:c>
      <x:c r="N91" s="13" t="str">
        <x:v>UX·개발·QA</x:v>
      </x:c>
      <x:c r="O91" s="13" t="str">
        <x:v>P1</x:v>
      </x:c>
      <x:c r="P91" s="15" t="str">
        <x:v>계획</x:v>
      </x:c>
      <x:c r="Q91" s="15" t="str">
        <x:v>미실행</x:v>
      </x:c>
      <x:c r="R91" s="15" t="str">
        <x:v>미실행</x:v>
      </x:c>
      <x:c r="S91" s="15" t="str">
        <x:v>자동+수동</x:v>
      </x:c>
      <x:c r="T91" s="15" t="str"/>
      <x:c r="U91" s="15" t="str"/>
      <x:c r="V91" s="15" t="str"/>
      <x:c r="W91" s="15" t="str"/>
      <x:c r="X91" s="16" t="str"/>
      <x:c r="Y91" s="15" t="str"/>
      <x:c r="Z91" s="13" t="str">
        <x:f>IF(J91&lt;&gt;"적용","산정제외",IF(OR(Q91="실패",R91="실패"),"실패",IF(AND(P91="구현",T91&lt;&gt;"",U91&lt;&gt;"",V91&lt;&gt;"",W91&lt;&gt;"",ISNUMBER(X91),Y91="",OR(S91="수동",Q91="통과"),OR(S91="자동",R91="통과")),"통과","미검증")))</x:f>
        <x:v>미검증</x:v>
      </x:c>
      <x:c r="AA91" s="13" t="str">
        <x:v>KRDS-SEC-041</x:v>
      </x:c>
      <x:c r="AB91" s="13" t="str">
        <x:v>S01~S08 / 공통</x:v>
      </x:c>
    </x:row>
    <x:row r="92" ht="37.5" customHeight="1">
      <x:c r="A92" s="14" t="str">
        <x:v>UI-041</x:v>
      </x:c>
      <x:c r="B92" s="14" t="str">
        <x:v>KRDS UI/UX</x:v>
      </x:c>
      <x:c r="C92" s="14" t="str">
        <x:v>UI 컴포넌트</x:v>
      </x:c>
      <x:c r="D92" s="14" t="str">
        <x:v>버튼</x:v>
      </x:c>
      <x:c r="E92" s="14" t="str">
        <x:v>행동의 결과가 분명한 버튼 제공</x:v>
      </x:c>
      <x:c r="F92" s="14" t="str">
        <x:v>SRC-001</x:v>
      </x:c>
      <x:c r="G92" s="14" t="str">
        <x:v>컴포넌트 / 액션 / 버튼 / p.510-522</x:v>
      </x:c>
      <x:c r="H92" s="14" t="str">
        <x:v>원문 등급 별도 확인</x:v>
      </x:c>
      <x:c r="I92" s="14" t="str">
        <x:v>MUST(안)</x:v>
      </x:c>
      <x:c r="J92" s="14" t="str">
        <x:v>적용</x:v>
      </x:c>
      <x:c r="K92" s="14" t="str">
        <x:v>업무요청 웹 샘플에 채택하는 회사 기준. 실제 이행은 구현 후 판정.</x:v>
      </x:c>
      <x:c r="L92" s="14" t="str">
        <x:v>동작은 button, 구체적 레이블·상태·중복실행 방지 적용</x:v>
      </x:c>
      <x:c r="M92" s="14" t="str">
        <x:v>Enter/Space·로딩·실패 후 재시도·이름 확인</x:v>
      </x:c>
      <x:c r="N92" s="14" t="str">
        <x:v>UX·개발·QA</x:v>
      </x:c>
      <x:c r="O92" s="14" t="str">
        <x:v>P0</x:v>
      </x:c>
      <x:c r="P92" s="15" t="str">
        <x:v>계획</x:v>
      </x:c>
      <x:c r="Q92" s="15" t="str">
        <x:v>미실행</x:v>
      </x:c>
      <x:c r="R92" s="15" t="str">
        <x:v>미실행</x:v>
      </x:c>
      <x:c r="S92" s="15" t="str">
        <x:v>자동+수동</x:v>
      </x:c>
      <x:c r="T92" s="15" t="str"/>
      <x:c r="U92" s="15" t="str"/>
      <x:c r="V92" s="15" t="str"/>
      <x:c r="W92" s="15" t="str"/>
      <x:c r="X92" s="16" t="str"/>
      <x:c r="Y92" s="15" t="str"/>
      <x:c r="Z92" s="14" t="str">
        <x:f>IF(J92&lt;&gt;"적용","산정제외",IF(OR(Q92="실패",R92="실패"),"실패",IF(AND(P92="구현",T92&lt;&gt;"",U92&lt;&gt;"",V92&lt;&gt;"",W92&lt;&gt;"",ISNUMBER(X92),Y92="",OR(S92="수동",Q92="통과"),OR(S92="자동",R92="통과")),"통과","미검증")))</x:f>
        <x:v>미검증</x:v>
      </x:c>
      <x:c r="AA92" s="14" t="str">
        <x:v>KRDS-SEC-042</x:v>
      </x:c>
      <x:c r="AB92" s="14" t="str">
        <x:v>S01~S08 / 공통</x:v>
      </x:c>
    </x:row>
    <x:row r="93" ht="37.5" customHeight="1">
      <x:c r="A93" s="13" t="str">
        <x:v>UI-042</x:v>
      </x:c>
      <x:c r="B93" s="13" t="str">
        <x:v>KRDS UI/UX</x:v>
      </x:c>
      <x:c r="C93" s="13" t="str">
        <x:v>UI 컴포넌트</x:v>
      </x:c>
      <x:c r="D93" s="13" t="str">
        <x:v>라디오 버튼</x:v>
      </x:c>
      <x:c r="E93" s="13" t="str">
        <x:v>단일 선택의 그룹과 이름 제공</x:v>
      </x:c>
      <x:c r="F93" s="13" t="str">
        <x:v>SRC-001</x:v>
      </x:c>
      <x:c r="G93" s="13" t="str">
        <x:v>컴포넌트 / 선택 / 라디오 버튼 / p.523-537</x:v>
      </x:c>
      <x:c r="H93" s="13" t="str">
        <x:v>원문 등급 별도 확인</x:v>
      </x:c>
      <x:c r="I93" s="13" t="str">
        <x:v>MUST(안)</x:v>
      </x:c>
      <x:c r="J93" s="13" t="str">
        <x:v>적용</x:v>
      </x:c>
      <x:c r="K93" s="13" t="str">
        <x:v>업무요청 웹 샘플에 채택하는 회사 기준. 실제 이행은 구현 후 판정.</x:v>
      </x:c>
      <x:c r="L93" s="13" t="str">
        <x:v>요청 유형 등 배타적 선택에 fieldset/legend와 native radio 사용</x:v>
      </x:c>
      <x:c r="M93" s="13" t="str">
        <x:v>화살표 이동·선택·그룹 낭독 확인</x:v>
      </x:c>
      <x:c r="N93" s="13" t="str">
        <x:v>UX·개발·QA</x:v>
      </x:c>
      <x:c r="O93" s="13" t="str">
        <x:v>P1</x:v>
      </x:c>
      <x:c r="P93" s="15" t="str">
        <x:v>계획</x:v>
      </x:c>
      <x:c r="Q93" s="15" t="str">
        <x:v>미실행</x:v>
      </x:c>
      <x:c r="R93" s="15" t="str">
        <x:v>미실행</x:v>
      </x:c>
      <x:c r="S93" s="15" t="str">
        <x:v>자동+수동</x:v>
      </x:c>
      <x:c r="T93" s="15" t="str"/>
      <x:c r="U93" s="15" t="str"/>
      <x:c r="V93" s="15" t="str"/>
      <x:c r="W93" s="15" t="str"/>
      <x:c r="X93" s="16" t="str"/>
      <x:c r="Y93" s="15" t="str"/>
      <x:c r="Z93" s="13" t="str">
        <x:f>IF(J93&lt;&gt;"적용","산정제외",IF(OR(Q93="실패",R93="실패"),"실패",IF(AND(P93="구현",T93&lt;&gt;"",U93&lt;&gt;"",V93&lt;&gt;"",W93&lt;&gt;"",ISNUMBER(X93),Y93="",OR(S93="수동",Q93="통과"),OR(S93="자동",R93="통과")),"통과","미검증")))</x:f>
        <x:v>미검증</x:v>
      </x:c>
      <x:c r="AA93" s="13" t="str">
        <x:v>KRDS-SEC-043</x:v>
      </x:c>
      <x:c r="AB93" s="13" t="str">
        <x:v>S01~S08 / 공통</x:v>
      </x:c>
    </x:row>
    <x:row r="94" ht="37.5" customHeight="1">
      <x:c r="A94" s="14" t="str">
        <x:v>UI-043</x:v>
      </x:c>
      <x:c r="B94" s="14" t="str">
        <x:v>KRDS UI/UX</x:v>
      </x:c>
      <x:c r="C94" s="14" t="str">
        <x:v>UI 컴포넌트</x:v>
      </x:c>
      <x:c r="D94" s="14" t="str">
        <x:v>체크박스</x:v>
      </x:c>
      <x:c r="E94" s="14" t="str">
        <x:v>복수 선택과 중간 상태 표현</x:v>
      </x:c>
      <x:c r="F94" s="14" t="str">
        <x:v>SRC-001</x:v>
      </x:c>
      <x:c r="G94" s="14" t="str">
        <x:v>컴포넌트 / 선택 / 체크박스 / p.538-550</x:v>
      </x:c>
      <x:c r="H94" s="14" t="str">
        <x:v>원문 등급 별도 확인</x:v>
      </x:c>
      <x:c r="I94" s="14" t="str">
        <x:v>MUST(안)</x:v>
      </x:c>
      <x:c r="J94" s="14" t="str">
        <x:v>적용</x:v>
      </x:c>
      <x:c r="K94" s="14" t="str">
        <x:v>업무요청 웹 샘플에 채택하는 회사 기준. 실제 이행은 구현 후 판정.</x:v>
      </x:c>
      <x:c r="L94" s="14" t="str">
        <x:v>선택 항목·약관에 명시적 label 제공, 전체 선택에는 mixed 상태 처리</x:v>
      </x:c>
      <x:c r="M94" s="14" t="str">
        <x:v>키보드·선택 상태·색 외 체크표시 확인</x:v>
      </x:c>
      <x:c r="N94" s="14" t="str">
        <x:v>UX·개발·QA</x:v>
      </x:c>
      <x:c r="O94" s="14" t="str">
        <x:v>P1</x:v>
      </x:c>
      <x:c r="P94" s="15" t="str">
        <x:v>계획</x:v>
      </x:c>
      <x:c r="Q94" s="15" t="str">
        <x:v>미실행</x:v>
      </x:c>
      <x:c r="R94" s="15" t="str">
        <x:v>미실행</x:v>
      </x:c>
      <x:c r="S94" s="15" t="str">
        <x:v>자동+수동</x:v>
      </x:c>
      <x:c r="T94" s="15" t="str"/>
      <x:c r="U94" s="15" t="str"/>
      <x:c r="V94" s="15" t="str"/>
      <x:c r="W94" s="15" t="str"/>
      <x:c r="X94" s="16" t="str"/>
      <x:c r="Y94" s="15" t="str"/>
      <x:c r="Z94" s="14" t="str">
        <x:f>IF(J94&lt;&gt;"적용","산정제외",IF(OR(Q94="실패",R94="실패"),"실패",IF(AND(P94="구현",T94&lt;&gt;"",U94&lt;&gt;"",V94&lt;&gt;"",W94&lt;&gt;"",ISNUMBER(X94),Y94="",OR(S94="수동",Q94="통과"),OR(S94="자동",R94="통과")),"통과","미검증")))</x:f>
        <x:v>미검증</x:v>
      </x:c>
      <x:c r="AA94" s="14" t="str">
        <x:v>KRDS-SEC-044</x:v>
      </x:c>
      <x:c r="AB94" s="14" t="str">
        <x:v>S01~S08 / 공통</x:v>
      </x:c>
    </x:row>
    <x:row r="95" ht="37.5" customHeight="1">
      <x:c r="A95" s="13" t="str">
        <x:v>UI-044</x:v>
      </x:c>
      <x:c r="B95" s="13" t="str">
        <x:v>KRDS UI/UX</x:v>
      </x:c>
      <x:c r="C95" s="13" t="str">
        <x:v>UI 컴포넌트</x:v>
      </x:c>
      <x:c r="D95" s="13" t="str">
        <x:v>셀렉트</x:v>
      </x:c>
      <x:c r="E95" s="13" t="str">
        <x:v>선택 목적과 변경 결과를 예측 가능하게 함</x:v>
      </x:c>
      <x:c r="F95" s="13" t="str">
        <x:v>SRC-001</x:v>
      </x:c>
      <x:c r="G95" s="13" t="str">
        <x:v>컴포넌트 / 선택 / 셀렉트 / p.551-558</x:v>
      </x:c>
      <x:c r="H95" s="13" t="str">
        <x:v>원문 등급 별도 확인</x:v>
      </x:c>
      <x:c r="I95" s="13" t="str">
        <x:v>MUST(안)</x:v>
      </x:c>
      <x:c r="J95" s="13" t="str">
        <x:v>적용</x:v>
      </x:c>
      <x:c r="K95" s="13" t="str">
        <x:v>업무요청 웹 샘플에 채택하는 회사 기준. 실제 이행은 구현 후 판정.</x:v>
      </x:c>
      <x:c r="L95" s="13" t="str">
        <x:v>상태 필터와 담당자 선택에 native select 우선, 변경만으로 신청 제출 금지</x:v>
      </x:c>
      <x:c r="M95" s="13" t="str">
        <x:v>label·키보드·선택 변경 후 예상치 못한 이동 확인</x:v>
      </x:c>
      <x:c r="N95" s="13" t="str">
        <x:v>UX·개발·QA</x:v>
      </x:c>
      <x:c r="O95" s="13" t="str">
        <x:v>P1</x:v>
      </x:c>
      <x:c r="P95" s="15" t="str">
        <x:v>계획</x:v>
      </x:c>
      <x:c r="Q95" s="15" t="str">
        <x:v>미실행</x:v>
      </x:c>
      <x:c r="R95" s="15" t="str">
        <x:v>미실행</x:v>
      </x:c>
      <x:c r="S95" s="15" t="str">
        <x:v>자동+수동</x:v>
      </x:c>
      <x:c r="T95" s="15" t="str"/>
      <x:c r="U95" s="15" t="str"/>
      <x:c r="V95" s="15" t="str"/>
      <x:c r="W95" s="15" t="str"/>
      <x:c r="X95" s="16" t="str"/>
      <x:c r="Y95" s="15" t="str"/>
      <x:c r="Z95" s="13" t="str">
        <x:f>IF(J95&lt;&gt;"적용","산정제외",IF(OR(Q95="실패",R95="실패"),"실패",IF(AND(P95="구현",T95&lt;&gt;"",U95&lt;&gt;"",V95&lt;&gt;"",W95&lt;&gt;"",ISNUMBER(X95),Y95="",OR(S95="수동",Q95="통과"),OR(S95="자동",R95="통과")),"통과","미검증")))</x:f>
        <x:v>미검증</x:v>
      </x:c>
      <x:c r="AA95" s="13" t="str">
        <x:v>KRDS-SEC-045</x:v>
      </x:c>
      <x:c r="AB95" s="13" t="str">
        <x:v>S03</x:v>
      </x:c>
    </x:row>
    <x:row r="96" ht="37.5" customHeight="1">
      <x:c r="A96" s="14" t="str">
        <x:v>UI-045</x:v>
      </x:c>
      <x:c r="B96" s="14" t="str">
        <x:v>KRDS UI/UX</x:v>
      </x:c>
      <x:c r="C96" s="14" t="str">
        <x:v>UI 컴포넌트</x:v>
      </x:c>
      <x:c r="D96" s="14" t="str">
        <x:v>태그</x:v>
      </x:c>
      <x:c r="E96" s="14" t="str">
        <x:v>필터 태그와 삭제 행동을 명확히 함</x:v>
      </x:c>
      <x:c r="F96" s="14" t="str">
        <x:v>SRC-001</x:v>
      </x:c>
      <x:c r="G96" s="14" t="str">
        <x:v>컴포넌트 / 선택 / 태그 / p.559-569</x:v>
      </x:c>
      <x:c r="H96" s="14" t="str">
        <x:v>원문 등급 별도 확인</x:v>
      </x:c>
      <x:c r="I96" s="14" t="str">
        <x:v>MUST(안)</x:v>
      </x:c>
      <x:c r="J96" s="14" t="str">
        <x:v>적용</x:v>
      </x:c>
      <x:c r="K96" s="14" t="str">
        <x:v>업무요청 웹 샘플에 채택하는 회사 기준. 실제 이행은 구현 후 판정.</x:v>
      </x:c>
      <x:c r="L96" s="14" t="str">
        <x:v>선택된 조건을 텍스트 태그로 표시하고 각 삭제 버튼에 고유한 이름 부여</x:v>
      </x:c>
      <x:c r="M96" s="14" t="str">
        <x:v>태그 제거 후 조건·결과 수·초점 확인</x:v>
      </x:c>
      <x:c r="N96" s="14" t="str">
        <x:v>UX·개발·QA</x:v>
      </x:c>
      <x:c r="O96" s="14" t="str">
        <x:v>P1</x:v>
      </x:c>
      <x:c r="P96" s="15" t="str">
        <x:v>계획</x:v>
      </x:c>
      <x:c r="Q96" s="15" t="str">
        <x:v>미실행</x:v>
      </x:c>
      <x:c r="R96" s="15" t="str">
        <x:v>미실행</x:v>
      </x:c>
      <x:c r="S96" s="15" t="str">
        <x:v>자동+수동</x:v>
      </x:c>
      <x:c r="T96" s="15" t="str"/>
      <x:c r="U96" s="15" t="str"/>
      <x:c r="V96" s="15" t="str"/>
      <x:c r="W96" s="15" t="str"/>
      <x:c r="X96" s="16" t="str"/>
      <x:c r="Y96" s="15" t="str"/>
      <x:c r="Z96" s="14" t="str">
        <x:f>IF(J96&lt;&gt;"적용","산정제외",IF(OR(Q96="실패",R96="실패"),"실패",IF(AND(P96="구현",T96&lt;&gt;"",U96&lt;&gt;"",V96&lt;&gt;"",W96&lt;&gt;"",ISNUMBER(X96),Y96="",OR(S96="수동",Q96="통과"),OR(S96="자동",R96="통과")),"통과","미검증")))</x:f>
        <x:v>미검증</x:v>
      </x:c>
      <x:c r="AA96" s="14" t="str">
        <x:v>KRDS-SEC-046</x:v>
      </x:c>
      <x:c r="AB96" s="14" t="str">
        <x:v>S01~S08 / 공통</x:v>
      </x:c>
    </x:row>
    <x:row r="97" ht="37.5" customHeight="1">
      <x:c r="A97" s="13" t="str">
        <x:v>UI-046</x:v>
      </x:c>
      <x:c r="B97" s="13" t="str">
        <x:v>KRDS UI/UX</x:v>
      </x:c>
      <x:c r="C97" s="13" t="str">
        <x:v>UI 컴포넌트</x:v>
      </x:c>
      <x:c r="D97" s="13" t="str">
        <x:v>토글 스위치</x:v>
      </x:c>
      <x:c r="E97" s="13" t="str">
        <x:v>즉시 적용되는 설정의 상태 제공</x:v>
      </x:c>
      <x:c r="F97" s="13" t="str">
        <x:v>SRC-001</x:v>
      </x:c>
      <x:c r="G97" s="13" t="str">
        <x:v>컴포넌트 / 선택 / 토글 스위치 / p.570-581</x:v>
      </x:c>
      <x:c r="H97" s="13" t="str">
        <x:v>원문 등급 별도 확인</x:v>
      </x:c>
      <x:c r="I97" s="13" t="str">
        <x:v>MUST(안)</x:v>
      </x:c>
      <x:c r="J97" s="13" t="str">
        <x:v>적용</x:v>
      </x:c>
      <x:c r="K97" s="13" t="str">
        <x:v>업무요청 웹 샘플에 채택하는 회사 기준. 실제 이행은 구현 후 판정.</x:v>
      </x:c>
      <x:c r="L97" s="13" t="str">
        <x:v>선명한 화면·동작 줄이기 설정에 일관된 레이블과 checked 상태 제공</x:v>
      </x:c>
      <x:c r="M97" s="13" t="str">
        <x:v>키보드 조작과 설정 상태·저장·복원 확인</x:v>
      </x:c>
      <x:c r="N97" s="13" t="str">
        <x:v>UX·개발·QA</x:v>
      </x:c>
      <x:c r="O97" s="13" t="str">
        <x:v>P1</x:v>
      </x:c>
      <x:c r="P97" s="15" t="str">
        <x:v>계획</x:v>
      </x:c>
      <x:c r="Q97" s="15" t="str">
        <x:v>미실행</x:v>
      </x:c>
      <x:c r="R97" s="15" t="str">
        <x:v>미실행</x:v>
      </x:c>
      <x:c r="S97" s="15" t="str">
        <x:v>자동+수동</x:v>
      </x:c>
      <x:c r="T97" s="15" t="str"/>
      <x:c r="U97" s="15" t="str"/>
      <x:c r="V97" s="15" t="str"/>
      <x:c r="W97" s="15" t="str"/>
      <x:c r="X97" s="16" t="str"/>
      <x:c r="Y97" s="15" t="str"/>
      <x:c r="Z97" s="13" t="str">
        <x:f>IF(J97&lt;&gt;"적용","산정제외",IF(OR(Q97="실패",R97="실패"),"실패",IF(AND(P97="구현",T97&lt;&gt;"",U97&lt;&gt;"",V97&lt;&gt;"",W97&lt;&gt;"",ISNUMBER(X97),Y97="",OR(S97="수동",Q97="통과"),OR(S97="자동",R97="통과")),"통과","미검증")))</x:f>
        <x:v>미검증</x:v>
      </x:c>
      <x:c r="AA97" s="13" t="str">
        <x:v>KRDS-SEC-047</x:v>
      </x:c>
      <x:c r="AB97" s="13" t="str">
        <x:v>S01~S08 / 공통</x:v>
      </x:c>
    </x:row>
    <x:row r="98" ht="37.5" customHeight="1">
      <x:c r="A98" s="14" t="str">
        <x:v>UI-047</x:v>
      </x:c>
      <x:c r="B98" s="14" t="str">
        <x:v>KRDS UI/UX</x:v>
      </x:c>
      <x:c r="C98" s="14" t="str">
        <x:v>UI 컴포넌트</x:v>
      </x:c>
      <x:c r="D98" s="14" t="str">
        <x:v>단계 표시기</x:v>
      </x:c>
      <x:c r="E98" s="14" t="str">
        <x:v>단계형 작성의 현재 위치를 안내</x:v>
      </x:c>
      <x:c r="F98" s="14" t="str">
        <x:v>SRC-001</x:v>
      </x:c>
      <x:c r="G98" s="14" t="str">
        <x:v>컴포넌트 / 피드백 / 단계 표시기 / p.582-588</x:v>
      </x:c>
      <x:c r="H98" s="14" t="str">
        <x:v>원문 등급 별도 확인</x:v>
      </x:c>
      <x:c r="I98" s="14" t="str">
        <x:v>MUST(안)</x:v>
      </x:c>
      <x:c r="J98" s="14" t="str">
        <x:v>적용</x:v>
      </x:c>
      <x:c r="K98" s="14" t="str">
        <x:v>업무요청 웹 샘플에 채택하는 회사 기준. 실제 이행은 구현 후 판정.</x:v>
      </x:c>
      <x:c r="L98" s="14" t="str">
        <x:v>기본정보/첨부/검토/완료의 단계와 현재 단계 텍스트 제공</x:v>
      </x:c>
      <x:c r="M98" s="14" t="str">
        <x:v>단계 전환·되돌아가기·보조기술 현재단계 확인</x:v>
      </x:c>
      <x:c r="N98" s="14" t="str">
        <x:v>UX·개발·QA</x:v>
      </x:c>
      <x:c r="O98" s="14" t="str">
        <x:v>P1</x:v>
      </x:c>
      <x:c r="P98" s="15" t="str">
        <x:v>계획</x:v>
      </x:c>
      <x:c r="Q98" s="15" t="str">
        <x:v>미실행</x:v>
      </x:c>
      <x:c r="R98" s="15" t="str">
        <x:v>미실행</x:v>
      </x:c>
      <x:c r="S98" s="15" t="str">
        <x:v>자동+수동</x:v>
      </x:c>
      <x:c r="T98" s="15" t="str"/>
      <x:c r="U98" s="15" t="str"/>
      <x:c r="V98" s="15" t="str"/>
      <x:c r="W98" s="15" t="str"/>
      <x:c r="X98" s="16" t="str"/>
      <x:c r="Y98" s="15" t="str"/>
      <x:c r="Z98" s="14" t="str">
        <x:f>IF(J98&lt;&gt;"적용","산정제외",IF(OR(Q98="실패",R98="실패"),"실패",IF(AND(P98="구현",T98&lt;&gt;"",U98&lt;&gt;"",V98&lt;&gt;"",W98&lt;&gt;"",ISNUMBER(X98),Y98="",OR(S98="수동",Q98="통과"),OR(S98="자동",R98="통과")),"통과","미검증")))</x:f>
        <x:v>미검증</x:v>
      </x:c>
      <x:c r="AA98" s="14" t="str">
        <x:v>KRDS-SEC-048</x:v>
      </x:c>
      <x:c r="AB98" s="14" t="str">
        <x:v>S04, S05</x:v>
      </x:c>
    </x:row>
    <x:row r="99" ht="37.5" customHeight="1">
      <x:c r="A99" s="13" t="str">
        <x:v>UI-048</x:v>
      </x:c>
      <x:c r="B99" s="13" t="str">
        <x:v>KRDS UI/UX</x:v>
      </x:c>
      <x:c r="C99" s="13" t="str">
        <x:v>UI 컴포넌트</x:v>
      </x:c>
      <x:c r="D99" s="13" t="str">
        <x:v>스피너</x:v>
      </x:c>
      <x:c r="E99" s="13" t="str">
        <x:v>처리중 상태를 시각·비시각으로 안내</x:v>
      </x:c>
      <x:c r="F99" s="13" t="str">
        <x:v>SRC-001</x:v>
      </x:c>
      <x:c r="G99" s="13" t="str">
        <x:v>컴포넌트 / 피드백 / 스피너 / p.589-597</x:v>
      </x:c>
      <x:c r="H99" s="13" t="str">
        <x:v>원문 등급 별도 확인</x:v>
      </x:c>
      <x:c r="I99" s="13" t="str">
        <x:v>MUST(안)</x:v>
      </x:c>
      <x:c r="J99" s="13" t="str">
        <x:v>적용</x:v>
      </x:c>
      <x:c r="K99" s="13" t="str">
        <x:v>업무요청 웹 샘플에 채택하는 회사 기준. 실제 이행은 구현 후 판정.</x:v>
      </x:c>
      <x:c r="L99" s="13" t="str">
        <x:v>네트워크 요청에 상태 텍스트와 aria-busy/status를 제공</x:v>
      </x:c>
      <x:c r="M99" s="13" t="str">
        <x:v>느린 네트워크에서 시작·완료 안내와 중복읽기 확인</x:v>
      </x:c>
      <x:c r="N99" s="13" t="str">
        <x:v>UX·개발·QA</x:v>
      </x:c>
      <x:c r="O99" s="13" t="str">
        <x:v>P1</x:v>
      </x:c>
      <x:c r="P99" s="15" t="str">
        <x:v>계획</x:v>
      </x:c>
      <x:c r="Q99" s="15" t="str">
        <x:v>미실행</x:v>
      </x:c>
      <x:c r="R99" s="15" t="str">
        <x:v>미실행</x:v>
      </x:c>
      <x:c r="S99" s="15" t="str">
        <x:v>자동+수동</x:v>
      </x:c>
      <x:c r="T99" s="15" t="str"/>
      <x:c r="U99" s="15" t="str"/>
      <x:c r="V99" s="15" t="str"/>
      <x:c r="W99" s="15" t="str"/>
      <x:c r="X99" s="16" t="str"/>
      <x:c r="Y99" s="15" t="str"/>
      <x:c r="Z99" s="13" t="str">
        <x:f>IF(J99&lt;&gt;"적용","산정제외",IF(OR(Q99="실패",R99="실패"),"실패",IF(AND(P99="구현",T99&lt;&gt;"",U99&lt;&gt;"",V99&lt;&gt;"",W99&lt;&gt;"",ISNUMBER(X99),Y99="",OR(S99="수동",Q99="통과"),OR(S99="자동",R99="통과")),"통과","미검증")))</x:f>
        <x:v>미검증</x:v>
      </x:c>
      <x:c r="AA99" s="13" t="str">
        <x:v>KRDS-SEC-049</x:v>
      </x:c>
      <x:c r="AB99" s="13" t="str">
        <x:v>S01~S08 / 공통</x:v>
      </x:c>
    </x:row>
    <x:row r="100" ht="37.5" customHeight="1">
      <x:c r="A100" s="14" t="str">
        <x:v>UI-049</x:v>
      </x:c>
      <x:c r="B100" s="14" t="str">
        <x:v>KRDS UI/UX</x:v>
      </x:c>
      <x:c r="C100" s="14" t="str">
        <x:v>UI 컴포넌트</x:v>
      </x:c>
      <x:c r="D100" s="14" t="str">
        <x:v>도움 패널</x:v>
      </x:c>
      <x:c r="E100" s="14" t="str">
        <x:v>도움 수단을 일관되게 제공</x:v>
      </x:c>
      <x:c r="F100" s="14" t="str">
        <x:v>SRC-001</x:v>
      </x:c>
      <x:c r="G100" s="14" t="str">
        <x:v>컴포넌트 / 도움 / 도움 패널 / p.598-610</x:v>
      </x:c>
      <x:c r="H100" s="14" t="str">
        <x:v>원문 등급 별도 확인</x:v>
      </x:c>
      <x:c r="I100" s="14" t="str">
        <x:v>MUST(안)</x:v>
      </x:c>
      <x:c r="J100" s="14" t="str">
        <x:v>적용</x:v>
      </x:c>
      <x:c r="K100" s="14" t="str">
        <x:v>업무요청 웹 샘플에 채택하는 회사 기준. 실제 이행은 구현 후 판정.</x:v>
      </x:c>
      <x:c r="L100" s="14" t="str">
        <x:v>도움말과 문의 경로를 공통 위치에 두고 필요 시 패널 제공</x:v>
      </x:c>
      <x:c r="M100" s="14" t="str">
        <x:v>작업 중 도움 접근·닫기·원래 맥락 복귀 확인</x:v>
      </x:c>
      <x:c r="N100" s="14" t="str">
        <x:v>UX·개발·QA</x:v>
      </x:c>
      <x:c r="O100" s="14" t="str">
        <x:v>P1</x:v>
      </x:c>
      <x:c r="P100" s="15" t="str">
        <x:v>계획</x:v>
      </x:c>
      <x:c r="Q100" s="15" t="str">
        <x:v>미실행</x:v>
      </x:c>
      <x:c r="R100" s="15" t="str">
        <x:v>미실행</x:v>
      </x:c>
      <x:c r="S100" s="15" t="str">
        <x:v>자동+수동</x:v>
      </x:c>
      <x:c r="T100" s="15" t="str"/>
      <x:c r="U100" s="15" t="str"/>
      <x:c r="V100" s="15" t="str"/>
      <x:c r="W100" s="15" t="str"/>
      <x:c r="X100" s="16" t="str"/>
      <x:c r="Y100" s="15" t="str"/>
      <x:c r="Z100" s="14" t="str">
        <x:f>IF(J100&lt;&gt;"적용","산정제외",IF(OR(Q100="실패",R100="실패"),"실패",IF(AND(P100="구현",T100&lt;&gt;"",U100&lt;&gt;"",V100&lt;&gt;"",W100&lt;&gt;"",ISNUMBER(X100),Y100="",OR(S100="수동",Q100="통과"),OR(S100="자동",R100="통과")),"통과","미검증")))</x:f>
        <x:v>미검증</x:v>
      </x:c>
      <x:c r="AA100" s="14" t="str">
        <x:v>KRDS-SEC-050</x:v>
      </x:c>
      <x:c r="AB100" s="14" t="str">
        <x:v>S01~S08 / 공통</x:v>
      </x:c>
    </x:row>
    <x:row r="101" ht="37.5" customHeight="1">
      <x:c r="A101" s="13" t="str">
        <x:v>UI-050</x:v>
      </x:c>
      <x:c r="B101" s="13" t="str">
        <x:v>KRDS UI/UX</x:v>
      </x:c>
      <x:c r="C101" s="13" t="str">
        <x:v>UI 컴포넌트</x:v>
      </x:c>
      <x:c r="D101" s="13" t="str">
        <x:v>따라하기 패널</x:v>
      </x:c>
      <x:c r="E101" s="13" t="str">
        <x:v>선택적으로 단계별 학습을 제공</x:v>
      </x:c>
      <x:c r="F101" s="13" t="str">
        <x:v>SRC-001</x:v>
      </x:c>
      <x:c r="G101" s="13" t="str">
        <x:v>컴포넌트 / 도움 / 따라하기 패널 / p.611-619</x:v>
      </x:c>
      <x:c r="H101" s="13" t="str">
        <x:v>원문 등급 별도 확인</x:v>
      </x:c>
      <x:c r="I101" s="13" t="str">
        <x:v>MUST(안)</x:v>
      </x:c>
      <x:c r="J101" s="13" t="str">
        <x:v>조건부</x:v>
      </x:c>
      <x:c r="K101" s="13" t="str">
        <x:v>해당 기능 또는 서비스 조건이 실제 범위에 포함될 때 적용.</x:v>
      </x:c>
      <x:c r="L101" s="13" t="str">
        <x:v>신규 사용자 안내 채택 시 건너뛰기·종료·다시보기 제공</x:v>
      </x:c>
      <x:c r="M101" s="13" t="str">
        <x:v>안내 없이도 핵심 업무 수행 가능한지 확인</x:v>
      </x:c>
      <x:c r="N101" s="13" t="str">
        <x:v>UX·개발·QA</x:v>
      </x:c>
      <x:c r="O101" s="13" t="str">
        <x:v>P2</x:v>
      </x:c>
      <x:c r="P101" s="15" t="str">
        <x:v>계획</x:v>
      </x:c>
      <x:c r="Q101" s="15" t="str">
        <x:v>미실행</x:v>
      </x:c>
      <x:c r="R101" s="15" t="str">
        <x:v>미실행</x:v>
      </x:c>
      <x:c r="S101" s="15" t="str">
        <x:v>자동+수동</x:v>
      </x:c>
      <x:c r="T101" s="15" t="str"/>
      <x:c r="U101" s="15" t="str"/>
      <x:c r="V101" s="15" t="str"/>
      <x:c r="W101" s="15" t="str"/>
      <x:c r="X101" s="16" t="str"/>
      <x:c r="Y101" s="15" t="str"/>
      <x:c r="Z101" s="13" t="str">
        <x:f>IF(J101&lt;&gt;"적용","산정제외",IF(OR(Q101="실패",R101="실패"),"실패",IF(AND(P101="구현",T101&lt;&gt;"",U101&lt;&gt;"",V101&lt;&gt;"",W101&lt;&gt;"",ISNUMBER(X101),Y101="",OR(S101="수동",Q101="통과"),OR(S101="자동",R101="통과")),"통과","미검증")))</x:f>
        <x:v>산정제외</x:v>
      </x:c>
      <x:c r="AA101" s="13" t="str">
        <x:v>KRDS-SEC-051</x:v>
      </x:c>
      <x:c r="AB101" s="13" t="str">
        <x:v>S01~S08 / 공통</x:v>
      </x:c>
    </x:row>
    <x:row r="102" ht="37.5" customHeight="1">
      <x:c r="A102" s="14" t="str">
        <x:v>UI-051</x:v>
      </x:c>
      <x:c r="B102" s="14" t="str">
        <x:v>KRDS UI/UX</x:v>
      </x:c>
      <x:c r="C102" s="14" t="str">
        <x:v>UI 컴포넌트</x:v>
      </x:c>
      <x:c r="D102" s="14" t="str">
        <x:v>맥락적 도움말</x:v>
      </x:c>
      <x:c r="E102" s="14" t="str">
        <x:v>현재 항목의 보충 설명을 접근 가능하게 제공</x:v>
      </x:c>
      <x:c r="F102" s="14" t="str">
        <x:v>SRC-001</x:v>
      </x:c>
      <x:c r="G102" s="14" t="str">
        <x:v>컴포넌트 / 도움 / 맥락적 도움말 / p.620-635</x:v>
      </x:c>
      <x:c r="H102" s="14" t="str">
        <x:v>원문 등급 별도 확인</x:v>
      </x:c>
      <x:c r="I102" s="14" t="str">
        <x:v>MUST(안)</x:v>
      </x:c>
      <x:c r="J102" s="14" t="str">
        <x:v>적용</x:v>
      </x:c>
      <x:c r="K102" s="14" t="str">
        <x:v>업무요청 웹 샘플에 채택하는 회사 기준. 실제 이행은 구현 후 판정.</x:v>
      </x:c>
      <x:c r="L102" s="14" t="str">
        <x:v>필드 근처 설명은 항상 보이게 두고 부가정보만 팝오버에 제공</x:v>
      </x:c>
      <x:c r="M102" s="14" t="str">
        <x:v>hover/초점/터치·Escape·본문 가림 점검</x:v>
      </x:c>
      <x:c r="N102" s="14" t="str">
        <x:v>UX·개발·QA</x:v>
      </x:c>
      <x:c r="O102" s="14" t="str">
        <x:v>P1</x:v>
      </x:c>
      <x:c r="P102" s="15" t="str">
        <x:v>계획</x:v>
      </x:c>
      <x:c r="Q102" s="15" t="str">
        <x:v>미실행</x:v>
      </x:c>
      <x:c r="R102" s="15" t="str">
        <x:v>미실행</x:v>
      </x:c>
      <x:c r="S102" s="15" t="str">
        <x:v>자동+수동</x:v>
      </x:c>
      <x:c r="T102" s="15" t="str"/>
      <x:c r="U102" s="15" t="str"/>
      <x:c r="V102" s="15" t="str"/>
      <x:c r="W102" s="15" t="str"/>
      <x:c r="X102" s="16" t="str"/>
      <x:c r="Y102" s="15" t="str"/>
      <x:c r="Z102" s="14" t="str">
        <x:f>IF(J102&lt;&gt;"적용","산정제외",IF(OR(Q102="실패",R102="실패"),"실패",IF(AND(P102="구현",T102&lt;&gt;"",U102&lt;&gt;"",V102&lt;&gt;"",W102&lt;&gt;"",ISNUMBER(X102),Y102="",OR(S102="수동",Q102="통과"),OR(S102="자동",R102="통과")),"통과","미검증")))</x:f>
        <x:v>미검증</x:v>
      </x:c>
      <x:c r="AA102" s="14" t="str">
        <x:v>KRDS-SEC-052</x:v>
      </x:c>
      <x:c r="AB102" s="14" t="str">
        <x:v>S01~S08 / 공통</x:v>
      </x:c>
    </x:row>
    <x:row r="103" ht="37.5" customHeight="1">
      <x:c r="A103" s="13" t="str">
        <x:v>UI-052</x:v>
      </x:c>
      <x:c r="B103" s="13" t="str">
        <x:v>KRDS UI/UX</x:v>
      </x:c>
      <x:c r="C103" s="13" t="str">
        <x:v>UI 컴포넌트</x:v>
      </x:c>
      <x:c r="D103" s="13" t="str">
        <x:v>코치마크</x:v>
      </x:c>
      <x:c r="E103" s="13" t="str">
        <x:v>안내 표시가 핵심 과업을 막지 않게 함</x:v>
      </x:c>
      <x:c r="F103" s="13" t="str">
        <x:v>SRC-001</x:v>
      </x:c>
      <x:c r="G103" s="13" t="str">
        <x:v>컴포넌트 / 도움 / 코치마크 / p.636-648</x:v>
      </x:c>
      <x:c r="H103" s="13" t="str">
        <x:v>원문 등급 별도 확인</x:v>
      </x:c>
      <x:c r="I103" s="13" t="str">
        <x:v>MUST(안)</x:v>
      </x:c>
      <x:c r="J103" s="13" t="str">
        <x:v>조건부</x:v>
      </x:c>
      <x:c r="K103" s="13" t="str">
        <x:v>해당 기능 또는 서비스 조건이 실제 범위에 포함될 때 적용.</x:v>
      </x:c>
      <x:c r="L103" s="13" t="str">
        <x:v>선택적 온보딩에서만 사용하고 닫기·건너뛰기·재실행 제공</x:v>
      </x:c>
      <x:c r="M103" s="13" t="str">
        <x:v>초점·순서·취소 후 과업 복귀 확인</x:v>
      </x:c>
      <x:c r="N103" s="13" t="str">
        <x:v>UX·개발·QA</x:v>
      </x:c>
      <x:c r="O103" s="13" t="str">
        <x:v>P2</x:v>
      </x:c>
      <x:c r="P103" s="15" t="str">
        <x:v>계획</x:v>
      </x:c>
      <x:c r="Q103" s="15" t="str">
        <x:v>미실행</x:v>
      </x:c>
      <x:c r="R103" s="15" t="str">
        <x:v>미실행</x:v>
      </x:c>
      <x:c r="S103" s="15" t="str">
        <x:v>자동+수동</x:v>
      </x:c>
      <x:c r="T103" s="15" t="str"/>
      <x:c r="U103" s="15" t="str"/>
      <x:c r="V103" s="15" t="str"/>
      <x:c r="W103" s="15" t="str"/>
      <x:c r="X103" s="16" t="str"/>
      <x:c r="Y103" s="15" t="str"/>
      <x:c r="Z103" s="13" t="str">
        <x:f>IF(J103&lt;&gt;"적용","산정제외",IF(OR(Q103="실패",R103="실패"),"실패",IF(AND(P103="구현",T103&lt;&gt;"",U103&lt;&gt;"",V103&lt;&gt;"",W103&lt;&gt;"",ISNUMBER(X103),Y103="",OR(S103="수동",Q103="통과"),OR(S103="자동",R103="통과")),"통과","미검증")))</x:f>
        <x:v>산정제외</x:v>
      </x:c>
      <x:c r="AA103" s="13" t="str">
        <x:v>KRDS-SEC-053</x:v>
      </x:c>
      <x:c r="AB103" s="13" t="str">
        <x:v>S01~S08 / 공통</x:v>
      </x:c>
    </x:row>
    <x:row r="104" ht="37.5" customHeight="1">
      <x:c r="A104" s="14" t="str">
        <x:v>UI-053</x:v>
      </x:c>
      <x:c r="B104" s="14" t="str">
        <x:v>KRDS UI/UX</x:v>
      </x:c>
      <x:c r="C104" s="14" t="str">
        <x:v>UI 컴포넌트</x:v>
      </x:c>
      <x:c r="D104" s="14" t="str">
        <x:v>툴팁</x:v>
      </x:c>
      <x:c r="E104" s="14" t="str">
        <x:v>보충정보에 한정하고 모든 입력방식에서 접근 제공</x:v>
      </x:c>
      <x:c r="F104" s="14" t="str">
        <x:v>SRC-001</x:v>
      </x:c>
      <x:c r="G104" s="14" t="str">
        <x:v>컴포넌트 / 도움 / 툴팁 / p.649-663</x:v>
      </x:c>
      <x:c r="H104" s="14" t="str">
        <x:v>원문 등급 별도 확인</x:v>
      </x:c>
      <x:c r="I104" s="14" t="str">
        <x:v>MUST(안)</x:v>
      </x:c>
      <x:c r="J104" s="14" t="str">
        <x:v>조건부</x:v>
      </x:c>
      <x:c r="K104" s="14" t="str">
        <x:v>해당 기능 또는 서비스 조건이 실제 범위에 포함될 때 적용.</x:v>
      </x:c>
      <x:c r="L104" s="14" t="str">
        <x:v>필수 설명은 본문에 표시하고 툴팁은 hover와 초점으로 열며 Escape로 닫기</x:v>
      </x:c>
      <x:c r="M104" s="14" t="str">
        <x:v>툴팁 지속·dismiss·포인터 이동 및 터치 대체 정보 확인</x:v>
      </x:c>
      <x:c r="N104" s="14" t="str">
        <x:v>UX·개발·QA</x:v>
      </x:c>
      <x:c r="O104" s="14" t="str">
        <x:v>P1</x:v>
      </x:c>
      <x:c r="P104" s="15" t="str">
        <x:v>계획</x:v>
      </x:c>
      <x:c r="Q104" s="15" t="str">
        <x:v>미실행</x:v>
      </x:c>
      <x:c r="R104" s="15" t="str">
        <x:v>미실행</x:v>
      </x:c>
      <x:c r="S104" s="15" t="str">
        <x:v>자동+수동</x:v>
      </x:c>
      <x:c r="T104" s="15" t="str"/>
      <x:c r="U104" s="15" t="str"/>
      <x:c r="V104" s="15" t="str"/>
      <x:c r="W104" s="15" t="str"/>
      <x:c r="X104" s="16" t="str"/>
      <x:c r="Y104" s="15" t="str"/>
      <x:c r="Z104" s="14" t="str">
        <x:f>IF(J104&lt;&gt;"적용","산정제외",IF(OR(Q104="실패",R104="실패"),"실패",IF(AND(P104="구현",T104&lt;&gt;"",U104&lt;&gt;"",V104&lt;&gt;"",W104&lt;&gt;"",ISNUMBER(X104),Y104="",OR(S104="수동",Q104="통과"),OR(S104="자동",R104="통과")),"통과","미검증")))</x:f>
        <x:v>산정제외</x:v>
      </x:c>
      <x:c r="AA104" s="14" t="str">
        <x:v>KRDS-SEC-054</x:v>
      </x:c>
      <x:c r="AB104" s="14" t="str">
        <x:v>S01~S08 / 공통</x:v>
      </x:c>
    </x:row>
    <x:row r="105" ht="37.5" customHeight="1">
      <x:c r="A105" s="13" t="str">
        <x:v>UI-054</x:v>
      </x:c>
      <x:c r="B105" s="13" t="str">
        <x:v>KRDS UI/UX</x:v>
      </x:c>
      <x:c r="C105" s="13" t="str">
        <x:v>UI 컴포넌트</x:v>
      </x:c>
      <x:c r="D105" s="13" t="str">
        <x:v>날짜 입력 필드</x:v>
      </x:c>
      <x:c r="E105" s="13" t="str">
        <x:v>날짜 형식·예시와 직접 입력 제공</x:v>
      </x:c>
      <x:c r="F105" s="13" t="str">
        <x:v>SRC-001</x:v>
      </x:c>
      <x:c r="G105" s="13" t="str">
        <x:v>컴포넌트 / 입력 / 날짜 입력 필드 / p.664-676</x:v>
      </x:c>
      <x:c r="H105" s="13" t="str">
        <x:v>원문 등급 별도 확인</x:v>
      </x:c>
      <x:c r="I105" s="13" t="str">
        <x:v>MUST(안)</x:v>
      </x:c>
      <x:c r="J105" s="13" t="str">
        <x:v>조건부</x:v>
      </x:c>
      <x:c r="K105" s="13" t="str">
        <x:v>해당 기능 또는 서비스 조건이 실제 범위에 포함될 때 적용.</x:v>
      </x:c>
      <x:c r="L105" s="13" t="str">
        <x:v>마감일 필드에 label·YYYY-MM-DD 안내와 검증 오류 연결</x:v>
      </x:c>
      <x:c r="M105" s="13" t="str">
        <x:v>키보드 직접입력·잘못된 날짜·모바일 입력 확인</x:v>
      </x:c>
      <x:c r="N105" s="13" t="str">
        <x:v>UX·개발·QA</x:v>
      </x:c>
      <x:c r="O105" s="13" t="str">
        <x:v>P1</x:v>
      </x:c>
      <x:c r="P105" s="15" t="str">
        <x:v>계획</x:v>
      </x:c>
      <x:c r="Q105" s="15" t="str">
        <x:v>미실행</x:v>
      </x:c>
      <x:c r="R105" s="15" t="str">
        <x:v>미실행</x:v>
      </x:c>
      <x:c r="S105" s="15" t="str">
        <x:v>자동+수동</x:v>
      </x:c>
      <x:c r="T105" s="15" t="str"/>
      <x:c r="U105" s="15" t="str"/>
      <x:c r="V105" s="15" t="str"/>
      <x:c r="W105" s="15" t="str"/>
      <x:c r="X105" s="16" t="str"/>
      <x:c r="Y105" s="15" t="str"/>
      <x:c r="Z105" s="13" t="str">
        <x:f>IF(J105&lt;&gt;"적용","산정제외",IF(OR(Q105="실패",R105="실패"),"실패",IF(AND(P105="구현",T105&lt;&gt;"",U105&lt;&gt;"",V105&lt;&gt;"",W105&lt;&gt;"",ISNUMBER(X105),Y105="",OR(S105="수동",Q105="통과"),OR(S105="자동",R105="통과")),"통과","미검증")))</x:f>
        <x:v>산정제외</x:v>
      </x:c>
      <x:c r="AA105" s="13" t="str">
        <x:v>KRDS-SEC-055</x:v>
      </x:c>
      <x:c r="AB105" s="13" t="str">
        <x:v>S05</x:v>
      </x:c>
    </x:row>
    <x:row r="106" ht="37.5" customHeight="1">
      <x:c r="A106" s="14" t="str">
        <x:v>UI-055</x:v>
      </x:c>
      <x:c r="B106" s="14" t="str">
        <x:v>KRDS UI/UX</x:v>
      </x:c>
      <x:c r="C106" s="14" t="str">
        <x:v>UI 컴포넌트</x:v>
      </x:c>
      <x:c r="D106" s="14" t="str">
        <x:v>텍스트 영역</x:v>
      </x:c>
      <x:c r="E106" s="14" t="str">
        <x:v>긴 입력의 레이블·제한·상태 제공</x:v>
      </x:c>
      <x:c r="F106" s="14" t="str">
        <x:v>SRC-001</x:v>
      </x:c>
      <x:c r="G106" s="14" t="str">
        <x:v>컴포넌트 / 입력 / 텍스트 영역 / p.677-685</x:v>
      </x:c>
      <x:c r="H106" s="14" t="str">
        <x:v>원문 등급 별도 확인</x:v>
      </x:c>
      <x:c r="I106" s="14" t="str">
        <x:v>MUST(안)</x:v>
      </x:c>
      <x:c r="J106" s="14" t="str">
        <x:v>적용</x:v>
      </x:c>
      <x:c r="K106" s="14" t="str">
        <x:v>업무요청 웹 샘플에 채택하는 회사 기준. 실제 이행은 구현 후 판정.</x:v>
      </x:c>
      <x:c r="L106" s="14" t="str">
        <x:v>요청 내용에 명시적 label·최대 길이·부담이 적은 글자수 안내 제공</x:v>
      </x:c>
      <x:c r="M106" s="14" t="str">
        <x:v>확대 시 입력과 레이블 유지, 오류·남은 글자수 확인</x:v>
      </x:c>
      <x:c r="N106" s="14" t="str">
        <x:v>UX·개발·QA</x:v>
      </x:c>
      <x:c r="O106" s="14" t="str">
        <x:v>P1</x:v>
      </x:c>
      <x:c r="P106" s="15" t="str">
        <x:v>계획</x:v>
      </x:c>
      <x:c r="Q106" s="15" t="str">
        <x:v>미실행</x:v>
      </x:c>
      <x:c r="R106" s="15" t="str">
        <x:v>미실행</x:v>
      </x:c>
      <x:c r="S106" s="15" t="str">
        <x:v>자동+수동</x:v>
      </x:c>
      <x:c r="T106" s="15" t="str"/>
      <x:c r="U106" s="15" t="str"/>
      <x:c r="V106" s="15" t="str"/>
      <x:c r="W106" s="15" t="str"/>
      <x:c r="X106" s="16" t="str"/>
      <x:c r="Y106" s="15" t="str"/>
      <x:c r="Z106" s="14" t="str">
        <x:f>IF(J106&lt;&gt;"적용","산정제외",IF(OR(Q106="실패",R106="실패"),"실패",IF(AND(P106="구현",T106&lt;&gt;"",U106&lt;&gt;"",V106&lt;&gt;"",W106&lt;&gt;"",ISNUMBER(X106),Y106="",OR(S106="수동",Q106="통과"),OR(S106="자동",R106="통과")),"통과","미검증")))</x:f>
        <x:v>미검증</x:v>
      </x:c>
      <x:c r="AA106" s="14" t="str">
        <x:v>KRDS-SEC-056</x:v>
      </x:c>
      <x:c r="AB106" s="14" t="str">
        <x:v>S01~S08 / 공통</x:v>
      </x:c>
    </x:row>
    <x:row r="107" ht="37.5" customHeight="1">
      <x:c r="A107" s="13" t="str">
        <x:v>UI-056</x:v>
      </x:c>
      <x:c r="B107" s="13" t="str">
        <x:v>KRDS UI/UX</x:v>
      </x:c>
      <x:c r="C107" s="13" t="str">
        <x:v>UI 컴포넌트</x:v>
      </x:c>
      <x:c r="D107" s="13" t="str">
        <x:v>텍스트 입력 필드</x:v>
      </x:c>
      <x:c r="E107" s="13" t="str">
        <x:v>필드 목적과 입력 방법을 명확히 함</x:v>
      </x:c>
      <x:c r="F107" s="13" t="str">
        <x:v>SRC-001</x:v>
      </x:c>
      <x:c r="G107" s="13" t="str">
        <x:v>컴포넌트 / 입력 / 텍스트 입력 필드 / p.686-696</x:v>
      </x:c>
      <x:c r="H107" s="13" t="str">
        <x:v>원문 등급 별도 확인</x:v>
      </x:c>
      <x:c r="I107" s="13" t="str">
        <x:v>MUST(안)</x:v>
      </x:c>
      <x:c r="J107" s="13" t="str">
        <x:v>적용</x:v>
      </x:c>
      <x:c r="K107" s="13" t="str">
        <x:v>업무요청 웹 샘플에 채택하는 회사 기준. 실제 이행은 구현 후 판정.</x:v>
      </x:c>
      <x:c r="L107" s="13" t="str">
        <x:v>label·설명·예시·autocomplete/inputmode를 목적에 맞게 설정</x:v>
      </x:c>
      <x:c r="M107" s="13" t="str">
        <x:v>placeholder 제거 상태에서도 목적 이해·보조기술 확인</x:v>
      </x:c>
      <x:c r="N107" s="13" t="str">
        <x:v>UX·개발·QA</x:v>
      </x:c>
      <x:c r="O107" s="13" t="str">
        <x:v>P0</x:v>
      </x:c>
      <x:c r="P107" s="15" t="str">
        <x:v>계획</x:v>
      </x:c>
      <x:c r="Q107" s="15" t="str">
        <x:v>미실행</x:v>
      </x:c>
      <x:c r="R107" s="15" t="str">
        <x:v>미실행</x:v>
      </x:c>
      <x:c r="S107" s="15" t="str">
        <x:v>자동+수동</x:v>
      </x:c>
      <x:c r="T107" s="15" t="str"/>
      <x:c r="U107" s="15" t="str"/>
      <x:c r="V107" s="15" t="str"/>
      <x:c r="W107" s="15" t="str"/>
      <x:c r="X107" s="16" t="str"/>
      <x:c r="Y107" s="15" t="str"/>
      <x:c r="Z107" s="13" t="str">
        <x:f>IF(J107&lt;&gt;"적용","산정제외",IF(OR(Q107="실패",R107="실패"),"실패",IF(AND(P107="구현",T107&lt;&gt;"",U107&lt;&gt;"",V107&lt;&gt;"",W107&lt;&gt;"",ISNUMBER(X107),Y107="",OR(S107="수동",Q107="통과"),OR(S107="자동",R107="통과")),"통과","미검증")))</x:f>
        <x:v>미검증</x:v>
      </x:c>
      <x:c r="AA107" s="13" t="str">
        <x:v>KRDS-SEC-057</x:v>
      </x:c>
      <x:c r="AB107" s="13" t="str">
        <x:v>S05</x:v>
      </x:c>
    </x:row>
    <x:row r="108" ht="37.5" customHeight="1">
      <x:c r="A108" s="14" t="str">
        <x:v>UI-057</x:v>
      </x:c>
      <x:c r="B108" s="14" t="str">
        <x:v>KRDS UI/UX</x:v>
      </x:c>
      <x:c r="C108" s="14" t="str">
        <x:v>UI 컴포넌트</x:v>
      </x:c>
      <x:c r="D108" s="14" t="str">
        <x:v>파일 업로드</x:v>
      </x:c>
      <x:c r="E108" s="14" t="str">
        <x:v>파일 선택·제약·상태·오류를 접근 가능하게 제공</x:v>
      </x:c>
      <x:c r="F108" s="14" t="str">
        <x:v>SRC-001</x:v>
      </x:c>
      <x:c r="G108" s="14" t="str">
        <x:v>컴포넌트 / 입력 / 파일 업로드 / p.697-715</x:v>
      </x:c>
      <x:c r="H108" s="14" t="str">
        <x:v>원문 등급 별도 확인</x:v>
      </x:c>
      <x:c r="I108" s="14" t="str">
        <x:v>MUST(안)</x:v>
      </x:c>
      <x:c r="J108" s="14" t="str">
        <x:v>적용</x:v>
      </x:c>
      <x:c r="K108" s="14" t="str">
        <x:v>업무요청 웹 샘플에 채택하는 회사 기준. 실제 이행은 구현 후 판정.</x:v>
      </x:c>
      <x:c r="L108" s="14" t="str">
        <x:v>native 파일 선택과 드롭 영역, 형식/크기/개수 안내, 삭제·재시도 제공</x:v>
      </x:c>
      <x:c r="M108" s="14" t="str">
        <x:v>키보드 파일 선택·드래그 대체·실패 복구·진행상태 낭독</x:v>
      </x:c>
      <x:c r="N108" s="14" t="str">
        <x:v>UX·개발·QA</x:v>
      </x:c>
      <x:c r="O108" s="14" t="str">
        <x:v>P0</x:v>
      </x:c>
      <x:c r="P108" s="15" t="str">
        <x:v>계획</x:v>
      </x:c>
      <x:c r="Q108" s="15" t="str">
        <x:v>미실행</x:v>
      </x:c>
      <x:c r="R108" s="15" t="str">
        <x:v>미실행</x:v>
      </x:c>
      <x:c r="S108" s="15" t="str">
        <x:v>자동+수동</x:v>
      </x:c>
      <x:c r="T108" s="15" t="str"/>
      <x:c r="U108" s="15" t="str"/>
      <x:c r="V108" s="15" t="str"/>
      <x:c r="W108" s="15" t="str"/>
      <x:c r="X108" s="16" t="str"/>
      <x:c r="Y108" s="15" t="str"/>
      <x:c r="Z108" s="14" t="str">
        <x:f>IF(J108&lt;&gt;"적용","산정제외",IF(OR(Q108="실패",R108="실패"),"실패",IF(AND(P108="구현",T108&lt;&gt;"",U108&lt;&gt;"",V108&lt;&gt;"",W108&lt;&gt;"",ISNUMBER(X108),Y108="",OR(S108="수동",Q108="통과"),OR(S108="자동",R108="통과")),"통과","미검증")))</x:f>
        <x:v>미검증</x:v>
      </x:c>
      <x:c r="AA108" s="14" t="str">
        <x:v>KRDS-SEC-058</x:v>
      </x:c>
      <x:c r="AB108" s="14" t="str">
        <x:v>S04, S05</x:v>
      </x:c>
    </x:row>
    <x:row r="109" ht="37.5" customHeight="1">
      <x:c r="A109" s="13" t="str">
        <x:v>UI-058</x:v>
      </x:c>
      <x:c r="B109" s="13" t="str">
        <x:v>KRDS UI/UX</x:v>
      </x:c>
      <x:c r="C109" s="13" t="str">
        <x:v>UI 컴포넌트</x:v>
      </x:c>
      <x:c r="D109" s="13" t="str">
        <x:v>언어 변경</x:v>
      </x:c>
      <x:c r="E109" s="13" t="str">
        <x:v>언어 이름과 언어속성을 정확히 제공</x:v>
      </x:c>
      <x:c r="F109" s="13" t="str">
        <x:v>SRC-001</x:v>
      </x:c>
      <x:c r="G109" s="13" t="str">
        <x:v>컴포넌트 / 설정 / 언어 변경 / p.716-726</x:v>
      </x:c>
      <x:c r="H109" s="13" t="str">
        <x:v>원문 등급 별도 확인</x:v>
      </x:c>
      <x:c r="I109" s="13" t="str">
        <x:v>MUST(안)</x:v>
      </x:c>
      <x:c r="J109" s="13" t="str">
        <x:v>조건부</x:v>
      </x:c>
      <x:c r="K109" s="13" t="str">
        <x:v>해당 기능 또는 서비스 조건이 실제 범위에 포함될 때 적용.</x:v>
      </x:c>
      <x:c r="L109" s="13" t="str">
        <x:v>한국어 단일언어 샘플에서는 전환기 미사용; 다국어 확장 시 자국어 이름·lang 사용</x:v>
      </x:c>
      <x:c r="M109" s="13" t="str">
        <x:v>다국어 적용 시 링크 언어·숨긴 텍스트까지 변경 확인</x:v>
      </x:c>
      <x:c r="N109" s="13" t="str">
        <x:v>UX·개발·QA</x:v>
      </x:c>
      <x:c r="O109" s="13" t="str">
        <x:v>P2</x:v>
      </x:c>
      <x:c r="P109" s="15" t="str">
        <x:v>계획</x:v>
      </x:c>
      <x:c r="Q109" s="15" t="str">
        <x:v>미실행</x:v>
      </x:c>
      <x:c r="R109" s="15" t="str">
        <x:v>미실행</x:v>
      </x:c>
      <x:c r="S109" s="15" t="str">
        <x:v>자동+수동</x:v>
      </x:c>
      <x:c r="T109" s="15" t="str"/>
      <x:c r="U109" s="15" t="str"/>
      <x:c r="V109" s="15" t="str"/>
      <x:c r="W109" s="15" t="str"/>
      <x:c r="X109" s="16" t="str"/>
      <x:c r="Y109" s="15" t="str"/>
      <x:c r="Z109" s="13" t="str">
        <x:f>IF(J109&lt;&gt;"적용","산정제외",IF(OR(Q109="실패",R109="실패"),"실패",IF(AND(P109="구현",T109&lt;&gt;"",U109&lt;&gt;"",V109&lt;&gt;"",W109&lt;&gt;"",ISNUMBER(X109),Y109="",OR(S109="수동",Q109="통과"),OR(S109="자동",R109="통과")),"통과","미검증")))</x:f>
        <x:v>산정제외</x:v>
      </x:c>
      <x:c r="AA109" s="13" t="str">
        <x:v>KRDS-SEC-059</x:v>
      </x:c>
      <x:c r="AB109" s="13" t="str">
        <x:v>S01~S08 / 공통</x:v>
      </x:c>
    </x:row>
    <x:row r="110" ht="37.5" customHeight="1">
      <x:c r="A110" s="14" t="str">
        <x:v>UI-059</x:v>
      </x:c>
      <x:c r="B110" s="14" t="str">
        <x:v>KRDS UI/UX</x:v>
      </x:c>
      <x:c r="C110" s="14" t="str">
        <x:v>UI 컴포넌트</x:v>
      </x:c>
      <x:c r="D110" s="14" t="str">
        <x:v>화면 크기 조정</x:v>
      </x:c>
      <x:c r="E110" s="14" t="str">
        <x:v>확대 후에도 정보·기능을 유지</x:v>
      </x:c>
      <x:c r="F110" s="14" t="str">
        <x:v>SRC-001</x:v>
      </x:c>
      <x:c r="G110" s="14" t="str">
        <x:v>컴포넌트 / 설정 / 화면 크기 조정 / p.727-737</x:v>
      </x:c>
      <x:c r="H110" s="14" t="str">
        <x:v>원문 등급 별도 확인</x:v>
      </x:c>
      <x:c r="I110" s="14" t="str">
        <x:v>MUST(안)</x:v>
      </x:c>
      <x:c r="J110" s="14" t="str">
        <x:v>적용</x:v>
      </x:c>
      <x:c r="K110" s="14" t="str">
        <x:v>업무요청 웹 샘플에 채택하는 회사 기준. 실제 이행은 구현 후 판정.</x:v>
      </x:c>
      <x:c r="L110" s="14" t="str">
        <x:v>접근성 설정의 글자크기와 브라우저 확대가 함께 작동하도록 상대단위·반응형 구현</x:v>
      </x:c>
      <x:c r="M110" s="14" t="str">
        <x:v>200% 글자 확대와 400%/320 CSS px 재배치 점검</x:v>
      </x:c>
      <x:c r="N110" s="14" t="str">
        <x:v>UX·개발·QA</x:v>
      </x:c>
      <x:c r="O110" s="14" t="str">
        <x:v>P0</x:v>
      </x:c>
      <x:c r="P110" s="15" t="str">
        <x:v>계획</x:v>
      </x:c>
      <x:c r="Q110" s="15" t="str">
        <x:v>미실행</x:v>
      </x:c>
      <x:c r="R110" s="15" t="str">
        <x:v>미실행</x:v>
      </x:c>
      <x:c r="S110" s="15" t="str">
        <x:v>자동+수동</x:v>
      </x:c>
      <x:c r="T110" s="15" t="str"/>
      <x:c r="U110" s="15" t="str"/>
      <x:c r="V110" s="15" t="str"/>
      <x:c r="W110" s="15" t="str"/>
      <x:c r="X110" s="16" t="str"/>
      <x:c r="Y110" s="15" t="str"/>
      <x:c r="Z110" s="14" t="str">
        <x:f>IF(J110&lt;&gt;"적용","산정제외",IF(OR(Q110="실패",R110="실패"),"실패",IF(AND(P110="구현",T110&lt;&gt;"",U110&lt;&gt;"",V110&lt;&gt;"",W110&lt;&gt;"",ISNUMBER(X110),Y110="",OR(S110="수동",Q110="통과"),OR(S110="자동",R110="통과")),"통과","미검증")))</x:f>
        <x:v>미검증</x:v>
      </x:c>
      <x:c r="AA110" s="14" t="str">
        <x:v>KRDS-SEC-060</x:v>
      </x:c>
      <x:c r="AB110" s="14" t="str">
        <x:v>S01~S08 / 공통</x:v>
      </x:c>
    </x:row>
    <x:row r="111" ht="37.5" customHeight="1">
      <x:c r="A111" s="13" t="str">
        <x:v>UI-060</x:v>
      </x:c>
      <x:c r="B111" s="13" t="str">
        <x:v>KRDS UI/UX</x:v>
      </x:c>
      <x:c r="C111" s="13" t="str">
        <x:v>UI 컴포넌트</x:v>
      </x:c>
      <x:c r="D111" s="13" t="str">
        <x:v>접근 가능한 미디어</x:v>
      </x:c>
      <x:c r="E111" s="13" t="str">
        <x:v>미디어 대체정보를 계획·관리</x:v>
      </x:c>
      <x:c r="F111" s="13" t="str">
        <x:v>SRC-001</x:v>
      </x:c>
      <x:c r="G111" s="13" t="str">
        <x:v>컴포넌트 / 콘텐츠 / 접근 가능한 미디어 / p.738-746</x:v>
      </x:c>
      <x:c r="H111" s="13" t="str">
        <x:v>원문 등급 별도 확인</x:v>
      </x:c>
      <x:c r="I111" s="13" t="str">
        <x:v>MUST(안)</x:v>
      </x:c>
      <x:c r="J111" s="13" t="str">
        <x:v>조건부</x:v>
      </x:c>
      <x:c r="K111" s="13" t="str">
        <x:v>해당 기능 또는 서비스 조건이 실제 범위에 포함될 때 적용.</x:v>
      </x:c>
      <x:c r="L111" s="13" t="str">
        <x:v>현재 동영상·오디오 미사용; 추가 시 자막·대본·화면해설 필요성별 제작</x:v>
      </x:c>
      <x:c r="M111" s="13" t="str">
        <x:v>기능 추가 시 미디어 유형에 맞는 접근성 기준 재선정</x:v>
      </x:c>
      <x:c r="N111" s="13" t="str">
        <x:v>UX·개발·QA</x:v>
      </x:c>
      <x:c r="O111" s="13" t="str">
        <x:v>P1</x:v>
      </x:c>
      <x:c r="P111" s="15" t="str">
        <x:v>계획</x:v>
      </x:c>
      <x:c r="Q111" s="15" t="str">
        <x:v>미실행</x:v>
      </x:c>
      <x:c r="R111" s="15" t="str">
        <x:v>미실행</x:v>
      </x:c>
      <x:c r="S111" s="15" t="str">
        <x:v>자동+수동</x:v>
      </x:c>
      <x:c r="T111" s="15" t="str"/>
      <x:c r="U111" s="15" t="str"/>
      <x:c r="V111" s="15" t="str"/>
      <x:c r="W111" s="15" t="str"/>
      <x:c r="X111" s="16" t="str"/>
      <x:c r="Y111" s="15" t="str"/>
      <x:c r="Z111" s="13" t="str">
        <x:f>IF(J111&lt;&gt;"적용","산정제외",IF(OR(Q111="실패",R111="실패"),"실패",IF(AND(P111="구현",T111&lt;&gt;"",U111&lt;&gt;"",V111&lt;&gt;"",W111&lt;&gt;"",ISNUMBER(X111),Y111="",OR(S111="수동",Q111="통과"),OR(S111="자동",R111="통과")),"통과","미검증")))</x:f>
        <x:v>산정제외</x:v>
      </x:c>
      <x:c r="AA111" s="13" t="str">
        <x:v>KRDS-SEC-061</x:v>
      </x:c>
      <x:c r="AB111" s="13" t="str">
        <x:v>S01~S08 / 공통</x:v>
      </x:c>
    </x:row>
    <x:row r="112" ht="37.5" customHeight="1">
      <x:c r="A112" s="14" t="str">
        <x:v>UI-061</x:v>
      </x:c>
      <x:c r="B112" s="14" t="str">
        <x:v>KRDS UI/UX</x:v>
      </x:c>
      <x:c r="C112" s="14" t="str">
        <x:v>UI 컴포넌트</x:v>
      </x:c>
      <x:c r="D112" s="14" t="str">
        <x:v>숨긴 콘텐츠</x:v>
      </x:c>
      <x:c r="E112" s="14" t="str">
        <x:v>보조기술용 정보가 의미와 동작을 보완</x:v>
      </x:c>
      <x:c r="F112" s="14" t="str">
        <x:v>SRC-001</x:v>
      </x:c>
      <x:c r="G112" s="14" t="str">
        <x:v>컴포넌트 / 콘텐츠 / 숨긴 콘텐츠 / p.747-753</x:v>
      </x:c>
      <x:c r="H112" s="14" t="str">
        <x:v>원문 등급 별도 확인</x:v>
      </x:c>
      <x:c r="I112" s="14" t="str">
        <x:v>MUST(안)</x:v>
      </x:c>
      <x:c r="J112" s="14" t="str">
        <x:v>적용</x:v>
      </x:c>
      <x:c r="K112" s="14" t="str">
        <x:v>업무요청 웹 샘플에 채택하는 회사 기준. 실제 이행은 구현 후 판정.</x:v>
      </x:c>
      <x:c r="L112" s="14" t="str">
        <x:v>sr-only는 display:none을 사용하지 않으며 가능한 화면에도 설명 표시</x:v>
      </x:c>
      <x:c r="M112" s="14" t="str">
        <x:v>접근성 트리에서 이름 중복·내용 누락·포커스 실종 점검</x:v>
      </x:c>
      <x:c r="N112" s="14" t="str">
        <x:v>UX·개발·QA</x:v>
      </x:c>
      <x:c r="O112" s="14" t="str">
        <x:v>P0</x:v>
      </x:c>
      <x:c r="P112" s="15" t="str">
        <x:v>계획</x:v>
      </x:c>
      <x:c r="Q112" s="15" t="str">
        <x:v>미실행</x:v>
      </x:c>
      <x:c r="R112" s="15" t="str">
        <x:v>미실행</x:v>
      </x:c>
      <x:c r="S112" s="15" t="str">
        <x:v>자동+수동</x:v>
      </x:c>
      <x:c r="T112" s="15" t="str"/>
      <x:c r="U112" s="15" t="str"/>
      <x:c r="V112" s="15" t="str"/>
      <x:c r="W112" s="15" t="str"/>
      <x:c r="X112" s="16" t="str"/>
      <x:c r="Y112" s="15" t="str"/>
      <x:c r="Z112" s="14" t="str">
        <x:f>IF(J112&lt;&gt;"적용","산정제외",IF(OR(Q112="실패",R112="실패"),"실패",IF(AND(P112="구현",T112&lt;&gt;"",U112&lt;&gt;"",V112&lt;&gt;"",W112&lt;&gt;"",ISNUMBER(X112),Y112="",OR(S112="수동",Q112="통과"),OR(S112="자동",R112="통과")),"통과","미검증")))</x:f>
        <x:v>미검증</x:v>
      </x:c>
      <x:c r="AA112" s="14" t="str">
        <x:v>KRDS-SEC-062</x:v>
      </x:c>
      <x:c r="AB112" s="14" t="str">
        <x:v>S01~S08 / 공통</x:v>
      </x:c>
    </x:row>
    <x:row r="113" ht="37.5" customHeight="1">
      <x:c r="A113" s="13" t="str">
        <x:v>UI-062</x:v>
      </x:c>
      <x:c r="B113" s="13" t="str">
        <x:v>KRDS UI/UX</x:v>
      </x:c>
      <x:c r="C113" s="13" t="str">
        <x:v>UI 기본 패턴</x:v>
      </x:c>
      <x:c r="D113" s="13" t="str">
        <x:v>개인 식별 정보 입력</x:v>
      </x:c>
      <x:c r="E113" s="13" t="str">
        <x:v>최소한의 식별정보와 익숙한 입력방식 제공</x:v>
      </x:c>
      <x:c r="F113" s="13" t="str">
        <x:v>SRC-001</x:v>
      </x:c>
      <x:c r="G113" s="13" t="str">
        <x:v>기본 패턴 / 패턴 / 개인 식별 정보 입력 / p.754-773</x:v>
      </x:c>
      <x:c r="H113" s="13" t="str">
        <x:v>원문 등급 별도 확인</x:v>
      </x:c>
      <x:c r="I113" s="13" t="str">
        <x:v>MUST(안)</x:v>
      </x:c>
      <x:c r="J113" s="13" t="str">
        <x:v>적용</x:v>
      </x:c>
      <x:c r="K113" s="13" t="str">
        <x:v>업무요청 웹 샘플에 채택하는 회사 기준. 실제 이행은 구현 후 판정.</x:v>
      </x:c>
      <x:c r="L113" s="13" t="str">
        <x:v>요청자 이름·연락수단만 목적에 따라 수집하고 이름 형식의 과도한 제한 제거</x:v>
      </x:c>
      <x:c r="M113" s="13" t="str">
        <x:v>최소수집 검토와 다양한 이름·연락수단 입력 시나리오</x:v>
      </x:c>
      <x:c r="N113" s="13" t="str">
        <x:v>UX·개발·QA</x:v>
      </x:c>
      <x:c r="O113" s="13" t="str">
        <x:v>P1</x:v>
      </x:c>
      <x:c r="P113" s="15" t="str">
        <x:v>계획</x:v>
      </x:c>
      <x:c r="Q113" s="15" t="str">
        <x:v>미실행</x:v>
      </x:c>
      <x:c r="R113" s="15" t="str">
        <x:v>미실행</x:v>
      </x:c>
      <x:c r="S113" s="15" t="str">
        <x:v>자동+수동</x:v>
      </x:c>
      <x:c r="T113" s="15" t="str"/>
      <x:c r="U113" s="15" t="str"/>
      <x:c r="V113" s="15" t="str"/>
      <x:c r="W113" s="15" t="str"/>
      <x:c r="X113" s="16" t="str"/>
      <x:c r="Y113" s="15" t="str"/>
      <x:c r="Z113" s="13" t="str">
        <x:f>IF(J113&lt;&gt;"적용","산정제외",IF(OR(Q113="실패",R113="실패"),"실패",IF(AND(P113="구현",T113&lt;&gt;"",U113&lt;&gt;"",V113&lt;&gt;"",W113&lt;&gt;"",ISNUMBER(X113),Y113="",OR(S113="수동",Q113="통과"),OR(S113="자동",R113="통과")),"통과","미검증")))</x:f>
        <x:v>미검증</x:v>
      </x:c>
      <x:c r="AA113" s="13" t="str">
        <x:v>KRDS-SEC-063</x:v>
      </x:c>
      <x:c r="AB113" s="13" t="str">
        <x:v>S05</x:v>
      </x:c>
    </x:row>
    <x:row r="114" ht="37.5" customHeight="1">
      <x:c r="A114" s="14" t="str">
        <x:v>UI-063</x:v>
      </x:c>
      <x:c r="B114" s="14" t="str">
        <x:v>KRDS UI/UX</x:v>
      </x:c>
      <x:c r="C114" s="14" t="str">
        <x:v>UI 기본 패턴</x:v>
      </x:c>
      <x:c r="D114" s="14" t="str">
        <x:v>도움</x:v>
      </x:c>
      <x:c r="E114" s="14" t="str">
        <x:v>도움 요청과 문제해결 경로를 쉽게 찾게 함</x:v>
      </x:c>
      <x:c r="F114" s="14" t="str">
        <x:v>SRC-001</x:v>
      </x:c>
      <x:c r="G114" s="14" t="str">
        <x:v>기본 패턴 / 패턴 / 도움 / p.774-790</x:v>
      </x:c>
      <x:c r="H114" s="14" t="str">
        <x:v>원문 등급 별도 확인</x:v>
      </x:c>
      <x:c r="I114" s="14" t="str">
        <x:v>MUST(안)</x:v>
      </x:c>
      <x:c r="J114" s="14" t="str">
        <x:v>적용</x:v>
      </x:c>
      <x:c r="K114" s="14" t="str">
        <x:v>업무요청 웹 샘플에 채택하는 회사 기준. 실제 이행은 구현 후 판정.</x:v>
      </x:c>
      <x:c r="L114" s="14" t="str">
        <x:v>공통 도움말·FAQ·문의수단과 현재 맥락에 맞는 설명 제공</x:v>
      </x:c>
      <x:c r="M114" s="14" t="str">
        <x:v>주요 화면에서 도움수단 발견·실행 가능 여부</x:v>
      </x:c>
      <x:c r="N114" s="14" t="str">
        <x:v>UX·개발·QA</x:v>
      </x:c>
      <x:c r="O114" s="14" t="str">
        <x:v>P1</x:v>
      </x:c>
      <x:c r="P114" s="15" t="str">
        <x:v>계획</x:v>
      </x:c>
      <x:c r="Q114" s="15" t="str">
        <x:v>미실행</x:v>
      </x:c>
      <x:c r="R114" s="15" t="str">
        <x:v>미실행</x:v>
      </x:c>
      <x:c r="S114" s="15" t="str">
        <x:v>자동+수동</x:v>
      </x:c>
      <x:c r="T114" s="15" t="str"/>
      <x:c r="U114" s="15" t="str"/>
      <x:c r="V114" s="15" t="str"/>
      <x:c r="W114" s="15" t="str"/>
      <x:c r="X114" s="16" t="str"/>
      <x:c r="Y114" s="15" t="str"/>
      <x:c r="Z114" s="14" t="str">
        <x:f>IF(J114&lt;&gt;"적용","산정제외",IF(OR(Q114="실패",R114="실패"),"실패",IF(AND(P114="구현",T114&lt;&gt;"",U114&lt;&gt;"",V114&lt;&gt;"",W114&lt;&gt;"",ISNUMBER(X114),Y114="",OR(S114="수동",Q114="통과"),OR(S114="자동",R114="통과")),"통과","미검증")))</x:f>
        <x:v>미검증</x:v>
      </x:c>
      <x:c r="AA114" s="14" t="str">
        <x:v>KRDS-SEC-064</x:v>
      </x:c>
      <x:c r="AB114" s="14" t="str">
        <x:v>S01~S08 / 공통</x:v>
      </x:c>
    </x:row>
    <x:row r="115" ht="37.5" customHeight="1">
      <x:c r="A115" s="13" t="str">
        <x:v>UI-064</x:v>
      </x:c>
      <x:c r="B115" s="13" t="str">
        <x:v>KRDS UI/UX</x:v>
      </x:c>
      <x:c r="C115" s="13" t="str">
        <x:v>UI 기본 패턴</x:v>
      </x:c>
      <x:c r="D115" s="13" t="str">
        <x:v>동의</x:v>
      </x:c>
      <x:c r="E115" s="13" t="str">
        <x:v>필수·선택 동의를 분리하고 목적을 설명</x:v>
      </x:c>
      <x:c r="F115" s="13" t="str">
        <x:v>SRC-001</x:v>
      </x:c>
      <x:c r="G115" s="13" t="str">
        <x:v>기본 패턴 / 패턴 / 동의 / p.791-797</x:v>
      </x:c>
      <x:c r="H115" s="13" t="str">
        <x:v>원문 등급 별도 확인</x:v>
      </x:c>
      <x:c r="I115" s="13" t="str">
        <x:v>MUST(안)</x:v>
      </x:c>
      <x:c r="J115" s="13" t="str">
        <x:v>적용</x:v>
      </x:c>
      <x:c r="K115" s="13" t="str">
        <x:v>업무요청 웹 샘플에 채택하는 회사 기준. 실제 이행은 구현 후 판정.</x:v>
      </x:c>
      <x:c r="L115" s="13" t="str">
        <x:v>실제 동의가 필요한 처리만 분리하며 선택동의를 사전 체크하지 않음</x:v>
      </x:c>
      <x:c r="M115" s="13" t="str">
        <x:v>동의 철회/선택거부·키보드·링크 접근 검토</x:v>
      </x:c>
      <x:c r="N115" s="13" t="str">
        <x:v>UX·개발·QA</x:v>
      </x:c>
      <x:c r="O115" s="13" t="str">
        <x:v>P1</x:v>
      </x:c>
      <x:c r="P115" s="15" t="str">
        <x:v>계획</x:v>
      </x:c>
      <x:c r="Q115" s="15" t="str">
        <x:v>미실행</x:v>
      </x:c>
      <x:c r="R115" s="15" t="str">
        <x:v>미실행</x:v>
      </x:c>
      <x:c r="S115" s="15" t="str">
        <x:v>자동+수동</x:v>
      </x:c>
      <x:c r="T115" s="15" t="str"/>
      <x:c r="U115" s="15" t="str"/>
      <x:c r="V115" s="15" t="str"/>
      <x:c r="W115" s="15" t="str"/>
      <x:c r="X115" s="16" t="str"/>
      <x:c r="Y115" s="15" t="str"/>
      <x:c r="Z115" s="13" t="str">
        <x:f>IF(J115&lt;&gt;"적용","산정제외",IF(OR(Q115="실패",R115="실패"),"실패",IF(AND(P115="구현",T115&lt;&gt;"",U115&lt;&gt;"",V115&lt;&gt;"",W115&lt;&gt;"",ISNUMBER(X115),Y115="",OR(S115="수동",Q115="통과"),OR(S115="자동",R115="통과")),"통과","미검증")))</x:f>
        <x:v>미검증</x:v>
      </x:c>
      <x:c r="AA115" s="13" t="str">
        <x:v>KRDS-SEC-065</x:v>
      </x:c>
      <x:c r="AB115" s="13" t="str">
        <x:v>S01~S08 / 공통</x:v>
      </x:c>
    </x:row>
    <x:row r="116" ht="37.5" customHeight="1">
      <x:c r="A116" s="14" t="str">
        <x:v>UI-065</x:v>
      </x:c>
      <x:c r="B116" s="14" t="str">
        <x:v>KRDS UI/UX</x:v>
      </x:c>
      <x:c r="C116" s="14" t="str">
        <x:v>UI 기본 패턴</x:v>
      </x:c>
      <x:c r="D116" s="14" t="str">
        <x:v>목록 탐색</x:v>
      </x:c>
      <x:c r="E116" s="14" t="str">
        <x:v>목록 유형·총량·항목 상태를 일관되게 제공</x:v>
      </x:c>
      <x:c r="F116" s="14" t="str">
        <x:v>SRC-001</x:v>
      </x:c>
      <x:c r="G116" s="14" t="str">
        <x:v>기본 패턴 / 패턴 / 목록 탐색 / p.798-802</x:v>
      </x:c>
      <x:c r="H116" s="14" t="str">
        <x:v>원문 등급 별도 확인</x:v>
      </x:c>
      <x:c r="I116" s="14" t="str">
        <x:v>MUST(안)</x:v>
      </x:c>
      <x:c r="J116" s="14" t="str">
        <x:v>적용</x:v>
      </x:c>
      <x:c r="K116" s="14" t="str">
        <x:v>업무요청 웹 샘플에 채택하는 회사 기준. 실제 이행은 구현 후 판정.</x:v>
      </x:c>
      <x:c r="L116" s="14" t="str">
        <x:v>요청 목록·빈 결과·로딩·오류 상태를 별도 구현</x:v>
      </x:c>
      <x:c r="M116" s="14" t="str">
        <x:v>0건/1건/여러 페이지 데이터의 목록 탐색</x:v>
      </x:c>
      <x:c r="N116" s="14" t="str">
        <x:v>UX·개발·QA</x:v>
      </x:c>
      <x:c r="O116" s="14" t="str">
        <x:v>P1</x:v>
      </x:c>
      <x:c r="P116" s="15" t="str">
        <x:v>계획</x:v>
      </x:c>
      <x:c r="Q116" s="15" t="str">
        <x:v>미실행</x:v>
      </x:c>
      <x:c r="R116" s="15" t="str">
        <x:v>미실행</x:v>
      </x:c>
      <x:c r="S116" s="15" t="str">
        <x:v>자동+수동</x:v>
      </x:c>
      <x:c r="T116" s="15" t="str"/>
      <x:c r="U116" s="15" t="str"/>
      <x:c r="V116" s="15" t="str"/>
      <x:c r="W116" s="15" t="str"/>
      <x:c r="X116" s="16" t="str"/>
      <x:c r="Y116" s="15" t="str"/>
      <x:c r="Z116" s="14" t="str">
        <x:f>IF(J116&lt;&gt;"적용","산정제외",IF(OR(Q116="실패",R116="실패"),"실패",IF(AND(P116="구현",T116&lt;&gt;"",U116&lt;&gt;"",V116&lt;&gt;"",W116&lt;&gt;"",ISNUMBER(X116),Y116="",OR(S116="수동",Q116="통과"),OR(S116="자동",R116="통과")),"통과","미검증")))</x:f>
        <x:v>미검증</x:v>
      </x:c>
      <x:c r="AA116" s="14" t="str">
        <x:v>KRDS-SEC-066</x:v>
      </x:c>
      <x:c r="AB116" s="14" t="str">
        <x:v>S03</x:v>
      </x:c>
    </x:row>
    <x:row r="117" ht="37.5" customHeight="1">
      <x:c r="A117" s="13" t="str">
        <x:v>UI-066</x:v>
      </x:c>
      <x:c r="B117" s="13" t="str">
        <x:v>KRDS UI/UX</x:v>
      </x:c>
      <x:c r="C117" s="13" t="str">
        <x:v>UI 기본 패턴</x:v>
      </x:c>
      <x:c r="D117" s="13" t="str">
        <x:v>사용자 피드백</x:v>
      </x:c>
      <x:c r="E117" s="13" t="str">
        <x:v>행동 결과를 시각·비시각 채널로 전달</x:v>
      </x:c>
      <x:c r="F117" s="13" t="str">
        <x:v>SRC-001</x:v>
      </x:c>
      <x:c r="G117" s="13" t="str">
        <x:v>기본 패턴 / 패턴 / 사용자 피드백 / p.803-812</x:v>
      </x:c>
      <x:c r="H117" s="13" t="str">
        <x:v>원문 등급 별도 확인</x:v>
      </x:c>
      <x:c r="I117" s="13" t="str">
        <x:v>MUST(안)</x:v>
      </x:c>
      <x:c r="J117" s="13" t="str">
        <x:v>적용</x:v>
      </x:c>
      <x:c r="K117" s="13" t="str">
        <x:v>업무요청 웹 샘플에 채택하는 회사 기준. 실제 이행은 구현 후 판정.</x:v>
      </x:c>
      <x:c r="L117" s="13" t="str">
        <x:v>저장 성공·실패·진행 상태를 텍스트와 live-region으로 안내</x:v>
      </x:c>
      <x:c r="M117" s="13" t="str">
        <x:v>사용자 행동과 피드백 타이밍·과도한 낭독 점검</x:v>
      </x:c>
      <x:c r="N117" s="13" t="str">
        <x:v>UX·개발·QA</x:v>
      </x:c>
      <x:c r="O117" s="13" t="str">
        <x:v>P1</x:v>
      </x:c>
      <x:c r="P117" s="15" t="str">
        <x:v>계획</x:v>
      </x:c>
      <x:c r="Q117" s="15" t="str">
        <x:v>미실행</x:v>
      </x:c>
      <x:c r="R117" s="15" t="str">
        <x:v>미실행</x:v>
      </x:c>
      <x:c r="S117" s="15" t="str">
        <x:v>자동+수동</x:v>
      </x:c>
      <x:c r="T117" s="15" t="str"/>
      <x:c r="U117" s="15" t="str"/>
      <x:c r="V117" s="15" t="str"/>
      <x:c r="W117" s="15" t="str"/>
      <x:c r="X117" s="16" t="str"/>
      <x:c r="Y117" s="15" t="str"/>
      <x:c r="Z117" s="13" t="str">
        <x:f>IF(J117&lt;&gt;"적용","산정제외",IF(OR(Q117="실패",R117="실패"),"실패",IF(AND(P117="구현",T117&lt;&gt;"",U117&lt;&gt;"",V117&lt;&gt;"",W117&lt;&gt;"",ISNUMBER(X117),Y117="",OR(S117="수동",Q117="통과"),OR(S117="자동",R117="통과")),"통과","미검증")))</x:f>
        <x:v>미검증</x:v>
      </x:c>
      <x:c r="AA117" s="13" t="str">
        <x:v>KRDS-SEC-067</x:v>
      </x:c>
      <x:c r="AB117" s="13" t="str">
        <x:v>S01~S08 / 공통</x:v>
      </x:c>
    </x:row>
    <x:row r="118" ht="37.5" customHeight="1">
      <x:c r="A118" s="14" t="str">
        <x:v>UI-067</x:v>
      </x:c>
      <x:c r="B118" s="14" t="str">
        <x:v>KRDS UI/UX</x:v>
      </x:c>
      <x:c r="C118" s="14" t="str">
        <x:v>UI 기본 패턴</x:v>
      </x:c>
      <x:c r="D118" s="14" t="str">
        <x:v>상세 정보 확인</x:v>
      </x:c>
      <x:c r="E118" s="14" t="str">
        <x:v>목록에서 상세 확인 후 탐색 맥락 유지</x:v>
      </x:c>
      <x:c r="F118" s="14" t="str">
        <x:v>SRC-001</x:v>
      </x:c>
      <x:c r="G118" s="14" t="str">
        <x:v>기본 패턴 / 패턴 / 상세 정보 확인 / p.813-826</x:v>
      </x:c>
      <x:c r="H118" s="14" t="str">
        <x:v>원문 등급 별도 확인</x:v>
      </x:c>
      <x:c r="I118" s="14" t="str">
        <x:v>MUST(안)</x:v>
      </x:c>
      <x:c r="J118" s="14" t="str">
        <x:v>적용</x:v>
      </x:c>
      <x:c r="K118" s="14" t="str">
        <x:v>업무요청 웹 샘플에 채택하는 회사 기준. 실제 이행은 구현 후 판정.</x:v>
      </x:c>
      <x:c r="L118" s="14" t="str">
        <x:v>요청 상세에 정보 계층·첨부·이력·목록 복귀를 제공</x:v>
      </x:c>
      <x:c r="M118" s="14" t="str">
        <x:v>목록 필터/페이지/스크롤 복원과 상세 제목 확인</x:v>
      </x:c>
      <x:c r="N118" s="14" t="str">
        <x:v>UX·개발·QA</x:v>
      </x:c>
      <x:c r="O118" s="14" t="str">
        <x:v>P1</x:v>
      </x:c>
      <x:c r="P118" s="15" t="str">
        <x:v>계획</x:v>
      </x:c>
      <x:c r="Q118" s="15" t="str">
        <x:v>미실행</x:v>
      </x:c>
      <x:c r="R118" s="15" t="str">
        <x:v>미실행</x:v>
      </x:c>
      <x:c r="S118" s="15" t="str">
        <x:v>자동+수동</x:v>
      </x:c>
      <x:c r="T118" s="15" t="str"/>
      <x:c r="U118" s="15" t="str"/>
      <x:c r="V118" s="15" t="str"/>
      <x:c r="W118" s="15" t="str"/>
      <x:c r="X118" s="16" t="str"/>
      <x:c r="Y118" s="15" t="str"/>
      <x:c r="Z118" s="14" t="str">
        <x:f>IF(J118&lt;&gt;"적용","산정제외",IF(OR(Q118="실패",R118="실패"),"실패",IF(AND(P118="구현",T118&lt;&gt;"",U118&lt;&gt;"",V118&lt;&gt;"",W118&lt;&gt;"",ISNUMBER(X118),Y118="",OR(S118="수동",Q118="통과"),OR(S118="자동",R118="통과")),"통과","미검증")))</x:f>
        <x:v>미검증</x:v>
      </x:c>
      <x:c r="AA118" s="14" t="str">
        <x:v>KRDS-SEC-068</x:v>
      </x:c>
      <x:c r="AB118" s="14" t="str">
        <x:v>S04, S05</x:v>
      </x:c>
    </x:row>
    <x:row r="119" ht="37.5" customHeight="1">
      <x:c r="A119" s="13" t="str">
        <x:v>UI-068</x:v>
      </x:c>
      <x:c r="B119" s="13" t="str">
        <x:v>KRDS UI/UX</x:v>
      </x:c>
      <x:c r="C119" s="13" t="str">
        <x:v>UI 기본 패턴</x:v>
      </x:c>
      <x:c r="D119" s="13" t="str">
        <x:v>오류</x:v>
      </x:c>
      <x:c r="E119" s="13" t="str">
        <x:v>문제·위치·수정방법과 입력값 보존</x:v>
      </x:c>
      <x:c r="F119" s="13" t="str">
        <x:v>SRC-001</x:v>
      </x:c>
      <x:c r="G119" s="13" t="str">
        <x:v>기본 패턴 / 패턴 / 오류 / p.827-831</x:v>
      </x:c>
      <x:c r="H119" s="13" t="str">
        <x:v>원문 등급 별도 확인</x:v>
      </x:c>
      <x:c r="I119" s="13" t="str">
        <x:v>MUST(안)</x:v>
      </x:c>
      <x:c r="J119" s="13" t="str">
        <x:v>적용</x:v>
      </x:c>
      <x:c r="K119" s="13" t="str">
        <x:v>업무요청 웹 샘플에 채택하는 회사 기준. 실제 이행은 구현 후 판정.</x:v>
      </x:c>
      <x:c r="L119" s="13" t="str">
        <x:v>오류 요약 링크·필드 오류·서버 오류 코드를 사용자가 이해하는 문구로 표현</x:v>
      </x:c>
      <x:c r="M119" s="13" t="str">
        <x:v>첫 오류 초점·재입력 최소화·복구 후 성공 점검</x:v>
      </x:c>
      <x:c r="N119" s="13" t="str">
        <x:v>UX·개발·QA</x:v>
      </x:c>
      <x:c r="O119" s="13" t="str">
        <x:v>P1</x:v>
      </x:c>
      <x:c r="P119" s="15" t="str">
        <x:v>계획</x:v>
      </x:c>
      <x:c r="Q119" s="15" t="str">
        <x:v>미실행</x:v>
      </x:c>
      <x:c r="R119" s="15" t="str">
        <x:v>미실행</x:v>
      </x:c>
      <x:c r="S119" s="15" t="str">
        <x:v>자동+수동</x:v>
      </x:c>
      <x:c r="T119" s="15" t="str"/>
      <x:c r="U119" s="15" t="str"/>
      <x:c r="V119" s="15" t="str"/>
      <x:c r="W119" s="15" t="str"/>
      <x:c r="X119" s="16" t="str"/>
      <x:c r="Y119" s="15" t="str"/>
      <x:c r="Z119" s="13" t="str">
        <x:f>IF(J119&lt;&gt;"적용","산정제외",IF(OR(Q119="실패",R119="실패"),"실패",IF(AND(P119="구현",T119&lt;&gt;"",U119&lt;&gt;"",V119&lt;&gt;"",W119&lt;&gt;"",ISNUMBER(X119),Y119="",OR(S119="수동",Q119="통과"),OR(S119="자동",R119="통과")),"통과","미검증")))</x:f>
        <x:v>미검증</x:v>
      </x:c>
      <x:c r="AA119" s="13" t="str">
        <x:v>KRDS-SEC-069</x:v>
      </x:c>
      <x:c r="AB119" s="13" t="str">
        <x:v>S05</x:v>
      </x:c>
    </x:row>
    <x:row r="120" ht="37.5" customHeight="1">
      <x:c r="A120" s="14" t="str">
        <x:v>UI-069</x:v>
      </x:c>
      <x:c r="B120" s="14" t="str">
        <x:v>KRDS UI/UX</x:v>
      </x:c>
      <x:c r="C120" s="14" t="str">
        <x:v>UI 기본 패턴</x:v>
      </x:c>
      <x:c r="D120" s="14" t="str">
        <x:v>입력폼</x:v>
      </x:c>
      <x:c r="E120" s="14" t="str">
        <x:v>레이블·그룹·필수 구분·예측 가능한 진행 제공</x:v>
      </x:c>
      <x:c r="F120" s="14" t="str">
        <x:v>SRC-001</x:v>
      </x:c>
      <x:c r="G120" s="14" t="str">
        <x:v>기본 패턴 / 패턴 / 입력폼 / p.832-851</x:v>
      </x:c>
      <x:c r="H120" s="14" t="str">
        <x:v>원문 등급 별도 확인</x:v>
      </x:c>
      <x:c r="I120" s="14" t="str">
        <x:v>MUST(안)</x:v>
      </x:c>
      <x:c r="J120" s="14" t="str">
        <x:v>적용</x:v>
      </x:c>
      <x:c r="K120" s="14" t="str">
        <x:v>업무요청 웹 샘플에 채택하는 회사 기준. 실제 이행은 구현 후 판정.</x:v>
      </x:c>
      <x:c r="L120" s="14" t="str">
        <x:v>단일 열 중심 구성, fieldset/legend, 오류 연결, 단계 간 입력 보존</x:v>
      </x:c>
      <x:c r="M120" s="14" t="str">
        <x:v>키보드 전체 등록과 오류·뒤로가기·자동완성 시나리오</x:v>
      </x:c>
      <x:c r="N120" s="14" t="str">
        <x:v>UX·개발·QA</x:v>
      </x:c>
      <x:c r="O120" s="14" t="str">
        <x:v>P1</x:v>
      </x:c>
      <x:c r="P120" s="15" t="str">
        <x:v>계획</x:v>
      </x:c>
      <x:c r="Q120" s="15" t="str">
        <x:v>미실행</x:v>
      </x:c>
      <x:c r="R120" s="15" t="str">
        <x:v>미실행</x:v>
      </x:c>
      <x:c r="S120" s="15" t="str">
        <x:v>자동+수동</x:v>
      </x:c>
      <x:c r="T120" s="15" t="str"/>
      <x:c r="U120" s="15" t="str"/>
      <x:c r="V120" s="15" t="str"/>
      <x:c r="W120" s="15" t="str"/>
      <x:c r="X120" s="16" t="str"/>
      <x:c r="Y120" s="15" t="str"/>
      <x:c r="Z120" s="14" t="str">
        <x:f>IF(J120&lt;&gt;"적용","산정제외",IF(OR(Q120="실패",R120="실패"),"실패",IF(AND(P120="구현",T120&lt;&gt;"",U120&lt;&gt;"",V120&lt;&gt;"",W120&lt;&gt;"",ISNUMBER(X120),Y120="",OR(S120="수동",Q120="통과"),OR(S120="자동",R120="통과")),"통과","미검증")))</x:f>
        <x:v>미검증</x:v>
      </x:c>
      <x:c r="AA120" s="14" t="str">
        <x:v>KRDS-SEC-070</x:v>
      </x:c>
      <x:c r="AB120" s="14" t="str">
        <x:v>S05</x:v>
      </x:c>
    </x:row>
    <x:row r="121" ht="37.5" customHeight="1">
      <x:c r="A121" s="13" t="str">
        <x:v>UI-070</x:v>
      </x:c>
      <x:c r="B121" s="13" t="str">
        <x:v>KRDS UI/UX</x:v>
      </x:c>
      <x:c r="C121" s="13" t="str">
        <x:v>UI 기본 패턴</x:v>
      </x:c>
      <x:c r="D121" s="13" t="str">
        <x:v>첨부파일</x:v>
      </x:c>
      <x:c r="E121" s="13" t="str">
        <x:v>파일의 형식과 이용 방법을 미리 안내</x:v>
      </x:c>
      <x:c r="F121" s="13" t="str">
        <x:v>SRC-001</x:v>
      </x:c>
      <x:c r="G121" s="13" t="str">
        <x:v>기본 패턴 / 패턴 / 첨부파일 / p.852-856</x:v>
      </x:c>
      <x:c r="H121" s="13" t="str">
        <x:v>원문 등급 별도 확인</x:v>
      </x:c>
      <x:c r="I121" s="13" t="str">
        <x:v>MUST(안)</x:v>
      </x:c>
      <x:c r="J121" s="13" t="str">
        <x:v>적용</x:v>
      </x:c>
      <x:c r="K121" s="13" t="str">
        <x:v>업무요청 웹 샘플에 채택하는 회사 기준. 실제 이행은 구현 후 판정.</x:v>
      </x:c>
      <x:c r="L121" s="13" t="str">
        <x:v>다운로드 링크에 파일명·형식·크기 표시, 문서 접근성 안내</x:v>
      </x:c>
      <x:c r="M121" s="13" t="str">
        <x:v>링크 이름·다운로드 권한·실제 파일 일치 확인</x:v>
      </x:c>
      <x:c r="N121" s="13" t="str">
        <x:v>UX·개발·QA</x:v>
      </x:c>
      <x:c r="O121" s="13" t="str">
        <x:v>P1</x:v>
      </x:c>
      <x:c r="P121" s="15" t="str">
        <x:v>계획</x:v>
      </x:c>
      <x:c r="Q121" s="15" t="str">
        <x:v>미실행</x:v>
      </x:c>
      <x:c r="R121" s="15" t="str">
        <x:v>미실행</x:v>
      </x:c>
      <x:c r="S121" s="15" t="str">
        <x:v>자동+수동</x:v>
      </x:c>
      <x:c r="T121" s="15" t="str"/>
      <x:c r="U121" s="15" t="str"/>
      <x:c r="V121" s="15" t="str"/>
      <x:c r="W121" s="15" t="str"/>
      <x:c r="X121" s="16" t="str"/>
      <x:c r="Y121" s="15" t="str"/>
      <x:c r="Z121" s="13" t="str">
        <x:f>IF(J121&lt;&gt;"적용","산정제외",IF(OR(Q121="실패",R121="실패"),"실패",IF(AND(P121="구현",T121&lt;&gt;"",U121&lt;&gt;"",V121&lt;&gt;"",W121&lt;&gt;"",ISNUMBER(X121),Y121="",OR(S121="수동",Q121="통과"),OR(S121="자동",R121="통과")),"통과","미검증")))</x:f>
        <x:v>미검증</x:v>
      </x:c>
      <x:c r="AA121" s="13" t="str">
        <x:v>KRDS-SEC-071</x:v>
      </x:c>
      <x:c r="AB121" s="13" t="str">
        <x:v>S04, S05</x:v>
      </x:c>
    </x:row>
    <x:row r="122" ht="37.5" customHeight="1">
      <x:c r="A122" s="14" t="str">
        <x:v>UI-071</x:v>
      </x:c>
      <x:c r="B122" s="14" t="str">
        <x:v>KRDS UI/UX</x:v>
      </x:c>
      <x:c r="C122" s="14" t="str">
        <x:v>UI 기본 패턴</x:v>
      </x:c>
      <x:c r="D122" s="14" t="str">
        <x:v>필터링·정렬</x:v>
      </x:c>
      <x:c r="E122" s="14" t="str">
        <x:v>적용 조건과 결과 변화를 명확히 표시</x:v>
      </x:c>
      <x:c r="F122" s="14" t="str">
        <x:v>SRC-001</x:v>
      </x:c>
      <x:c r="G122" s="14" t="str">
        <x:v>기본 패턴 / 패턴 / 필터링·정렬 / p.857-877</x:v>
      </x:c>
      <x:c r="H122" s="14" t="str">
        <x:v>원문 등급 별도 확인</x:v>
      </x:c>
      <x:c r="I122" s="14" t="str">
        <x:v>MUST(안)</x:v>
      </x:c>
      <x:c r="J122" s="14" t="str">
        <x:v>적용</x:v>
      </x:c>
      <x:c r="K122" s="14" t="str">
        <x:v>업무요청 웹 샘플에 채택하는 회사 기준. 실제 이행은 구현 후 판정.</x:v>
      </x:c>
      <x:c r="L122" s="14" t="str">
        <x:v>검색·상태·담당자 필터 및 정렬 상태를 URL/상태로 유지하고 초기화 제공</x:v>
      </x:c>
      <x:c r="M122" s="14" t="str">
        <x:v>조합 필터·초기화·빈 결과·결과 수 낭독 확인</x:v>
      </x:c>
      <x:c r="N122" s="14" t="str">
        <x:v>UX·개발·QA</x:v>
      </x:c>
      <x:c r="O122" s="14" t="str">
        <x:v>P1</x:v>
      </x:c>
      <x:c r="P122" s="15" t="str">
        <x:v>계획</x:v>
      </x:c>
      <x:c r="Q122" s="15" t="str">
        <x:v>미실행</x:v>
      </x:c>
      <x:c r="R122" s="15" t="str">
        <x:v>미실행</x:v>
      </x:c>
      <x:c r="S122" s="15" t="str">
        <x:v>자동+수동</x:v>
      </x:c>
      <x:c r="T122" s="15" t="str"/>
      <x:c r="U122" s="15" t="str"/>
      <x:c r="V122" s="15" t="str"/>
      <x:c r="W122" s="15" t="str"/>
      <x:c r="X122" s="16" t="str"/>
      <x:c r="Y122" s="15" t="str"/>
      <x:c r="Z122" s="14" t="str">
        <x:f>IF(J122&lt;&gt;"적용","산정제외",IF(OR(Q122="실패",R122="실패"),"실패",IF(AND(P122="구현",T122&lt;&gt;"",U122&lt;&gt;"",V122&lt;&gt;"",W122&lt;&gt;"",ISNUMBER(X122),Y122="",OR(S122="수동",Q122="통과"),OR(S122="자동",R122="통과")),"통과","미검증")))</x:f>
        <x:v>미검증</x:v>
      </x:c>
      <x:c r="AA122" s="14" t="str">
        <x:v>KRDS-SEC-072</x:v>
      </x:c>
      <x:c r="AB122" s="14" t="str">
        <x:v>S03</x:v>
      </x:c>
    </x:row>
    <x:row r="123" ht="37.5" customHeight="1">
      <x:c r="A123" s="13" t="str">
        <x:v>UI-072</x:v>
      </x:c>
      <x:c r="B123" s="13" t="str">
        <x:v>KRDS UI/UX</x:v>
      </x:c>
      <x:c r="C123" s="13" t="str">
        <x:v>UI 기본 패턴</x:v>
      </x:c>
      <x:c r="D123" s="13" t="str">
        <x:v>확인</x:v>
      </x:c>
      <x:c r="E123" s="13" t="str">
        <x:v>중요 행동 전에 결과를 검토·취소 가능하게 함</x:v>
      </x:c>
      <x:c r="F123" s="13" t="str">
        <x:v>SRC-001</x:v>
      </x:c>
      <x:c r="G123" s="13" t="str">
        <x:v>기본 패턴 / 패턴 / 확인 / p.878-884</x:v>
      </x:c>
      <x:c r="H123" s="13" t="str">
        <x:v>원문 등급 별도 확인</x:v>
      </x:c>
      <x:c r="I123" s="13" t="str">
        <x:v>MUST(안)</x:v>
      </x:c>
      <x:c r="J123" s="13" t="str">
        <x:v>적용</x:v>
      </x:c>
      <x:c r="K123" s="13" t="str">
        <x:v>업무요청 웹 샘플에 채택하는 회사 기준. 실제 이행은 구현 후 판정.</x:v>
      </x:c>
      <x:c r="L123" s="13" t="str">
        <x:v>요청 제출·삭제·상태변경 전 목적에 맞는 확인과 취소 경로 제공</x:v>
      </x:c>
      <x:c r="M123" s="13" t="str">
        <x:v>실수 방지·취소·중복 제출·초점 복귀 확인</x:v>
      </x:c>
      <x:c r="N123" s="13" t="str">
        <x:v>UX·개발·QA</x:v>
      </x:c>
      <x:c r="O123" s="13" t="str">
        <x:v>P1</x:v>
      </x:c>
      <x:c r="P123" s="15" t="str">
        <x:v>계획</x:v>
      </x:c>
      <x:c r="Q123" s="15" t="str">
        <x:v>미실행</x:v>
      </x:c>
      <x:c r="R123" s="15" t="str">
        <x:v>미실행</x:v>
      </x:c>
      <x:c r="S123" s="15" t="str">
        <x:v>자동+수동</x:v>
      </x:c>
      <x:c r="T123" s="15" t="str"/>
      <x:c r="U123" s="15" t="str"/>
      <x:c r="V123" s="15" t="str"/>
      <x:c r="W123" s="15" t="str"/>
      <x:c r="X123" s="16" t="str"/>
      <x:c r="Y123" s="15" t="str"/>
      <x:c r="Z123" s="13" t="str">
        <x:f>IF(J123&lt;&gt;"적용","산정제외",IF(OR(Q123="실패",R123="실패"),"실패",IF(AND(P123="구현",T123&lt;&gt;"",U123&lt;&gt;"",V123&lt;&gt;"",W123&lt;&gt;"",ISNUMBER(X123),Y123="",OR(S123="수동",Q123="통과"),OR(S123="자동",R123="통과")),"통과","미검증")))</x:f>
        <x:v>미검증</x:v>
      </x:c>
      <x:c r="AA123" s="13" t="str">
        <x:v>KRDS-SEC-073</x:v>
      </x:c>
      <x:c r="AB123" s="13" t="str">
        <x:v>S01~S08 / 공통</x:v>
      </x:c>
    </x:row>
    <x:row r="124" ht="37.5" customHeight="1">
      <x:c r="A124" s="14" t="str">
        <x:v>UI-073</x:v>
      </x:c>
      <x:c r="B124" s="14" t="str">
        <x:v>KRDS UI/UX</x:v>
      </x:c>
      <x:c r="C124" s="14" t="str">
        <x:v>UI 서비스 패턴</x:v>
      </x:c>
      <x:c r="D124" s="14" t="str">
        <x:v>방문</x:v>
      </x:c>
      <x:c r="E124" s="14" t="str">
        <x:v>처음 방문해도 핵심 업무와 운영주체를 파악</x:v>
      </x:c>
      <x:c r="F124" s="14" t="str">
        <x:v>SRC-001</x:v>
      </x:c>
      <x:c r="G124" s="14" t="str">
        <x:v>서비스 패턴 / 방문 / 방문 / p.888-898</x:v>
      </x:c>
      <x:c r="H124" s="14" t="str">
        <x:v>원문 등급 별도 확인</x:v>
      </x:c>
      <x:c r="I124" s="14" t="str">
        <x:v>MUST(안)</x:v>
      </x:c>
      <x:c r="J124" s="14" t="str">
        <x:v>적용</x:v>
      </x:c>
      <x:c r="K124" s="14" t="str">
        <x:v>업무요청 웹 샘플에 채택하는 회사 기준. 실제 이행은 구현 후 판정.</x:v>
      </x:c>
      <x:c r="L124" s="14" t="str">
        <x:v>홈에 업무요청 시작·내 처리상태·도움말을 제공</x:v>
      </x:c>
      <x:c r="M124" s="14" t="str">
        <x:v>최초 방문자의 업무 시작 과업 점검</x:v>
      </x:c>
      <x:c r="N124" s="14" t="str">
        <x:v>UX·개발·QA</x:v>
      </x:c>
      <x:c r="O124" s="14" t="str">
        <x:v>P1</x:v>
      </x:c>
      <x:c r="P124" s="15" t="str">
        <x:v>계획</x:v>
      </x:c>
      <x:c r="Q124" s="15" t="str">
        <x:v>미실행</x:v>
      </x:c>
      <x:c r="R124" s="15" t="str">
        <x:v>미실행</x:v>
      </x:c>
      <x:c r="S124" s="15" t="str">
        <x:v>자동+수동</x:v>
      </x:c>
      <x:c r="T124" s="15" t="str"/>
      <x:c r="U124" s="15" t="str"/>
      <x:c r="V124" s="15" t="str"/>
      <x:c r="W124" s="15" t="str"/>
      <x:c r="X124" s="16" t="str"/>
      <x:c r="Y124" s="15" t="str"/>
      <x:c r="Z124" s="14" t="str">
        <x:f>IF(J124&lt;&gt;"적용","산정제외",IF(OR(Q124="실패",R124="실패"),"실패",IF(AND(P124="구현",T124&lt;&gt;"",U124&lt;&gt;"",V124&lt;&gt;"",W124&lt;&gt;"",ISNUMBER(X124),Y124="",OR(S124="수동",Q124="통과"),OR(S124="자동",R124="통과")),"통과","미검증")))</x:f>
        <x:v>미검증</x:v>
      </x:c>
      <x:c r="AA124" s="14" t="str">
        <x:v>KRDS-SEC-075</x:v>
      </x:c>
      <x:c r="AB124" s="14" t="str">
        <x:v>S01~S08 / 공통</x:v>
      </x:c>
    </x:row>
    <x:row r="125" ht="37.5" customHeight="1">
      <x:c r="A125" s="13" t="str">
        <x:v>UI-074</x:v>
      </x:c>
      <x:c r="B125" s="13" t="str">
        <x:v>KRDS UI/UX</x:v>
      </x:c>
      <x:c r="C125" s="13" t="str">
        <x:v>UI 서비스 패턴</x:v>
      </x:c>
      <x:c r="D125" s="13" t="str">
        <x:v>검색 기능 찾기</x:v>
      </x:c>
      <x:c r="E125" s="13" t="str">
        <x:v>일관된 위치에서 검색을 시작</x:v>
      </x:c>
      <x:c r="F125" s="13" t="str">
        <x:v>SRC-001</x:v>
      </x:c>
      <x:c r="G125" s="13" t="str">
        <x:v>서비스 패턴 / 검색 / 검색 기능 찾기 / p.904-912</x:v>
      </x:c>
      <x:c r="H125" s="13" t="str">
        <x:v>원문 등급 별도 확인</x:v>
      </x:c>
      <x:c r="I125" s="13" t="str">
        <x:v>MUST(안)</x:v>
      </x:c>
      <x:c r="J125" s="13" t="str">
        <x:v>적용</x:v>
      </x:c>
      <x:c r="K125" s="13" t="str">
        <x:v>업무요청 웹 샘플에 채택하는 회사 기준. 실제 이행은 구현 후 판정.</x:v>
      </x:c>
      <x:c r="L125" s="13" t="str">
        <x:v>헤더 또는 업무목록 상단에 검색을 배치</x:v>
      </x:c>
      <x:c r="M125" s="13" t="str">
        <x:v>각 화면의 검색 접근 경로·레이블 점검</x:v>
      </x:c>
      <x:c r="N125" s="13" t="str">
        <x:v>UX·개발·QA</x:v>
      </x:c>
      <x:c r="O125" s="13" t="str">
        <x:v>P1</x:v>
      </x:c>
      <x:c r="P125" s="15" t="str">
        <x:v>계획</x:v>
      </x:c>
      <x:c r="Q125" s="15" t="str">
        <x:v>미실행</x:v>
      </x:c>
      <x:c r="R125" s="15" t="str">
        <x:v>미실행</x:v>
      </x:c>
      <x:c r="S125" s="15" t="str">
        <x:v>자동+수동</x:v>
      </x:c>
      <x:c r="T125" s="15" t="str"/>
      <x:c r="U125" s="15" t="str"/>
      <x:c r="V125" s="15" t="str"/>
      <x:c r="W125" s="15" t="str"/>
      <x:c r="X125" s="16" t="str"/>
      <x:c r="Y125" s="15" t="str"/>
      <x:c r="Z125" s="13" t="str">
        <x:f>IF(J125&lt;&gt;"적용","산정제외",IF(OR(Q125="실패",R125="실패"),"실패",IF(AND(P125="구현",T125&lt;&gt;"",U125&lt;&gt;"",V125&lt;&gt;"",W125&lt;&gt;"",ISNUMBER(X125),Y125="",OR(S125="수동",Q125="통과"),OR(S125="자동",R125="통과")),"통과","미검증")))</x:f>
        <x:v>미검증</x:v>
      </x:c>
      <x:c r="AA125" s="13" t="str">
        <x:v>KRDS-SEC-077</x:v>
      </x:c>
      <x:c r="AB125" s="13" t="str">
        <x:v>S03</x:v>
      </x:c>
    </x:row>
    <x:row r="126" ht="37.5" customHeight="1">
      <x:c r="A126" s="14" t="str">
        <x:v>UI-075</x:v>
      </x:c>
      <x:c r="B126" s="14" t="str">
        <x:v>KRDS UI/UX</x:v>
      </x:c>
      <x:c r="C126" s="14" t="str">
        <x:v>UI 서비스 패턴</x:v>
      </x:c>
      <x:c r="D126" s="14" t="str">
        <x:v>검색어 입력</x:v>
      </x:c>
      <x:c r="E126" s="14" t="str">
        <x:v>검색 범위·방법과 입력 상태 안내</x:v>
      </x:c>
      <x:c r="F126" s="14" t="str">
        <x:v>SRC-001</x:v>
      </x:c>
      <x:c r="G126" s="14" t="str">
        <x:v>서비스 패턴 / 검색 / 검색어 입력 / p.913-928</x:v>
      </x:c>
      <x:c r="H126" s="14" t="str">
        <x:v>원문 등급 별도 확인</x:v>
      </x:c>
      <x:c r="I126" s="14" t="str">
        <x:v>MUST(안)</x:v>
      </x:c>
      <x:c r="J126" s="14" t="str">
        <x:v>적용</x:v>
      </x:c>
      <x:c r="K126" s="14" t="str">
        <x:v>업무요청 웹 샘플에 채택하는 회사 기준. 실제 이행은 구현 후 판정.</x:v>
      </x:c>
      <x:c r="L126" s="14" t="str">
        <x:v>검색 label·예시·지우기·제출 버튼, 검색어 보존 제공</x:v>
      </x:c>
      <x:c r="M126" s="14" t="str">
        <x:v>키보드 입력·제출·지우기·한글 조합 확인</x:v>
      </x:c>
      <x:c r="N126" s="14" t="str">
        <x:v>UX·개발·QA</x:v>
      </x:c>
      <x:c r="O126" s="14" t="str">
        <x:v>P1</x:v>
      </x:c>
      <x:c r="P126" s="15" t="str">
        <x:v>계획</x:v>
      </x:c>
      <x:c r="Q126" s="15" t="str">
        <x:v>미실행</x:v>
      </x:c>
      <x:c r="R126" s="15" t="str">
        <x:v>미실행</x:v>
      </x:c>
      <x:c r="S126" s="15" t="str">
        <x:v>자동+수동</x:v>
      </x:c>
      <x:c r="T126" s="15" t="str"/>
      <x:c r="U126" s="15" t="str"/>
      <x:c r="V126" s="15" t="str"/>
      <x:c r="W126" s="15" t="str"/>
      <x:c r="X126" s="16" t="str"/>
      <x:c r="Y126" s="15" t="str"/>
      <x:c r="Z126" s="14" t="str">
        <x:f>IF(J126&lt;&gt;"적용","산정제외",IF(OR(Q126="실패",R126="실패"),"실패",IF(AND(P126="구현",T126&lt;&gt;"",U126&lt;&gt;"",V126&lt;&gt;"",W126&lt;&gt;"",ISNUMBER(X126),Y126="",OR(S126="수동",Q126="통과"),OR(S126="자동",R126="통과")),"통과","미검증")))</x:f>
        <x:v>미검증</x:v>
      </x:c>
      <x:c r="AA126" s="14" t="str">
        <x:v>KRDS-SEC-078</x:v>
      </x:c>
      <x:c r="AB126" s="14" t="str">
        <x:v>S03</x:v>
      </x:c>
    </x:row>
    <x:row r="127" ht="37.5" customHeight="1">
      <x:c r="A127" s="13" t="str">
        <x:v>UI-076</x:v>
      </x:c>
      <x:c r="B127" s="13" t="str">
        <x:v>KRDS UI/UX</x:v>
      </x:c>
      <x:c r="C127" s="13" t="str">
        <x:v>UI 서비스 패턴</x:v>
      </x:c>
      <x:c r="D127" s="13" t="str">
        <x:v>검색 결과 확인</x:v>
      </x:c>
      <x:c r="E127" s="13" t="str">
        <x:v>결과 수와 조건·빈 결과 안내</x:v>
      </x:c>
      <x:c r="F127" s="13" t="str">
        <x:v>SRC-001</x:v>
      </x:c>
      <x:c r="G127" s="13" t="str">
        <x:v>서비스 패턴 / 검색 / 검색 결과 확인 / p.929-943</x:v>
      </x:c>
      <x:c r="H127" s="13" t="str">
        <x:v>원문 등급 별도 확인</x:v>
      </x:c>
      <x:c r="I127" s="13" t="str">
        <x:v>MUST(안)</x:v>
      </x:c>
      <x:c r="J127" s="13" t="str">
        <x:v>적용</x:v>
      </x:c>
      <x:c r="K127" s="13" t="str">
        <x:v>업무요청 웹 샘플에 채택하는 회사 기준. 실제 이행은 구현 후 판정.</x:v>
      </x:c>
      <x:c r="L127" s="13" t="str">
        <x:v>검색어·총 결과 수·현재 필터·결과 없음 메시지 표시</x:v>
      </x:c>
      <x:c r="M127" s="13" t="str">
        <x:v>결과 상태 낭독과 검색어 강조의 대비 확인</x:v>
      </x:c>
      <x:c r="N127" s="13" t="str">
        <x:v>UX·개발·QA</x:v>
      </x:c>
      <x:c r="O127" s="13" t="str">
        <x:v>P1</x:v>
      </x:c>
      <x:c r="P127" s="15" t="str">
        <x:v>계획</x:v>
      </x:c>
      <x:c r="Q127" s="15" t="str">
        <x:v>미실행</x:v>
      </x:c>
      <x:c r="R127" s="15" t="str">
        <x:v>미실행</x:v>
      </x:c>
      <x:c r="S127" s="15" t="str">
        <x:v>자동+수동</x:v>
      </x:c>
      <x:c r="T127" s="15" t="str"/>
      <x:c r="U127" s="15" t="str"/>
      <x:c r="V127" s="15" t="str"/>
      <x:c r="W127" s="15" t="str"/>
      <x:c r="X127" s="16" t="str"/>
      <x:c r="Y127" s="15" t="str"/>
      <x:c r="Z127" s="13" t="str">
        <x:f>IF(J127&lt;&gt;"적용","산정제외",IF(OR(Q127="실패",R127="실패"),"실패",IF(AND(P127="구현",T127&lt;&gt;"",U127&lt;&gt;"",V127&lt;&gt;"",W127&lt;&gt;"",ISNUMBER(X127),Y127="",OR(S127="수동",Q127="통과"),OR(S127="자동",R127="통과")),"통과","미검증")))</x:f>
        <x:v>미검증</x:v>
      </x:c>
      <x:c r="AA127" s="13" t="str">
        <x:v>KRDS-SEC-079</x:v>
      </x:c>
      <x:c r="AB127" s="13" t="str">
        <x:v>S03</x:v>
      </x:c>
    </x:row>
    <x:row r="128" ht="37.5" customHeight="1">
      <x:c r="A128" s="14" t="str">
        <x:v>UI-077</x:v>
      </x:c>
      <x:c r="B128" s="14" t="str">
        <x:v>KRDS UI/UX</x:v>
      </x:c>
      <x:c r="C128" s="14" t="str">
        <x:v>UI 서비스 패턴</x:v>
      </x:c>
      <x:c r="D128" s="14" t="str">
        <x:v>상세 검색</x:v>
      </x:c>
      <x:c r="E128" s="14" t="str">
        <x:v>추가 조건의 의미와 적용 상태 표시</x:v>
      </x:c>
      <x:c r="F128" s="14" t="str">
        <x:v>SRC-001</x:v>
      </x:c>
      <x:c r="G128" s="14" t="str">
        <x:v>서비스 패턴 / 검색 / 상세 검색 / p.944-955</x:v>
      </x:c>
      <x:c r="H128" s="14" t="str">
        <x:v>원문 등급 별도 확인</x:v>
      </x:c>
      <x:c r="I128" s="14" t="str">
        <x:v>MUST(안)</x:v>
      </x:c>
      <x:c r="J128" s="14" t="str">
        <x:v>적용</x:v>
      </x:c>
      <x:c r="K128" s="14" t="str">
        <x:v>업무요청 웹 샘플에 채택하는 회사 기준. 실제 이행은 구현 후 판정.</x:v>
      </x:c>
      <x:c r="L128" s="14" t="str">
        <x:v>상태·기간·담당자 조건과 적용/초기화 버튼 제공</x:v>
      </x:c>
      <x:c r="M128" s="14" t="str">
        <x:v>조건 변경 후 결과 수·초점·URL 상태 확인</x:v>
      </x:c>
      <x:c r="N128" s="14" t="str">
        <x:v>UX·개발·QA</x:v>
      </x:c>
      <x:c r="O128" s="14" t="str">
        <x:v>P1</x:v>
      </x:c>
      <x:c r="P128" s="15" t="str">
        <x:v>계획</x:v>
      </x:c>
      <x:c r="Q128" s="15" t="str">
        <x:v>미실행</x:v>
      </x:c>
      <x:c r="R128" s="15" t="str">
        <x:v>미실행</x:v>
      </x:c>
      <x:c r="S128" s="15" t="str">
        <x:v>자동+수동</x:v>
      </x:c>
      <x:c r="T128" s="15" t="str"/>
      <x:c r="U128" s="15" t="str"/>
      <x:c r="V128" s="15" t="str"/>
      <x:c r="W128" s="15" t="str"/>
      <x:c r="X128" s="16" t="str"/>
      <x:c r="Y128" s="15" t="str"/>
      <x:c r="Z128" s="14" t="str">
        <x:f>IF(J128&lt;&gt;"적용","산정제외",IF(OR(Q128="실패",R128="실패"),"실패",IF(AND(P128="구현",T128&lt;&gt;"",U128&lt;&gt;"",V128&lt;&gt;"",W128&lt;&gt;"",ISNUMBER(X128),Y128="",OR(S128="수동",Q128="통과"),OR(S128="자동",R128="통과")),"통과","미검증")))</x:f>
        <x:v>미검증</x:v>
      </x:c>
      <x:c r="AA128" s="14" t="str">
        <x:v>KRDS-SEC-080</x:v>
      </x:c>
      <x:c r="AB128" s="14" t="str">
        <x:v>S03</x:v>
      </x:c>
    </x:row>
    <x:row r="129" ht="37.5" customHeight="1">
      <x:c r="A129" s="13" t="str">
        <x:v>UI-078</x:v>
      </x:c>
      <x:c r="B129" s="13" t="str">
        <x:v>KRDS UI/UX</x:v>
      </x:c>
      <x:c r="C129" s="13" t="str">
        <x:v>UI 서비스 패턴</x:v>
      </x:c>
      <x:c r="D129" s="13" t="str">
        <x:v>검색 결과 이용</x:v>
      </x:c>
      <x:c r="E129" s="13" t="str">
        <x:v>결과의 핵심정보와 목적지 식별</x:v>
      </x:c>
      <x:c r="F129" s="13" t="str">
        <x:v>SRC-001</x:v>
      </x:c>
      <x:c r="G129" s="13" t="str">
        <x:v>서비스 패턴 / 검색 / 검색 결과 이용 / p.956-967</x:v>
      </x:c>
      <x:c r="H129" s="13" t="str">
        <x:v>원문 등급 별도 확인</x:v>
      </x:c>
      <x:c r="I129" s="13" t="str">
        <x:v>MUST(안)</x:v>
      </x:c>
      <x:c r="J129" s="13" t="str">
        <x:v>적용</x:v>
      </x:c>
      <x:c r="K129" s="13" t="str">
        <x:v>업무요청 웹 샘플에 채택하는 회사 기준. 실제 이행은 구현 후 판정.</x:v>
      </x:c>
      <x:c r="L129" s="13" t="str">
        <x:v>제목·상태·날짜·작성자를 보여주고 상세 링크 제공</x:v>
      </x:c>
      <x:c r="M129" s="13" t="str">
        <x:v>링크명만 읽어도 대상 식별 가능 여부</x:v>
      </x:c>
      <x:c r="N129" s="13" t="str">
        <x:v>UX·개발·QA</x:v>
      </x:c>
      <x:c r="O129" s="13" t="str">
        <x:v>P1</x:v>
      </x:c>
      <x:c r="P129" s="15" t="str">
        <x:v>계획</x:v>
      </x:c>
      <x:c r="Q129" s="15" t="str">
        <x:v>미실행</x:v>
      </x:c>
      <x:c r="R129" s="15" t="str">
        <x:v>미실행</x:v>
      </x:c>
      <x:c r="S129" s="15" t="str">
        <x:v>자동+수동</x:v>
      </x:c>
      <x:c r="T129" s="15" t="str"/>
      <x:c r="U129" s="15" t="str"/>
      <x:c r="V129" s="15" t="str"/>
      <x:c r="W129" s="15" t="str"/>
      <x:c r="X129" s="16" t="str"/>
      <x:c r="Y129" s="15" t="str"/>
      <x:c r="Z129" s="13" t="str">
        <x:f>IF(J129&lt;&gt;"적용","산정제외",IF(OR(Q129="실패",R129="실패"),"실패",IF(AND(P129="구현",T129&lt;&gt;"",U129&lt;&gt;"",V129&lt;&gt;"",W129&lt;&gt;"",ISNUMBER(X129),Y129="",OR(S129="수동",Q129="통과"),OR(S129="자동",R129="통과")),"통과","미검증")))</x:f>
        <x:v>미검증</x:v>
      </x:c>
      <x:c r="AA129" s="13" t="str">
        <x:v>KRDS-SEC-081</x:v>
      </x:c>
      <x:c r="AB129" s="13" t="str">
        <x:v>S03</x:v>
      </x:c>
    </x:row>
    <x:row r="130" ht="37.5" customHeight="1">
      <x:c r="A130" s="14" t="str">
        <x:v>UI-079</x:v>
      </x:c>
      <x:c r="B130" s="14" t="str">
        <x:v>KRDS UI/UX</x:v>
      </x:c>
      <x:c r="C130" s="14" t="str">
        <x:v>UI 서비스 패턴</x:v>
      </x:c>
      <x:c r="D130" s="14" t="str">
        <x:v>재검색</x:v>
      </x:c>
      <x:c r="E130" s="14" t="str">
        <x:v>이전 검색어와 조건을 수정 가능하게 유지</x:v>
      </x:c>
      <x:c r="F130" s="14" t="str">
        <x:v>SRC-001</x:v>
      </x:c>
      <x:c r="G130" s="14" t="str">
        <x:v>서비스 패턴 / 검색 / 재검색 / p.968-972</x:v>
      </x:c>
      <x:c r="H130" s="14" t="str">
        <x:v>원문 등급 별도 확인</x:v>
      </x:c>
      <x:c r="I130" s="14" t="str">
        <x:v>MUST(안)</x:v>
      </x:c>
      <x:c r="J130" s="14" t="str">
        <x:v>적용</x:v>
      </x:c>
      <x:c r="K130" s="14" t="str">
        <x:v>업무요청 웹 샘플에 채택하는 회사 기준. 실제 이행은 구현 후 판정.</x:v>
      </x:c>
      <x:c r="L130" s="14" t="str">
        <x:v>검색 결과 위에서 검색어와 조건을 다시 편집</x:v>
      </x:c>
      <x:c r="M130" s="14" t="str">
        <x:v>재검색 후 불필요한 값 초기화 여부 확인</x:v>
      </x:c>
      <x:c r="N130" s="14" t="str">
        <x:v>UX·개발·QA</x:v>
      </x:c>
      <x:c r="O130" s="14" t="str">
        <x:v>P1</x:v>
      </x:c>
      <x:c r="P130" s="15" t="str">
        <x:v>계획</x:v>
      </x:c>
      <x:c r="Q130" s="15" t="str">
        <x:v>미실행</x:v>
      </x:c>
      <x:c r="R130" s="15" t="str">
        <x:v>미실행</x:v>
      </x:c>
      <x:c r="S130" s="15" t="str">
        <x:v>자동+수동</x:v>
      </x:c>
      <x:c r="T130" s="15" t="str"/>
      <x:c r="U130" s="15" t="str"/>
      <x:c r="V130" s="15" t="str"/>
      <x:c r="W130" s="15" t="str"/>
      <x:c r="X130" s="16" t="str"/>
      <x:c r="Y130" s="15" t="str"/>
      <x:c r="Z130" s="14" t="str">
        <x:f>IF(J130&lt;&gt;"적용","산정제외",IF(OR(Q130="실패",R130="실패"),"실패",IF(AND(P130="구현",T130&lt;&gt;"",U130&lt;&gt;"",V130&lt;&gt;"",W130&lt;&gt;"",ISNUMBER(X130),Y130="",OR(S130="수동",Q130="통과"),OR(S130="자동",R130="통과")),"통과","미검증")))</x:f>
        <x:v>미검증</x:v>
      </x:c>
      <x:c r="AA130" s="14" t="str">
        <x:v>KRDS-SEC-082</x:v>
      </x:c>
      <x:c r="AB130" s="14" t="str">
        <x:v>S03</x:v>
      </x:c>
    </x:row>
    <x:row r="131" ht="37.5" customHeight="1">
      <x:c r="A131" s="13" t="str">
        <x:v>UI-080</x:v>
      </x:c>
      <x:c r="B131" s="13" t="str">
        <x:v>KRDS UI/UX</x:v>
      </x:c>
      <x:c r="C131" s="13" t="str">
        <x:v>UI 서비스 패턴</x:v>
      </x:c>
      <x:c r="D131" s="13" t="str">
        <x:v>검색 종료</x:v>
      </x:c>
      <x:c r="E131" s="13" t="str">
        <x:v>검색에서 다른 업무로 자연스럽게 이동</x:v>
      </x:c>
      <x:c r="F131" s="13" t="str">
        <x:v>SRC-001</x:v>
      </x:c>
      <x:c r="G131" s="13" t="str">
        <x:v>서비스 패턴 / 검색 / 검색 종료 / p.973-976</x:v>
      </x:c>
      <x:c r="H131" s="13" t="str">
        <x:v>원문 등급 별도 확인</x:v>
      </x:c>
      <x:c r="I131" s="13" t="str">
        <x:v>MUST(안)</x:v>
      </x:c>
      <x:c r="J131" s="13" t="str">
        <x:v>적용</x:v>
      </x:c>
      <x:c r="K131" s="13" t="str">
        <x:v>업무요청 웹 샘플에 채택하는 회사 기준. 실제 이행은 구현 후 판정.</x:v>
      </x:c>
      <x:c r="L131" s="13" t="str">
        <x:v>검색 종료 후 목록·등록·도움말 등 관련 업무 이동수단 제공</x:v>
      </x:c>
      <x:c r="M131" s="13" t="str">
        <x:v>목적 달성·결과 없음 상황의 다음 행동 확인</x:v>
      </x:c>
      <x:c r="N131" s="13" t="str">
        <x:v>UX·개발·QA</x:v>
      </x:c>
      <x:c r="O131" s="13" t="str">
        <x:v>P1</x:v>
      </x:c>
      <x:c r="P131" s="15" t="str">
        <x:v>계획</x:v>
      </x:c>
      <x:c r="Q131" s="15" t="str">
        <x:v>미실행</x:v>
      </x:c>
      <x:c r="R131" s="15" t="str">
        <x:v>미실행</x:v>
      </x:c>
      <x:c r="S131" s="15" t="str">
        <x:v>자동+수동</x:v>
      </x:c>
      <x:c r="T131" s="15" t="str"/>
      <x:c r="U131" s="15" t="str"/>
      <x:c r="V131" s="15" t="str"/>
      <x:c r="W131" s="15" t="str"/>
      <x:c r="X131" s="16" t="str"/>
      <x:c r="Y131" s="15" t="str"/>
      <x:c r="Z131" s="13" t="str">
        <x:f>IF(J131&lt;&gt;"적용","산정제외",IF(OR(Q131="실패",R131="실패"),"실패",IF(AND(P131="구현",T131&lt;&gt;"",U131&lt;&gt;"",V131&lt;&gt;"",W131&lt;&gt;"",ISNUMBER(X131),Y131="",OR(S131="수동",Q131="통과"),OR(S131="자동",R131="통과")),"통과","미검증")))</x:f>
        <x:v>미검증</x:v>
      </x:c>
      <x:c r="AA131" s="13" t="str">
        <x:v>KRDS-SEC-083</x:v>
      </x:c>
      <x:c r="AB131" s="13" t="str">
        <x:v>S03</x:v>
      </x:c>
    </x:row>
    <x:row r="132" ht="37.5" customHeight="1">
      <x:c r="A132" s="14" t="str">
        <x:v>UI-081</x:v>
      </x:c>
      <x:c r="B132" s="14" t="str">
        <x:v>KRDS UI/UX</x:v>
      </x:c>
      <x:c r="C132" s="14" t="str">
        <x:v>UI 서비스 패턴</x:v>
      </x:c>
      <x:c r="D132" s="14" t="str">
        <x:v>로그인 기능 찾기</x:v>
      </x:c>
      <x:c r="E132" s="14" t="str">
        <x:v>로그인 진입을 일관되게 제공</x:v>
      </x:c>
      <x:c r="F132" s="14" t="str">
        <x:v>SRC-001</x:v>
      </x:c>
      <x:c r="G132" s="14" t="str">
        <x:v>서비스 패턴 / 로그인 / 로그인 기능 찾기 / p.980-987</x:v>
      </x:c>
      <x:c r="H132" s="14" t="str">
        <x:v>원문 등급 별도 확인</x:v>
      </x:c>
      <x:c r="I132" s="14" t="str">
        <x:v>MUST(안)</x:v>
      </x:c>
      <x:c r="J132" s="14" t="str">
        <x:v>적용</x:v>
      </x:c>
      <x:c r="K132" s="14" t="str">
        <x:v>업무요청 웹 샘플에 채택하는 회사 기준. 실제 이행은 구현 후 판정.</x:v>
      </x:c>
      <x:c r="L132" s="14" t="str">
        <x:v>헤더 로그인/사용자 메뉴와 보호화면 진입 안내</x:v>
      </x:c>
      <x:c r="M132" s="14" t="str">
        <x:v>비로그인·로그인 상태의 진입수단 확인</x:v>
      </x:c>
      <x:c r="N132" s="14" t="str">
        <x:v>UX·개발·QA</x:v>
      </x:c>
      <x:c r="O132" s="14" t="str">
        <x:v>P1</x:v>
      </x:c>
      <x:c r="P132" s="15" t="str">
        <x:v>계획</x:v>
      </x:c>
      <x:c r="Q132" s="15" t="str">
        <x:v>미실행</x:v>
      </x:c>
      <x:c r="R132" s="15" t="str">
        <x:v>미실행</x:v>
      </x:c>
      <x:c r="S132" s="15" t="str">
        <x:v>자동+수동</x:v>
      </x:c>
      <x:c r="T132" s="15" t="str"/>
      <x:c r="U132" s="15" t="str"/>
      <x:c r="V132" s="15" t="str"/>
      <x:c r="W132" s="15" t="str"/>
      <x:c r="X132" s="16" t="str"/>
      <x:c r="Y132" s="15" t="str"/>
      <x:c r="Z132" s="14" t="str">
        <x:f>IF(J132&lt;&gt;"적용","산정제외",IF(OR(Q132="실패",R132="실패"),"실패",IF(AND(P132="구현",T132&lt;&gt;"",U132&lt;&gt;"",V132&lt;&gt;"",W132&lt;&gt;"",ISNUMBER(X132),Y132="",OR(S132="수동",Q132="통과"),OR(S132="자동",R132="통과")),"통과","미검증")))</x:f>
        <x:v>미검증</x:v>
      </x:c>
      <x:c r="AA132" s="14" t="str">
        <x:v>KRDS-SEC-085</x:v>
      </x:c>
      <x:c r="AB132" s="14" t="str">
        <x:v>S01, S05</x:v>
      </x:c>
    </x:row>
    <x:row r="133" ht="37.5" customHeight="1">
      <x:c r="A133" s="13" t="str">
        <x:v>UI-082</x:v>
      </x:c>
      <x:c r="B133" s="13" t="str">
        <x:v>KRDS UI/UX</x:v>
      </x:c>
      <x:c r="C133" s="13" t="str">
        <x:v>UI 서비스 패턴</x:v>
      </x:c>
      <x:c r="D133" s="13" t="str">
        <x:v>로그인 안내</x:v>
      </x:c>
      <x:c r="E133" s="13" t="str">
        <x:v>인증 목적과 이용 범위를 사전 안내</x:v>
      </x:c>
      <x:c r="F133" s="13" t="str">
        <x:v>SRC-001</x:v>
      </x:c>
      <x:c r="G133" s="13" t="str">
        <x:v>서비스 패턴 / 로그인 / 로그인 안내 / p.988-997</x:v>
      </x:c>
      <x:c r="H133" s="13" t="str">
        <x:v>원문 등급 별도 확인</x:v>
      </x:c>
      <x:c r="I133" s="13" t="str">
        <x:v>MUST(안)</x:v>
      </x:c>
      <x:c r="J133" s="13" t="str">
        <x:v>적용</x:v>
      </x:c>
      <x:c r="K133" s="13" t="str">
        <x:v>업무요청 웹 샘플에 채택하는 회사 기준. 실제 이행은 구현 후 판정.</x:v>
      </x:c>
      <x:c r="L133" s="13" t="str">
        <x:v>데모 계정·역할·로그인이 필요한 기능을 명시</x:v>
      </x:c>
      <x:c r="M133" s="13" t="str">
        <x:v>설명과 실제 권한 범위의 일치 검토</x:v>
      </x:c>
      <x:c r="N133" s="13" t="str">
        <x:v>UX·개발·QA</x:v>
      </x:c>
      <x:c r="O133" s="13" t="str">
        <x:v>P1</x:v>
      </x:c>
      <x:c r="P133" s="15" t="str">
        <x:v>계획</x:v>
      </x:c>
      <x:c r="Q133" s="15" t="str">
        <x:v>미실행</x:v>
      </x:c>
      <x:c r="R133" s="15" t="str">
        <x:v>미실행</x:v>
      </x:c>
      <x:c r="S133" s="15" t="str">
        <x:v>자동+수동</x:v>
      </x:c>
      <x:c r="T133" s="15" t="str"/>
      <x:c r="U133" s="15" t="str"/>
      <x:c r="V133" s="15" t="str"/>
      <x:c r="W133" s="15" t="str"/>
      <x:c r="X133" s="16" t="str"/>
      <x:c r="Y133" s="15" t="str"/>
      <x:c r="Z133" s="13" t="str">
        <x:f>IF(J133&lt;&gt;"적용","산정제외",IF(OR(Q133="실패",R133="실패"),"실패",IF(AND(P133="구현",T133&lt;&gt;"",U133&lt;&gt;"",V133&lt;&gt;"",W133&lt;&gt;"",ISNUMBER(X133),Y133="",OR(S133="수동",Q133="통과"),OR(S133="자동",R133="통과")),"통과","미검증")))</x:f>
        <x:v>미검증</x:v>
      </x:c>
      <x:c r="AA133" s="13" t="str">
        <x:v>KRDS-SEC-086</x:v>
      </x:c>
      <x:c r="AB133" s="13" t="str">
        <x:v>S01, S05</x:v>
      </x:c>
    </x:row>
    <x:row r="134" ht="37.5" customHeight="1">
      <x:c r="A134" s="14" t="str">
        <x:v>UI-083</x:v>
      </x:c>
      <x:c r="B134" s="14" t="str">
        <x:v>KRDS UI/UX</x:v>
      </x:c>
      <x:c r="C134" s="14" t="str">
        <x:v>UI 서비스 패턴</x:v>
      </x:c>
      <x:c r="D134" s="14" t="str">
        <x:v>로그인 방식 확인·선택</x:v>
      </x:c>
      <x:c r="E134" s="14" t="str">
        <x:v>인증방식을 사용자 용어로 설명</x:v>
      </x:c>
      <x:c r="F134" s="14" t="str">
        <x:v>SRC-001</x:v>
      </x:c>
      <x:c r="G134" s="14" t="str">
        <x:v>서비스 패턴 / 로그인 / 로그인 방식 확인·선택 / p.998-1013</x:v>
      </x:c>
      <x:c r="H134" s="14" t="str">
        <x:v>원문 등급 별도 확인</x:v>
      </x:c>
      <x:c r="I134" s="14" t="str">
        <x:v>MUST(안)</x:v>
      </x:c>
      <x:c r="J134" s="14" t="str">
        <x:v>조건부</x:v>
      </x:c>
      <x:c r="K134" s="14" t="str">
        <x:v>해당 기능 또는 서비스 조건이 실제 범위에 포함될 때 적용.</x:v>
      </x:c>
      <x:c r="L134" s="14" t="str">
        <x:v>기본 샘플은 로컬 계정 하나로 시작; 여러 방식 추가 시 목적·사용절차 기준으로 설명</x:v>
      </x:c>
      <x:c r="M134" s="14" t="str">
        <x:v>복수 인증 도입 시 방식별 제약·도움말·접근성 확인</x:v>
      </x:c>
      <x:c r="N134" s="14" t="str">
        <x:v>UX·개발·QA</x:v>
      </x:c>
      <x:c r="O134" s="14" t="str">
        <x:v>P1</x:v>
      </x:c>
      <x:c r="P134" s="15" t="str">
        <x:v>계획</x:v>
      </x:c>
      <x:c r="Q134" s="15" t="str">
        <x:v>미실행</x:v>
      </x:c>
      <x:c r="R134" s="15" t="str">
        <x:v>미실행</x:v>
      </x:c>
      <x:c r="S134" s="15" t="str">
        <x:v>자동+수동</x:v>
      </x:c>
      <x:c r="T134" s="15" t="str"/>
      <x:c r="U134" s="15" t="str"/>
      <x:c r="V134" s="15" t="str"/>
      <x:c r="W134" s="15" t="str"/>
      <x:c r="X134" s="16" t="str"/>
      <x:c r="Y134" s="15" t="str"/>
      <x:c r="Z134" s="14" t="str">
        <x:f>IF(J134&lt;&gt;"적용","산정제외",IF(OR(Q134="실패",R134="실패"),"실패",IF(AND(P134="구현",T134&lt;&gt;"",U134&lt;&gt;"",V134&lt;&gt;"",W134&lt;&gt;"",ISNUMBER(X134),Y134="",OR(S134="수동",Q134="통과"),OR(S134="자동",R134="통과")),"통과","미검증")))</x:f>
        <x:v>산정제외</x:v>
      </x:c>
      <x:c r="AA134" s="14" t="str">
        <x:v>KRDS-SEC-087</x:v>
      </x:c>
      <x:c r="AB134" s="14" t="str">
        <x:v>S01, S05</x:v>
      </x:c>
    </x:row>
    <x:row r="135" ht="37.5" customHeight="1">
      <x:c r="A135" s="13" t="str">
        <x:v>UI-084</x:v>
      </x:c>
      <x:c r="B135" s="13" t="str">
        <x:v>KRDS UI/UX</x:v>
      </x:c>
      <x:c r="C135" s="13" t="str">
        <x:v>UI 서비스 패턴</x:v>
      </x:c>
      <x:c r="D135" s="13" t="str">
        <x:v>로그인 정보 입력</x:v>
      </x:c>
      <x:c r="E135" s="13" t="str">
        <x:v>입력·붙여넣기·자동완성과 오류 안내 지원</x:v>
      </x:c>
      <x:c r="F135" s="13" t="str">
        <x:v>SRC-001</x:v>
      </x:c>
      <x:c r="G135" s="13" t="str">
        <x:v>서비스 패턴 / 로그인 / 로그인 정보 입력 / p.1014-1026</x:v>
      </x:c>
      <x:c r="H135" s="13" t="str">
        <x:v>원문 등급 별도 확인</x:v>
      </x:c>
      <x:c r="I135" s="13" t="str">
        <x:v>MUST(안)</x:v>
      </x:c>
      <x:c r="J135" s="13" t="str">
        <x:v>적용</x:v>
      </x:c>
      <x:c r="K135" s="13" t="str">
        <x:v>업무요청 웹 샘플에 채택하는 회사 기준. 실제 이행은 구현 후 판정.</x:v>
      </x:c>
      <x:c r="L135" s="13" t="str">
        <x:v>아이디/암호 label·자동완성·암호 표시 전환, 붙여넣기 허용</x:v>
      </x:c>
      <x:c r="M135" s="13" t="str">
        <x:v>키보드·암호관리자·실패 메시지·재시도 확인</x:v>
      </x:c>
      <x:c r="N135" s="13" t="str">
        <x:v>UX·개발·QA</x:v>
      </x:c>
      <x:c r="O135" s="13" t="str">
        <x:v>P1</x:v>
      </x:c>
      <x:c r="P135" s="15" t="str">
        <x:v>계획</x:v>
      </x:c>
      <x:c r="Q135" s="15" t="str">
        <x:v>미실행</x:v>
      </x:c>
      <x:c r="R135" s="15" t="str">
        <x:v>미실행</x:v>
      </x:c>
      <x:c r="S135" s="15" t="str">
        <x:v>자동+수동</x:v>
      </x:c>
      <x:c r="T135" s="15" t="str"/>
      <x:c r="U135" s="15" t="str"/>
      <x:c r="V135" s="15" t="str"/>
      <x:c r="W135" s="15" t="str"/>
      <x:c r="X135" s="16" t="str"/>
      <x:c r="Y135" s="15" t="str"/>
      <x:c r="Z135" s="13" t="str">
        <x:f>IF(J135&lt;&gt;"적용","산정제외",IF(OR(Q135="실패",R135="실패"),"실패",IF(AND(P135="구현",T135&lt;&gt;"",U135&lt;&gt;"",V135&lt;&gt;"",W135&lt;&gt;"",ISNUMBER(X135),Y135="",OR(S135="수동",Q135="통과"),OR(S135="자동",R135="통과")),"통과","미검증")))</x:f>
        <x:v>미검증</x:v>
      </x:c>
      <x:c r="AA135" s="13" t="str">
        <x:v>KRDS-SEC-088</x:v>
      </x:c>
      <x:c r="AB135" s="13" t="str">
        <x:v>S01, S05</x:v>
      </x:c>
    </x:row>
    <x:row r="136" ht="37.5" customHeight="1">
      <x:c r="A136" s="14" t="str">
        <x:v>UI-085</x:v>
      </x:c>
      <x:c r="B136" s="14" t="str">
        <x:v>KRDS UI/UX</x:v>
      </x:c>
      <x:c r="C136" s="14" t="str">
        <x:v>UI 서비스 패턴</x:v>
      </x:c>
      <x:c r="D136" s="14" t="str">
        <x:v>로그인 완료</x:v>
      </x:c>
      <x:c r="E136" s="14" t="str">
        <x:v>로그인 결과와 다음 이동을 분명히 함</x:v>
      </x:c>
      <x:c r="F136" s="14" t="str">
        <x:v>SRC-001</x:v>
      </x:c>
      <x:c r="G136" s="14" t="str">
        <x:v>서비스 패턴 / 로그인 / 로그인 완료 / p.1027-1033</x:v>
      </x:c>
      <x:c r="H136" s="14" t="str">
        <x:v>원문 등급 별도 확인</x:v>
      </x:c>
      <x:c r="I136" s="14" t="str">
        <x:v>MUST(안)</x:v>
      </x:c>
      <x:c r="J136" s="14" t="str">
        <x:v>적용</x:v>
      </x:c>
      <x:c r="K136" s="14" t="str">
        <x:v>업무요청 웹 샘플에 채택하는 회사 기준. 실제 이행은 구현 후 판정.</x:v>
      </x:c>
      <x:c r="L136" s="14" t="str">
        <x:v>사용자·역할 상태를 알리고 원래 요청한 화면으로 이동</x:v>
      </x:c>
      <x:c r="M136" s="14" t="str">
        <x:v>리다이렉트·포커스·권한별 화면 확인</x:v>
      </x:c>
      <x:c r="N136" s="14" t="str">
        <x:v>UX·개발·QA</x:v>
      </x:c>
      <x:c r="O136" s="14" t="str">
        <x:v>P1</x:v>
      </x:c>
      <x:c r="P136" s="15" t="str">
        <x:v>계획</x:v>
      </x:c>
      <x:c r="Q136" s="15" t="str">
        <x:v>미실행</x:v>
      </x:c>
      <x:c r="R136" s="15" t="str">
        <x:v>미실행</x:v>
      </x:c>
      <x:c r="S136" s="15" t="str">
        <x:v>자동+수동</x:v>
      </x:c>
      <x:c r="T136" s="15" t="str"/>
      <x:c r="U136" s="15" t="str"/>
      <x:c r="V136" s="15" t="str"/>
      <x:c r="W136" s="15" t="str"/>
      <x:c r="X136" s="16" t="str"/>
      <x:c r="Y136" s="15" t="str"/>
      <x:c r="Z136" s="14" t="str">
        <x:f>IF(J136&lt;&gt;"적용","산정제외",IF(OR(Q136="실패",R136="실패"),"실패",IF(AND(P136="구현",T136&lt;&gt;"",U136&lt;&gt;"",V136&lt;&gt;"",W136&lt;&gt;"",ISNUMBER(X136),Y136="",OR(S136="수동",Q136="통과"),OR(S136="자동",R136="통과")),"통과","미검증")))</x:f>
        <x:v>미검증</x:v>
      </x:c>
      <x:c r="AA136" s="14" t="str">
        <x:v>KRDS-SEC-089</x:v>
      </x:c>
      <x:c r="AB136" s="14" t="str">
        <x:v>S01, S05</x:v>
      </x:c>
    </x:row>
    <x:row r="137" ht="37.5" customHeight="1">
      <x:c r="A137" s="13" t="str">
        <x:v>UI-086</x:v>
      </x:c>
      <x:c r="B137" s="13" t="str">
        <x:v>KRDS UI/UX</x:v>
      </x:c>
      <x:c r="C137" s="13" t="str">
        <x:v>UI 서비스 패턴</x:v>
      </x:c>
      <x:c r="D137" s="13" t="str">
        <x:v>서비스 이용</x:v>
      </x:c>
      <x:c r="E137" s="13" t="str">
        <x:v>세션 상태와 만료·연장 안내</x:v>
      </x:c>
      <x:c r="F137" s="13" t="str">
        <x:v>SRC-001</x:v>
      </x:c>
      <x:c r="G137" s="13" t="str">
        <x:v>서비스 패턴 / 로그인 / 서비스 이용 / p.1034-1042</x:v>
      </x:c>
      <x:c r="H137" s="13" t="str">
        <x:v>원문 등급 별도 확인</x:v>
      </x:c>
      <x:c r="I137" s="13" t="str">
        <x:v>MUST(안)</x:v>
      </x:c>
      <x:c r="J137" s="13" t="str">
        <x:v>적용</x:v>
      </x:c>
      <x:c r="K137" s="13" t="str">
        <x:v>업무요청 웹 샘플에 채택하는 회사 기준. 실제 이행은 구현 후 판정.</x:v>
      </x:c>
      <x:c r="L137" s="13" t="str">
        <x:v>세션 만료 전 경고·연장·입력 보존 계획 적용</x:v>
      </x:c>
      <x:c r="M137" s="13" t="str">
        <x:v>타임아웃·연장·재로그인 후 작업 복구 확인</x:v>
      </x:c>
      <x:c r="N137" s="13" t="str">
        <x:v>UX·개발·QA</x:v>
      </x:c>
      <x:c r="O137" s="13" t="str">
        <x:v>P1</x:v>
      </x:c>
      <x:c r="P137" s="15" t="str">
        <x:v>계획</x:v>
      </x:c>
      <x:c r="Q137" s="15" t="str">
        <x:v>미실행</x:v>
      </x:c>
      <x:c r="R137" s="15" t="str">
        <x:v>미실행</x:v>
      </x:c>
      <x:c r="S137" s="15" t="str">
        <x:v>자동+수동</x:v>
      </x:c>
      <x:c r="T137" s="15" t="str"/>
      <x:c r="U137" s="15" t="str"/>
      <x:c r="V137" s="15" t="str"/>
      <x:c r="W137" s="15" t="str"/>
      <x:c r="X137" s="16" t="str"/>
      <x:c r="Y137" s="15" t="str"/>
      <x:c r="Z137" s="13" t="str">
        <x:f>IF(J137&lt;&gt;"적용","산정제외",IF(OR(Q137="실패",R137="실패"),"실패",IF(AND(P137="구현",T137&lt;&gt;"",U137&lt;&gt;"",V137&lt;&gt;"",W137&lt;&gt;"",ISNUMBER(X137),Y137="",OR(S137="수동",Q137="통과"),OR(S137="자동",R137="통과")),"통과","미검증")))</x:f>
        <x:v>미검증</x:v>
      </x:c>
      <x:c r="AA137" s="13" t="str">
        <x:v>KRDS-SEC-090</x:v>
      </x:c>
      <x:c r="AB137" s="13" t="str">
        <x:v>S01, S05</x:v>
      </x:c>
    </x:row>
    <x:row r="138" ht="37.5" customHeight="1">
      <x:c r="A138" s="14" t="str">
        <x:v>UI-087</x:v>
      </x:c>
      <x:c r="B138" s="14" t="str">
        <x:v>KRDS UI/UX</x:v>
      </x:c>
      <x:c r="C138" s="14" t="str">
        <x:v>UI 서비스 패턴</x:v>
      </x:c>
      <x:c r="D138" s="14" t="str">
        <x:v>로그아웃</x:v>
      </x:c>
      <x:c r="E138" s="14" t="str">
        <x:v>명확한 종료와 보호 데이터 처리</x:v>
      </x:c>
      <x:c r="F138" s="14" t="str">
        <x:v>SRC-001</x:v>
      </x:c>
      <x:c r="G138" s="14" t="str">
        <x:v>서비스 패턴 / 로그인 / 로그아웃 / p.1043-1051</x:v>
      </x:c>
      <x:c r="H138" s="14" t="str">
        <x:v>원문 등급 별도 확인</x:v>
      </x:c>
      <x:c r="I138" s="14" t="str">
        <x:v>MUST(안)</x:v>
      </x:c>
      <x:c r="J138" s="14" t="str">
        <x:v>적용</x:v>
      </x:c>
      <x:c r="K138" s="14" t="str">
        <x:v>업무요청 웹 샘플에 채택하는 회사 기준. 실제 이행은 구현 후 판정.</x:v>
      </x:c>
      <x:c r="L138" s="14" t="str">
        <x:v>로그아웃 수단·완료안내, 서버 세션 종료 및 보호화면 접근 제한</x:v>
      </x:c>
      <x:c r="M138" s="14" t="str">
        <x:v>로그아웃 뒤 뒤로가기·API 재요청 시 권한 확인</x:v>
      </x:c>
      <x:c r="N138" s="14" t="str">
        <x:v>UX·개발·QA</x:v>
      </x:c>
      <x:c r="O138" s="14" t="str">
        <x:v>P1</x:v>
      </x:c>
      <x:c r="P138" s="15" t="str">
        <x:v>계획</x:v>
      </x:c>
      <x:c r="Q138" s="15" t="str">
        <x:v>미실행</x:v>
      </x:c>
      <x:c r="R138" s="15" t="str">
        <x:v>미실행</x:v>
      </x:c>
      <x:c r="S138" s="15" t="str">
        <x:v>자동+수동</x:v>
      </x:c>
      <x:c r="T138" s="15" t="str"/>
      <x:c r="U138" s="15" t="str"/>
      <x:c r="V138" s="15" t="str"/>
      <x:c r="W138" s="15" t="str"/>
      <x:c r="X138" s="16" t="str"/>
      <x:c r="Y138" s="15" t="str"/>
      <x:c r="Z138" s="14" t="str">
        <x:f>IF(J138&lt;&gt;"적용","산정제외",IF(OR(Q138="실패",R138="실패"),"실패",IF(AND(P138="구현",T138&lt;&gt;"",U138&lt;&gt;"",V138&lt;&gt;"",W138&lt;&gt;"",ISNUMBER(X138),Y138="",OR(S138="수동",Q138="통과"),OR(S138="자동",R138="통과")),"통과","미검증")))</x:f>
        <x:v>미검증</x:v>
      </x:c>
      <x:c r="AA138" s="14" t="str">
        <x:v>KRDS-SEC-091</x:v>
      </x:c>
      <x:c r="AB138" s="14" t="str">
        <x:v>S01, S05</x:v>
      </x:c>
    </x:row>
    <x:row r="139" ht="37.5" customHeight="1">
      <x:c r="A139" s="13" t="str">
        <x:v>UI-088</x:v>
      </x:c>
      <x:c r="B139" s="13" t="str">
        <x:v>KRDS UI/UX</x:v>
      </x:c>
      <x:c r="C139" s="13" t="str">
        <x:v>UI 서비스 패턴</x:v>
      </x:c>
      <x:c r="D139" s="13" t="str">
        <x:v>신청 대상 탐색</x:v>
      </x:c>
      <x:c r="E139" s="13" t="str">
        <x:v>적절한 요청 유형을 찾도록 안내</x:v>
      </x:c>
      <x:c r="F139" s="13" t="str">
        <x:v>SRC-001</x:v>
      </x:c>
      <x:c r="G139" s="13" t="str">
        <x:v>서비스 패턴 / 신청 / 신청 대상 탐색 / p.1055-1068</x:v>
      </x:c>
      <x:c r="H139" s="13" t="str">
        <x:v>원문 등급 별도 확인</x:v>
      </x:c>
      <x:c r="I139" s="13" t="str">
        <x:v>MUST(안)</x:v>
      </x:c>
      <x:c r="J139" s="13" t="str">
        <x:v>적용</x:v>
      </x:c>
      <x:c r="K139" s="13" t="str">
        <x:v>업무요청 웹 샘플에 채택하는 회사 기준. 실제 이행은 구현 후 판정.</x:v>
      </x:c>
      <x:c r="L139" s="13" t="str">
        <x:v>업무 요청 유형·설명·대상·담당부서를 제시</x:v>
      </x:c>
      <x:c r="M139" s="13" t="str">
        <x:v>검색/목록에서 적합한 업무 선택 과업</x:v>
      </x:c>
      <x:c r="N139" s="13" t="str">
        <x:v>UX·개발·QA</x:v>
      </x:c>
      <x:c r="O139" s="13" t="str">
        <x:v>P1</x:v>
      </x:c>
      <x:c r="P139" s="15" t="str">
        <x:v>계획</x:v>
      </x:c>
      <x:c r="Q139" s="15" t="str">
        <x:v>미실행</x:v>
      </x:c>
      <x:c r="R139" s="15" t="str">
        <x:v>미실행</x:v>
      </x:c>
      <x:c r="S139" s="15" t="str">
        <x:v>자동+수동</x:v>
      </x:c>
      <x:c r="T139" s="15" t="str"/>
      <x:c r="U139" s="15" t="str"/>
      <x:c r="V139" s="15" t="str"/>
      <x:c r="W139" s="15" t="str"/>
      <x:c r="X139" s="16" t="str"/>
      <x:c r="Y139" s="15" t="str"/>
      <x:c r="Z139" s="13" t="str">
        <x:f>IF(J139&lt;&gt;"적용","산정제외",IF(OR(Q139="실패",R139="실패"),"실패",IF(AND(P139="구현",T139&lt;&gt;"",U139&lt;&gt;"",V139&lt;&gt;"",W139&lt;&gt;"",ISNUMBER(X139),Y139="",OR(S139="수동",Q139="통과"),OR(S139="자동",R139="통과")),"통과","미검증")))</x:f>
        <x:v>미검증</x:v>
      </x:c>
      <x:c r="AA139" s="13" t="str">
        <x:v>KRDS-SEC-093</x:v>
      </x:c>
      <x:c r="AB139" s="13" t="str">
        <x:v>S05</x:v>
      </x:c>
    </x:row>
    <x:row r="140" ht="37.5" customHeight="1">
      <x:c r="A140" s="14" t="str">
        <x:v>UI-089</x:v>
      </x:c>
      <x:c r="B140" s="14" t="str">
        <x:v>KRDS UI/UX</x:v>
      </x:c>
      <x:c r="C140" s="14" t="str">
        <x:v>UI 서비스 패턴</x:v>
      </x:c>
      <x:c r="D140" s="14" t="str">
        <x:v>서비스 정보 확인</x:v>
      </x:c>
      <x:c r="E140" s="14" t="str">
        <x:v>신청 전에 절차·필요자료·처리정보 안내</x:v>
      </x:c>
      <x:c r="F140" s="14" t="str">
        <x:v>SRC-001</x:v>
      </x:c>
      <x:c r="G140" s="14" t="str">
        <x:v>서비스 패턴 / 신청 / 서비스 정보 확인 / p.1069-1087</x:v>
      </x:c>
      <x:c r="H140" s="14" t="str">
        <x:v>원문 등급 별도 확인</x:v>
      </x:c>
      <x:c r="I140" s="14" t="str">
        <x:v>MUST(안)</x:v>
      </x:c>
      <x:c r="J140" s="14" t="str">
        <x:v>적용</x:v>
      </x:c>
      <x:c r="K140" s="14" t="str">
        <x:v>업무요청 웹 샘플에 채택하는 회사 기준. 실제 이행은 구현 후 판정.</x:v>
      </x:c>
      <x:c r="L140" s="14" t="str">
        <x:v>요청 작성 전 필수 입력·첨부 규격·처리흐름 안내</x:v>
      </x:c>
      <x:c r="M140" s="14" t="str">
        <x:v>실제 양식·제약과 안내문 일치 확인</x:v>
      </x:c>
      <x:c r="N140" s="14" t="str">
        <x:v>UX·개발·QA</x:v>
      </x:c>
      <x:c r="O140" s="14" t="str">
        <x:v>P1</x:v>
      </x:c>
      <x:c r="P140" s="15" t="str">
        <x:v>계획</x:v>
      </x:c>
      <x:c r="Q140" s="15" t="str">
        <x:v>미실행</x:v>
      </x:c>
      <x:c r="R140" s="15" t="str">
        <x:v>미실행</x:v>
      </x:c>
      <x:c r="S140" s="15" t="str">
        <x:v>자동+수동</x:v>
      </x:c>
      <x:c r="T140" s="15" t="str"/>
      <x:c r="U140" s="15" t="str"/>
      <x:c r="V140" s="15" t="str"/>
      <x:c r="W140" s="15" t="str"/>
      <x:c r="X140" s="16" t="str"/>
      <x:c r="Y140" s="15" t="str"/>
      <x:c r="Z140" s="14" t="str">
        <x:f>IF(J140&lt;&gt;"적용","산정제외",IF(OR(Q140="실패",R140="실패"),"실패",IF(AND(P140="구현",T140&lt;&gt;"",U140&lt;&gt;"",V140&lt;&gt;"",W140&lt;&gt;"",ISNUMBER(X140),Y140="",OR(S140="수동",Q140="통과"),OR(S140="자동",R140="통과")),"통과","미검증")))</x:f>
        <x:v>미검증</x:v>
      </x:c>
      <x:c r="AA140" s="14" t="str">
        <x:v>KRDS-SEC-094</x:v>
      </x:c>
      <x:c r="AB140" s="14" t="str">
        <x:v>S04, S05</x:v>
      </x:c>
    </x:row>
    <x:row r="141" ht="37.5" customHeight="1">
      <x:c r="A141" s="13" t="str">
        <x:v>UI-090</x:v>
      </x:c>
      <x:c r="B141" s="13" t="str">
        <x:v>KRDS UI/UX</x:v>
      </x:c>
      <x:c r="C141" s="13" t="str">
        <x:v>UI 서비스 패턴</x:v>
      </x:c>
      <x:c r="D141" s="13" t="str">
        <x:v>유의 사항·자격 확인</x:v>
      </x:c>
      <x:c r="E141" s="13" t="str">
        <x:v>진행 가능 조건과 유의점을 먼저 확인</x:v>
      </x:c>
      <x:c r="F141" s="13" t="str">
        <x:v>SRC-001</x:v>
      </x:c>
      <x:c r="G141" s="13" t="str">
        <x:v>서비스 패턴 / 신청 / 유의 사항·자격 확인 / p.1088-1096</x:v>
      </x:c>
      <x:c r="H141" s="13" t="str">
        <x:v>원문 등급 별도 확인</x:v>
      </x:c>
      <x:c r="I141" s="13" t="str">
        <x:v>MUST(안)</x:v>
      </x:c>
      <x:c r="J141" s="13" t="str">
        <x:v>적용</x:v>
      </x:c>
      <x:c r="K141" s="13" t="str">
        <x:v>업무요청 웹 샘플에 채택하는 회사 기준. 실제 이행은 구현 후 판정.</x:v>
      </x:c>
      <x:c r="L141" s="13" t="str">
        <x:v>역할별 요청 가능 범위와 필수 자료를 사전 표시</x:v>
      </x:c>
      <x:c r="M141" s="13" t="str">
        <x:v>권한 부족·누락 자료에서 이해 가능한 대안 제공</x:v>
      </x:c>
      <x:c r="N141" s="13" t="str">
        <x:v>UX·개발·QA</x:v>
      </x:c>
      <x:c r="O141" s="13" t="str">
        <x:v>P1</x:v>
      </x:c>
      <x:c r="P141" s="15" t="str">
        <x:v>계획</x:v>
      </x:c>
      <x:c r="Q141" s="15" t="str">
        <x:v>미실행</x:v>
      </x:c>
      <x:c r="R141" s="15" t="str">
        <x:v>미실행</x:v>
      </x:c>
      <x:c r="S141" s="15" t="str">
        <x:v>자동+수동</x:v>
      </x:c>
      <x:c r="T141" s="15" t="str"/>
      <x:c r="U141" s="15" t="str"/>
      <x:c r="V141" s="15" t="str"/>
      <x:c r="W141" s="15" t="str"/>
      <x:c r="X141" s="16" t="str"/>
      <x:c r="Y141" s="15" t="str"/>
      <x:c r="Z141" s="13" t="str">
        <x:f>IF(J141&lt;&gt;"적용","산정제외",IF(OR(Q141="실패",R141="실패"),"실패",IF(AND(P141="구현",T141&lt;&gt;"",U141&lt;&gt;"",V141&lt;&gt;"",W141&lt;&gt;"",ISNUMBER(X141),Y141="",OR(S141="수동",Q141="통과"),OR(S141="자동",R141="통과")),"통과","미검증")))</x:f>
        <x:v>미검증</x:v>
      </x:c>
      <x:c r="AA141" s="13" t="str">
        <x:v>KRDS-SEC-095</x:v>
      </x:c>
      <x:c r="AB141" s="13" t="str">
        <x:v>S01~S08 / 공통</x:v>
      </x:c>
    </x:row>
    <x:row r="142" ht="37.5" customHeight="1">
      <x:c r="A142" s="14" t="str">
        <x:v>UI-091</x:v>
      </x:c>
      <x:c r="B142" s="14" t="str">
        <x:v>KRDS UI/UX</x:v>
      </x:c>
      <x:c r="C142" s="14" t="str">
        <x:v>UI 서비스 패턴</x:v>
      </x:c>
      <x:c r="D142" s="14" t="str">
        <x:v>신청서 작성</x:v>
      </x:c>
      <x:c r="E142" s="14" t="str">
        <x:v>입력과 단계 이동을 안정적으로 수행</x:v>
      </x:c>
      <x:c r="F142" s="14" t="str">
        <x:v>SRC-001</x:v>
      </x:c>
      <x:c r="G142" s="14" t="str">
        <x:v>서비스 패턴 / 신청 / 신청서 작성 / p.1097-1111</x:v>
      </x:c>
      <x:c r="H142" s="14" t="str">
        <x:v>원문 등급 별도 확인</x:v>
      </x:c>
      <x:c r="I142" s="14" t="str">
        <x:v>MUST(안)</x:v>
      </x:c>
      <x:c r="J142" s="14" t="str">
        <x:v>적용</x:v>
      </x:c>
      <x:c r="K142" s="14" t="str">
        <x:v>업무요청 웹 샘플에 채택하는 회사 기준. 실제 이행은 구현 후 판정.</x:v>
      </x:c>
      <x:c r="L142" s="14" t="str">
        <x:v>기본정보·첨부·검토 단계, 입력 보존·오류 수정 제공</x:v>
      </x:c>
      <x:c r="M142" s="14" t="str">
        <x:v>등록/수정·뒤로가기·네트워크 실패 복구 테스트</x:v>
      </x:c>
      <x:c r="N142" s="14" t="str">
        <x:v>UX·개발·QA</x:v>
      </x:c>
      <x:c r="O142" s="14" t="str">
        <x:v>P1</x:v>
      </x:c>
      <x:c r="P142" s="15" t="str">
        <x:v>계획</x:v>
      </x:c>
      <x:c r="Q142" s="15" t="str">
        <x:v>미실행</x:v>
      </x:c>
      <x:c r="R142" s="15" t="str">
        <x:v>미실행</x:v>
      </x:c>
      <x:c r="S142" s="15" t="str">
        <x:v>자동+수동</x:v>
      </x:c>
      <x:c r="T142" s="15" t="str"/>
      <x:c r="U142" s="15" t="str"/>
      <x:c r="V142" s="15" t="str"/>
      <x:c r="W142" s="15" t="str"/>
      <x:c r="X142" s="16" t="str"/>
      <x:c r="Y142" s="15" t="str"/>
      <x:c r="Z142" s="14" t="str">
        <x:f>IF(J142&lt;&gt;"적용","산정제외",IF(OR(Q142="실패",R142="실패"),"실패",IF(AND(P142="구현",T142&lt;&gt;"",U142&lt;&gt;"",V142&lt;&gt;"",W142&lt;&gt;"",ISNUMBER(X142),Y142="",OR(S142="수동",Q142="통과"),OR(S142="자동",R142="통과")),"통과","미검증")))</x:f>
        <x:v>미검증</x:v>
      </x:c>
      <x:c r="AA142" s="14" t="str">
        <x:v>KRDS-SEC-096</x:v>
      </x:c>
      <x:c r="AB142" s="14" t="str">
        <x:v>S04, S05</x:v>
      </x:c>
    </x:row>
    <x:row r="143" ht="37.5" customHeight="1">
      <x:c r="A143" s="13" t="str">
        <x:v>UI-092</x:v>
      </x:c>
      <x:c r="B143" s="13" t="str">
        <x:v>KRDS UI/UX</x:v>
      </x:c>
      <x:c r="C143" s="13" t="str">
        <x:v>UI 서비스 패턴</x:v>
      </x:c>
      <x:c r="D143" s="13" t="str">
        <x:v>확인·확정</x:v>
      </x:c>
      <x:c r="E143" s="13" t="str">
        <x:v>제출 전에 입력 내용을 확인·수정</x:v>
      </x:c>
      <x:c r="F143" s="13" t="str">
        <x:v>SRC-001</x:v>
      </x:c>
      <x:c r="G143" s="13" t="str">
        <x:v>서비스 패턴 / 신청 / 확인·확정 / p.1112-1120</x:v>
      </x:c>
      <x:c r="H143" s="13" t="str">
        <x:v>원문 등급 별도 확인</x:v>
      </x:c>
      <x:c r="I143" s="13" t="str">
        <x:v>MUST(안)</x:v>
      </x:c>
      <x:c r="J143" s="13" t="str">
        <x:v>적용</x:v>
      </x:c>
      <x:c r="K143" s="13" t="str">
        <x:v>업무요청 웹 샘플에 채택하는 회사 기준. 실제 이행은 구현 후 판정.</x:v>
      </x:c>
      <x:c r="L143" s="13" t="str">
        <x:v>최종 검토 화면에 항목별 수정 링크와 제출/취소 제공</x:v>
      </x:c>
      <x:c r="M143" s="13" t="str">
        <x:v>중복 제출·수정 복귀·취소·접근 가능한 검토 확인</x:v>
      </x:c>
      <x:c r="N143" s="13" t="str">
        <x:v>UX·개발·QA</x:v>
      </x:c>
      <x:c r="O143" s="13" t="str">
        <x:v>P1</x:v>
      </x:c>
      <x:c r="P143" s="15" t="str">
        <x:v>계획</x:v>
      </x:c>
      <x:c r="Q143" s="15" t="str">
        <x:v>미실행</x:v>
      </x:c>
      <x:c r="R143" s="15" t="str">
        <x:v>미실행</x:v>
      </x:c>
      <x:c r="S143" s="15" t="str">
        <x:v>자동+수동</x:v>
      </x:c>
      <x:c r="T143" s="15" t="str"/>
      <x:c r="U143" s="15" t="str"/>
      <x:c r="V143" s="15" t="str"/>
      <x:c r="W143" s="15" t="str"/>
      <x:c r="X143" s="16" t="str"/>
      <x:c r="Y143" s="15" t="str"/>
      <x:c r="Z143" s="13" t="str">
        <x:f>IF(J143&lt;&gt;"적용","산정제외",IF(OR(Q143="실패",R143="실패"),"실패",IF(AND(P143="구현",T143&lt;&gt;"",U143&lt;&gt;"",V143&lt;&gt;"",W143&lt;&gt;"",ISNUMBER(X143),Y143="",OR(S143="수동",Q143="통과"),OR(S143="자동",R143="통과")),"통과","미검증")))</x:f>
        <x:v>미검증</x:v>
      </x:c>
      <x:c r="AA143" s="13" t="str">
        <x:v>KRDS-SEC-097</x:v>
      </x:c>
      <x:c r="AB143" s="13" t="str">
        <x:v>S05</x:v>
      </x:c>
    </x:row>
    <x:row r="144" ht="37.5" customHeight="1">
      <x:c r="A144" s="14" t="str">
        <x:v>UI-093</x:v>
      </x:c>
      <x:c r="B144" s="14" t="str">
        <x:v>KRDS UI/UX</x:v>
      </x:c>
      <x:c r="C144" s="14" t="str">
        <x:v>UI 서비스 패턴</x:v>
      </x:c>
      <x:c r="D144" s="14" t="str">
        <x:v>완료</x:v>
      </x:c>
      <x:c r="E144" s="14" t="str">
        <x:v>처리 완료 여부와 후속 행동 안내</x:v>
      </x:c>
      <x:c r="F144" s="14" t="str">
        <x:v>SRC-001</x:v>
      </x:c>
      <x:c r="G144" s="14" t="str">
        <x:v>서비스 패턴 / 신청 / 완료 / p.1121-1128</x:v>
      </x:c>
      <x:c r="H144" s="14" t="str">
        <x:v>원문 등급 별도 확인</x:v>
      </x:c>
      <x:c r="I144" s="14" t="str">
        <x:v>MUST(안)</x:v>
      </x:c>
      <x:c r="J144" s="14" t="str">
        <x:v>적용</x:v>
      </x:c>
      <x:c r="K144" s="14" t="str">
        <x:v>업무요청 웹 샘플에 채택하는 회사 기준. 실제 이행은 구현 후 판정.</x:v>
      </x:c>
      <x:c r="L144" s="14" t="str">
        <x:v>접수번호·접수시각·현재상태·내 요청 보기 제공</x:v>
      </x:c>
      <x:c r="M144" s="14" t="str">
        <x:v>실제 저장값과 안내 일치·새로고침 중복 방지 확인</x:v>
      </x:c>
      <x:c r="N144" s="14" t="str">
        <x:v>UX·개발·QA</x:v>
      </x:c>
      <x:c r="O144" s="14" t="str">
        <x:v>P1</x:v>
      </x:c>
      <x:c r="P144" s="15" t="str">
        <x:v>계획</x:v>
      </x:c>
      <x:c r="Q144" s="15" t="str">
        <x:v>미실행</x:v>
      </x:c>
      <x:c r="R144" s="15" t="str">
        <x:v>미실행</x:v>
      </x:c>
      <x:c r="S144" s="15" t="str">
        <x:v>자동+수동</x:v>
      </x:c>
      <x:c r="T144" s="15" t="str"/>
      <x:c r="U144" s="15" t="str"/>
      <x:c r="V144" s="15" t="str"/>
      <x:c r="W144" s="15" t="str"/>
      <x:c r="X144" s="16" t="str"/>
      <x:c r="Y144" s="15" t="str"/>
      <x:c r="Z144" s="14" t="str">
        <x:f>IF(J144&lt;&gt;"적용","산정제외",IF(OR(Q144="실패",R144="실패"),"실패",IF(AND(P144="구현",T144&lt;&gt;"",U144&lt;&gt;"",V144&lt;&gt;"",W144&lt;&gt;"",ISNUMBER(X144),Y144="",OR(S144="수동",Q144="통과"),OR(S144="자동",R144="통과")),"통과","미검증")))</x:f>
        <x:v>미검증</x:v>
      </x:c>
      <x:c r="AA144" s="14" t="str">
        <x:v>KRDS-SEC-098</x:v>
      </x:c>
      <x:c r="AB144" s="14" t="str">
        <x:v>S05</x:v>
      </x:c>
    </x:row>
    <x:row r="145" ht="37.5" customHeight="1">
      <x:c r="A145" s="13" t="str">
        <x:v>UI-094</x:v>
      </x:c>
      <x:c r="B145" s="13" t="str">
        <x:v>KRDS UI/UX</x:v>
      </x:c>
      <x:c r="C145" s="13" t="str">
        <x:v>UI 서비스 패턴</x:v>
      </x:c>
      <x:c r="D145" s="13" t="str">
        <x:v>신청 결과 확인</x:v>
      </x:c>
      <x:c r="E145" s="13" t="str">
        <x:v>접수 후 상태와 이력을 확인</x:v>
      </x:c>
      <x:c r="F145" s="13" t="str">
        <x:v>SRC-001</x:v>
      </x:c>
      <x:c r="G145" s="13" t="str">
        <x:v>서비스 패턴 / 신청 / 신청 결과 확인 / p.1129-1142</x:v>
      </x:c>
      <x:c r="H145" s="13" t="str">
        <x:v>원문 등급 별도 확인</x:v>
      </x:c>
      <x:c r="I145" s="13" t="str">
        <x:v>MUST(안)</x:v>
      </x:c>
      <x:c r="J145" s="13" t="str">
        <x:v>적용</x:v>
      </x:c>
      <x:c r="K145" s="13" t="str">
        <x:v>업무요청 웹 샘플에 채택하는 회사 기준. 실제 이행은 구현 후 판정.</x:v>
      </x:c>
      <x:c r="L145" s="13" t="str">
        <x:v>내 요청·상세에서 처리상태·담당자·상태 변경 이력 제공</x:v>
      </x:c>
      <x:c r="M145" s="13" t="str">
        <x:v>권한별 목록·상세·상태변경 반영 테스트</x:v>
      </x:c>
      <x:c r="N145" s="13" t="str">
        <x:v>UX·개발·QA</x:v>
      </x:c>
      <x:c r="O145" s="13" t="str">
        <x:v>P1</x:v>
      </x:c>
      <x:c r="P145" s="15" t="str">
        <x:v>계획</x:v>
      </x:c>
      <x:c r="Q145" s="15" t="str">
        <x:v>미실행</x:v>
      </x:c>
      <x:c r="R145" s="15" t="str">
        <x:v>미실행</x:v>
      </x:c>
      <x:c r="S145" s="15" t="str">
        <x:v>자동+수동</x:v>
      </x:c>
      <x:c r="T145" s="15" t="str"/>
      <x:c r="U145" s="15" t="str"/>
      <x:c r="V145" s="15" t="str"/>
      <x:c r="W145" s="15" t="str"/>
      <x:c r="X145" s="16" t="str"/>
      <x:c r="Y145" s="15" t="str"/>
      <x:c r="Z145" s="13" t="str">
        <x:f>IF(J145&lt;&gt;"적용","산정제외",IF(OR(Q145="실패",R145="실패"),"실패",IF(AND(P145="구현",T145&lt;&gt;"",U145&lt;&gt;"",V145&lt;&gt;"",W145&lt;&gt;"",ISNUMBER(X145),Y145="",OR(S145="수동",Q145="통과"),OR(S145="자동",R145="통과")),"통과","미검증")))</x:f>
        <x:v>미검증</x:v>
      </x:c>
      <x:c r="AA145" s="13" t="str">
        <x:v>KRDS-SEC-099</x:v>
      </x:c>
      <x:c r="AB145" s="13" t="str">
        <x:v>S05</x:v>
      </x:c>
    </x:row>
    <x:row r="146" ht="37.5" customHeight="1">
      <x:c r="A146" s="14" t="str">
        <x:v>UI-095</x:v>
      </x:c>
      <x:c r="B146" s="14" t="str">
        <x:v>KRDS UI/UX</x:v>
      </x:c>
      <x:c r="C146" s="14" t="str">
        <x:v>UI 서비스 패턴</x:v>
      </x:c>
      <x:c r="D146" s="14" t="str">
        <x:v>정책 탐색</x:v>
      </x:c>
      <x:c r="E146" s="14" t="str">
        <x:v>정책 또는 처리기준의 탐색 경로 제공</x:v>
      </x:c>
      <x:c r="F146" s="14" t="str">
        <x:v>SRC-001</x:v>
      </x:c>
      <x:c r="G146" s="14" t="str">
        <x:v>서비스 패턴 / 정책 정보 확인 / 정책 탐색 / p.1146-1154</x:v>
      </x:c>
      <x:c r="H146" s="14" t="str">
        <x:v>원문 등급 별도 확인</x:v>
      </x:c>
      <x:c r="I146" s="14" t="str">
        <x:v>MUST(안)</x:v>
      </x:c>
      <x:c r="J146" s="14" t="str">
        <x:v>조건부</x:v>
      </x:c>
      <x:c r="K146" s="14" t="str">
        <x:v>해당 기능 또는 서비스 조건이 실제 범위에 포함될 때 적용.</x:v>
      </x:c>
      <x:c r="L146" s="14" t="str">
        <x:v>샘플은 도움말/업무 처리기준 콘텐츠에 패턴을 참고</x:v>
      </x:c>
      <x:c r="M146" s="14" t="str">
        <x:v>정책 기능 추가 시 탐색·분류·최신성 점검</x:v>
      </x:c>
      <x:c r="N146" s="14" t="str">
        <x:v>UX·개발·QA</x:v>
      </x:c>
      <x:c r="O146" s="14" t="str">
        <x:v>P1</x:v>
      </x:c>
      <x:c r="P146" s="15" t="str">
        <x:v>계획</x:v>
      </x:c>
      <x:c r="Q146" s="15" t="str">
        <x:v>미실행</x:v>
      </x:c>
      <x:c r="R146" s="15" t="str">
        <x:v>미실행</x:v>
      </x:c>
      <x:c r="S146" s="15" t="str">
        <x:v>자동+수동</x:v>
      </x:c>
      <x:c r="T146" s="15" t="str"/>
      <x:c r="U146" s="15" t="str"/>
      <x:c r="V146" s="15" t="str"/>
      <x:c r="W146" s="15" t="str"/>
      <x:c r="X146" s="16" t="str"/>
      <x:c r="Y146" s="15" t="str"/>
      <x:c r="Z146" s="14" t="str">
        <x:f>IF(J146&lt;&gt;"적용","산정제외",IF(OR(Q146="실패",R146="실패"),"실패",IF(AND(P146="구현",T146&lt;&gt;"",U146&lt;&gt;"",V146&lt;&gt;"",W146&lt;&gt;"",ISNUMBER(X146),Y146="",OR(S146="수동",Q146="통과"),OR(S146="자동",R146="통과")),"통과","미검증")))</x:f>
        <x:v>산정제외</x:v>
      </x:c>
      <x:c r="AA146" s="14" t="str">
        <x:v>KRDS-SEC-101</x:v>
      </x:c>
      <x:c r="AB146" s="14" t="str">
        <x:v>S01~S08 / 공통</x:v>
      </x:c>
    </x:row>
    <x:row r="147" ht="37.5" customHeight="1">
      <x:c r="A147" s="13" t="str">
        <x:v>UI-096</x:v>
      </x:c>
      <x:c r="B147" s="13" t="str">
        <x:v>KRDS UI/UX</x:v>
      </x:c>
      <x:c r="C147" s="13" t="str">
        <x:v>UI 서비스 패턴</x:v>
      </x:c>
      <x:c r="D147" s="13" t="str">
        <x:v>정보 확인</x:v>
      </x:c>
      <x:c r="E147" s="13" t="str">
        <x:v>정책 내용의 정확성과 이해도 관리</x:v>
      </x:c>
      <x:c r="F147" s="13" t="str">
        <x:v>SRC-001</x:v>
      </x:c>
      <x:c r="G147" s="13" t="str">
        <x:v>서비스 패턴 / 정책 정보 확인 / 정보 확인 / p.1155-1164</x:v>
      </x:c>
      <x:c r="H147" s="13" t="str">
        <x:v>원문 등급 별도 확인</x:v>
      </x:c>
      <x:c r="I147" s="13" t="str">
        <x:v>MUST(안)</x:v>
      </x:c>
      <x:c r="J147" s="13" t="str">
        <x:v>조건부</x:v>
      </x:c>
      <x:c r="K147" s="13" t="str">
        <x:v>해당 기능 또는 서비스 조건이 실제 범위에 포함될 때 적용.</x:v>
      </x:c>
      <x:c r="L147" s="13" t="str">
        <x:v>적용 대상·시행일·담당자·문의수단을 구조화</x:v>
      </x:c>
      <x:c r="M147" s="13" t="str">
        <x:v>개정 이력·정확성·읽기 쉬운 설명 점검</x:v>
      </x:c>
      <x:c r="N147" s="13" t="str">
        <x:v>UX·개발·QA</x:v>
      </x:c>
      <x:c r="O147" s="13" t="str">
        <x:v>P1</x:v>
      </x:c>
      <x:c r="P147" s="15" t="str">
        <x:v>계획</x:v>
      </x:c>
      <x:c r="Q147" s="15" t="str">
        <x:v>미실행</x:v>
      </x:c>
      <x:c r="R147" s="15" t="str">
        <x:v>미실행</x:v>
      </x:c>
      <x:c r="S147" s="15" t="str">
        <x:v>자동+수동</x:v>
      </x:c>
      <x:c r="T147" s="15" t="str"/>
      <x:c r="U147" s="15" t="str"/>
      <x:c r="V147" s="15" t="str"/>
      <x:c r="W147" s="15" t="str"/>
      <x:c r="X147" s="16" t="str"/>
      <x:c r="Y147" s="15" t="str"/>
      <x:c r="Z147" s="13" t="str">
        <x:f>IF(J147&lt;&gt;"적용","산정제외",IF(OR(Q147="실패",R147="실패"),"실패",IF(AND(P147="구현",T147&lt;&gt;"",U147&lt;&gt;"",V147&lt;&gt;"",W147&lt;&gt;"",ISNUMBER(X147),Y147="",OR(S147="수동",Q147="통과"),OR(S147="자동",R147="통과")),"통과","미검증")))</x:f>
        <x:v>산정제외</x:v>
      </x:c>
      <x:c r="AA147" s="13" t="str">
        <x:v>KRDS-SEC-102</x:v>
      </x:c>
      <x:c r="AB147" s="13" t="str">
        <x:v>S01~S08 / 공통</x:v>
      </x:c>
    </x:row>
    <x:row r="148" ht="37.5" customHeight="1">
      <x:c r="A148" s="14" t="str">
        <x:v>UI-097</x:v>
      </x:c>
      <x:c r="B148" s="14" t="str">
        <x:v>KRDS UI/UX</x:v>
      </x:c>
      <x:c r="C148" s="14" t="str">
        <x:v>UI 서비스 패턴</x:v>
      </x:c>
      <x:c r="D148" s="14" t="str">
        <x:v>정책 자료 탐색</x:v>
      </x:c>
      <x:c r="E148" s="14" t="str">
        <x:v>관련 자료의 형식과 접근 경로 제공</x:v>
      </x:c>
      <x:c r="F148" s="14" t="str">
        <x:v>SRC-001</x:v>
      </x:c>
      <x:c r="G148" s="14" t="str">
        <x:v>서비스 패턴 / 정책 정보 확인 / 정책 자료 탐색 / p.1165-1173</x:v>
      </x:c>
      <x:c r="H148" s="14" t="str">
        <x:v>원문 등급 별도 확인</x:v>
      </x:c>
      <x:c r="I148" s="14" t="str">
        <x:v>MUST(안)</x:v>
      </x:c>
      <x:c r="J148" s="14" t="str">
        <x:v>조건부</x:v>
      </x:c>
      <x:c r="K148" s="14" t="str">
        <x:v>해당 기능 또는 서비스 조건이 실제 범위에 포함될 때 적용.</x:v>
      </x:c>
      <x:c r="L148" s="14" t="str">
        <x:v>파일명·형식·크기와 HTML 대체내용을 함께 제공</x:v>
      </x:c>
      <x:c r="M148" s="14" t="str">
        <x:v>파일 다운로드·문서 접근성·대체내용 점검</x:v>
      </x:c>
      <x:c r="N148" s="14" t="str">
        <x:v>UX·개발·QA</x:v>
      </x:c>
      <x:c r="O148" s="14" t="str">
        <x:v>P1</x:v>
      </x:c>
      <x:c r="P148" s="15" t="str">
        <x:v>계획</x:v>
      </x:c>
      <x:c r="Q148" s="15" t="str">
        <x:v>미실행</x:v>
      </x:c>
      <x:c r="R148" s="15" t="str">
        <x:v>미실행</x:v>
      </x:c>
      <x:c r="S148" s="15" t="str">
        <x:v>자동+수동</x:v>
      </x:c>
      <x:c r="T148" s="15" t="str"/>
      <x:c r="U148" s="15" t="str"/>
      <x:c r="V148" s="15" t="str"/>
      <x:c r="W148" s="15" t="str"/>
      <x:c r="X148" s="16" t="str"/>
      <x:c r="Y148" s="15" t="str"/>
      <x:c r="Z148" s="14" t="str">
        <x:f>IF(J148&lt;&gt;"적용","산정제외",IF(OR(Q148="실패",R148="실패"),"실패",IF(AND(P148="구현",T148&lt;&gt;"",U148&lt;&gt;"",V148&lt;&gt;"",W148&lt;&gt;"",ISNUMBER(X148),Y148="",OR(S148="수동",Q148="통과"),OR(S148="자동",R148="통과")),"통과","미검증")))</x:f>
        <x:v>산정제외</x:v>
      </x:c>
      <x:c r="AA148" s="14" t="str">
        <x:v>KRDS-SEC-103</x:v>
      </x:c>
      <x:c r="AB148" s="14" t="str">
        <x:v>S01~S08 / 공통</x:v>
      </x:c>
    </x:row>
    <x:row r="149" ht="37.5" customHeight="1">
      <x:c r="A149" s="13" t="str">
        <x:v>UI-098</x:v>
      </x:c>
      <x:c r="B149" s="13" t="str">
        <x:v>KRDS UI/UX</x:v>
      </x:c>
      <x:c r="C149" s="13" t="str">
        <x:v>UI 상세 통제</x:v>
      </x:c>
      <x:c r="D149" s="13" t="str">
        <x:v>타이포그래피</x:v>
      </x:c>
      <x:c r="E149" s="13" t="str">
        <x:v>일반 텍스트4.5:1·큰 텍스트3:1 대비 보장</x:v>
      </x:c>
      <x:c r="F149" s="13" t="str">
        <x:v>SRC-001</x:v>
      </x:c>
      <x:c r="G149" s="13" t="str">
        <x:v>디자인 스타일 / 스타일 / 타이포그래피 / p.122</x:v>
      </x:c>
      <x:c r="H149" s="13" t="str">
        <x:v>원문 등급 별도 확인</x:v>
      </x:c>
      <x:c r="I149" s="13" t="str">
        <x:v>MUST(안)</x:v>
      </x:c>
      <x:c r="J149" s="13" t="str">
        <x:v>적용</x:v>
      </x:c>
      <x:c r="K149" s="13" t="str">
        <x:v>업무요청 웹 샘플에 채택하는 회사 기준. 실제 이행은 구현 후 판정.</x:v>
      </x:c>
      <x:c r="L149" s="13" t="str">
        <x:v>일반/hover/focus/selected 등 실제 상태별 토큰 조합을 측정</x:v>
      </x:c>
      <x:c r="M149" s="13" t="str">
        <x:v>대비 측정값과 화면·토큰 ID 저장</x:v>
      </x:c>
      <x:c r="N149" s="13" t="str">
        <x:v>UX·개발·QA</x:v>
      </x:c>
      <x:c r="O149" s="13" t="str">
        <x:v>P1</x:v>
      </x:c>
      <x:c r="P149" s="15" t="str">
        <x:v>계획</x:v>
      </x:c>
      <x:c r="Q149" s="15" t="str">
        <x:v>미실행</x:v>
      </x:c>
      <x:c r="R149" s="15" t="str">
        <x:v>미실행</x:v>
      </x:c>
      <x:c r="S149" s="15" t="str">
        <x:v>자동+수동</x:v>
      </x:c>
      <x:c r="T149" s="15" t="str"/>
      <x:c r="U149" s="15" t="str"/>
      <x:c r="V149" s="15" t="str"/>
      <x:c r="W149" s="15" t="str"/>
      <x:c r="X149" s="16" t="str"/>
      <x:c r="Y149" s="15" t="str"/>
      <x:c r="Z149" s="13" t="str">
        <x:f>IF(J149&lt;&gt;"적용","산정제외",IF(OR(Q149="실패",R149="실패"),"실패",IF(AND(P149="구현",T149&lt;&gt;"",U149&lt;&gt;"",V149&lt;&gt;"",W149&lt;&gt;"",ISNUMBER(X149),Y149="",OR(S149="수동",Q149="통과"),OR(S149="자동",R149="통과")),"통과","미검증")))</x:f>
        <x:v>미검증</x:v>
      </x:c>
      <x:c r="AA149" s="13" t="str">
        <x:v>KRDS-SEC-010</x:v>
      </x:c>
      <x:c r="AB149" s="13" t="str">
        <x:v>S01~S08 / 공통</x:v>
      </x:c>
    </x:row>
    <x:row r="150" ht="37.5" customHeight="1">
      <x:c r="A150" s="14" t="str">
        <x:v>UI-099</x:v>
      </x:c>
      <x:c r="B150" s="14" t="str">
        <x:v>KRDS UI/UX</x:v>
      </x:c>
      <x:c r="C150" s="14" t="str">
        <x:v>UI 상세 통제</x:v>
      </x:c>
      <x:c r="D150" s="14" t="str">
        <x:v>타이포그래피</x:v>
      </x:c>
      <x:c r="E150" s="14" t="str">
        <x:v>선명한 모드의 역할별 강화 대비 적용</x:v>
      </x:c>
      <x:c r="F150" s="14" t="str">
        <x:v>SRC-001</x:v>
      </x:c>
      <x:c r="G150" s="14" t="str">
        <x:v>디자인 스타일 / 스타일 / 타이포그래피 / p.123</x:v>
      </x:c>
      <x:c r="H150" s="14" t="str">
        <x:v>원문 등급 별도 확인</x:v>
      </x:c>
      <x:c r="I150" s="14" t="str">
        <x:v>MUST(안)</x:v>
      </x:c>
      <x:c r="J150" s="14" t="str">
        <x:v>적용</x:v>
      </x:c>
      <x:c r="K150" s="14" t="str">
        <x:v>업무요청 웹 샘플에 채택하는 회사 기준. 실제 이행은 구현 후 판정.</x:v>
      </x:c>
      <x:c r="L150" s="14" t="str">
        <x:v>본문15:1, 헤딩·레이블·아이콘7:1, 시각 보조4.5:1을 별도 검증</x:v>
      </x:c>
      <x:c r="M150" s="14" t="str">
        <x:v>기본모드와 선명한 모드의 대비 결과표 작성</x:v>
      </x:c>
      <x:c r="N150" s="14" t="str">
        <x:v>UX·개발·QA</x:v>
      </x:c>
      <x:c r="O150" s="14" t="str">
        <x:v>P1</x:v>
      </x:c>
      <x:c r="P150" s="15" t="str">
        <x:v>계획</x:v>
      </x:c>
      <x:c r="Q150" s="15" t="str">
        <x:v>미실행</x:v>
      </x:c>
      <x:c r="R150" s="15" t="str">
        <x:v>미실행</x:v>
      </x:c>
      <x:c r="S150" s="15" t="str">
        <x:v>자동+수동</x:v>
      </x:c>
      <x:c r="T150" s="15" t="str"/>
      <x:c r="U150" s="15" t="str"/>
      <x:c r="V150" s="15" t="str"/>
      <x:c r="W150" s="15" t="str"/>
      <x:c r="X150" s="16" t="str"/>
      <x:c r="Y150" s="15" t="str"/>
      <x:c r="Z150" s="14" t="str">
        <x:f>IF(J150&lt;&gt;"적용","산정제외",IF(OR(Q150="실패",R150="실패"),"실패",IF(AND(P150="구현",T150&lt;&gt;"",U150&lt;&gt;"",V150&lt;&gt;"",W150&lt;&gt;"",ISNUMBER(X150),Y150="",OR(S150="수동",Q150="통과"),OR(S150="자동",R150="통과")),"통과","미검증")))</x:f>
        <x:v>미검증</x:v>
      </x:c>
      <x:c r="AA150" s="14" t="str">
        <x:v>KRDS-SEC-010</x:v>
      </x:c>
      <x:c r="AB150" s="14" t="str">
        <x:v>S01~S08 / 공통</x:v>
      </x:c>
    </x:row>
    <x:row r="151" ht="37.5" customHeight="1">
      <x:c r="A151" s="13" t="str">
        <x:v>UI-100</x:v>
      </x:c>
      <x:c r="B151" s="13" t="str">
        <x:v>KRDS UI/UX</x:v>
      </x:c>
      <x:c r="C151" s="13" t="str">
        <x:v>UI 상세 통제</x:v>
      </x:c>
      <x:c r="D151" s="13" t="str">
        <x:v>선명한 화면 모드</x:v>
      </x:c>
      <x:c r="E151" s="13" t="str">
        <x:v>테마 변경으로 콘텐츠·기능이 사라지지 않음</x:v>
      </x:c>
      <x:c r="F151" s="13" t="str">
        <x:v>SRC-001</x:v>
      </x:c>
      <x:c r="G151" s="13" t="str">
        <x:v>디자인 스타일 / 스타일 / 선명한 화면 모드 / p.204</x:v>
      </x:c>
      <x:c r="H151" s="13" t="str">
        <x:v>원문 등급 별도 확인</x:v>
      </x:c>
      <x:c r="I151" s="13" t="str">
        <x:v>MUST(안)</x:v>
      </x:c>
      <x:c r="J151" s="13" t="str">
        <x:v>적용</x:v>
      </x:c>
      <x:c r="K151" s="13" t="str">
        <x:v>업무요청 웹 샘플에 채택하는 회사 기준. 실제 이행은 구현 후 판정.</x:v>
      </x:c>
      <x:c r="L151" s="13" t="str">
        <x:v>이미지·SVG·테두리·포커스·상태색의 테마별 가시성 유지</x:v>
      </x:c>
      <x:c r="M151" s="13" t="str">
        <x:v>각 주요 화면에서 정상·선명한 모드 비교</x:v>
      </x:c>
      <x:c r="N151" s="13" t="str">
        <x:v>UX·개발·QA</x:v>
      </x:c>
      <x:c r="O151" s="13" t="str">
        <x:v>P1</x:v>
      </x:c>
      <x:c r="P151" s="15" t="str">
        <x:v>계획</x:v>
      </x:c>
      <x:c r="Q151" s="15" t="str">
        <x:v>미실행</x:v>
      </x:c>
      <x:c r="R151" s="15" t="str">
        <x:v>미실행</x:v>
      </x:c>
      <x:c r="S151" s="15" t="str">
        <x:v>자동+수동</x:v>
      </x:c>
      <x:c r="T151" s="15" t="str"/>
      <x:c r="U151" s="15" t="str"/>
      <x:c r="V151" s="15" t="str"/>
      <x:c r="W151" s="15" t="str"/>
      <x:c r="X151" s="16" t="str"/>
      <x:c r="Y151" s="15" t="str"/>
      <x:c r="Z151" s="13" t="str">
        <x:f>IF(J151&lt;&gt;"적용","산정제외",IF(OR(Q151="실패",R151="실패"),"실패",IF(AND(P151="구현",T151&lt;&gt;"",U151&lt;&gt;"",V151&lt;&gt;"",W151&lt;&gt;"",ISNUMBER(X151),Y151="",OR(S151="수동",Q151="통과"),OR(S151="자동",R151="통과")),"통과","미검증")))</x:f>
        <x:v>미검증</x:v>
      </x:c>
      <x:c r="AA151" s="13" t="str">
        <x:v>KRDS-SEC-015</x:v>
      </x:c>
      <x:c r="AB151" s="13" t="str">
        <x:v>S01~S08 / 공통</x:v>
      </x:c>
    </x:row>
    <x:row r="152" ht="37.5" customHeight="1">
      <x:c r="A152" s="14" t="str">
        <x:v>UI-101</x:v>
      </x:c>
      <x:c r="B152" s="14" t="str">
        <x:v>KRDS UI/UX</x:v>
      </x:c>
      <x:c r="C152" s="14" t="str">
        <x:v>UI 상세 통제</x:v>
      </x:c>
      <x:c r="D152" s="14" t="str">
        <x:v>헤더</x:v>
      </x:c>
      <x:c r="E152" s="14" t="str">
        <x:v>언어 선택에 국기 대신 언어 이름 사용</x:v>
      </x:c>
      <x:c r="F152" s="14" t="str">
        <x:v>SRC-001</x:v>
      </x:c>
      <x:c r="G152" s="14" t="str">
        <x:v>컴포넌트 / 아이덴티티 / 헤더 / p.239</x:v>
      </x:c>
      <x:c r="H152" s="14" t="str">
        <x:v>원문 등급 별도 확인</x:v>
      </x:c>
      <x:c r="I152" s="14" t="str">
        <x:v>MUST(안)</x:v>
      </x:c>
      <x:c r="J152" s="14" t="str">
        <x:v>조건부</x:v>
      </x:c>
      <x:c r="K152" s="14" t="str">
        <x:v>해당 기능 또는 서비스 조건이 실제 범위에 포함될 때 적용.</x:v>
      </x:c>
      <x:c r="L152" s="14" t="str">
        <x:v>다국어 전환기 도입 시 한국어/English 등 자국어명을 사용</x:v>
      </x:c>
      <x:c r="M152" s="14" t="str">
        <x:v>국가와 언어의 혼동·화면낭독 발음 점검</x:v>
      </x:c>
      <x:c r="N152" s="14" t="str">
        <x:v>UX·개발·QA</x:v>
      </x:c>
      <x:c r="O152" s="14" t="str">
        <x:v>P1</x:v>
      </x:c>
      <x:c r="P152" s="15" t="str">
        <x:v>계획</x:v>
      </x:c>
      <x:c r="Q152" s="15" t="str">
        <x:v>미실행</x:v>
      </x:c>
      <x:c r="R152" s="15" t="str">
        <x:v>미실행</x:v>
      </x:c>
      <x:c r="S152" s="15" t="str">
        <x:v>자동+수동</x:v>
      </x:c>
      <x:c r="T152" s="15" t="str"/>
      <x:c r="U152" s="15" t="str"/>
      <x:c r="V152" s="15" t="str"/>
      <x:c r="W152" s="15" t="str"/>
      <x:c r="X152" s="16" t="str"/>
      <x:c r="Y152" s="15" t="str"/>
      <x:c r="Z152" s="14" t="str">
        <x:f>IF(J152&lt;&gt;"적용","산정제외",IF(OR(Q152="실패",R152="실패"),"실패",IF(AND(P152="구현",T152&lt;&gt;"",U152&lt;&gt;"",V152&lt;&gt;"",W152&lt;&gt;"",ISNUMBER(X152),Y152="",OR(S152="수동",Q152="통과"),OR(S152="자동",R152="통과")),"통과","미검증")))</x:f>
        <x:v>산정제외</x:v>
      </x:c>
      <x:c r="AA152" s="14" t="str">
        <x:v>KRDS-SEC-019</x:v>
      </x:c>
      <x:c r="AB152" s="14" t="str">
        <x:v>S01~S08 / 공통</x:v>
      </x:c>
    </x:row>
    <x:row r="153" ht="37.5" customHeight="1">
      <x:c r="A153" s="13" t="str">
        <x:v>UI-102</x:v>
      </x:c>
      <x:c r="B153" s="13" t="str">
        <x:v>KRDS UI/UX</x:v>
      </x:c>
      <x:c r="C153" s="13" t="str">
        <x:v>UI 상세 통제</x:v>
      </x:c>
      <x:c r="D153" s="13" t="str">
        <x:v>건너뛰기 링크</x:v>
      </x:c>
      <x:c r="E153" s="13" t="str">
        <x:v>건너뛰기 목적지에 실제 키보드 초점 이동</x:v>
      </x:c>
      <x:c r="F153" s="13" t="str">
        <x:v>SRC-001</x:v>
      </x:c>
      <x:c r="G153" s="13" t="str">
        <x:v>컴포넌트 / 탐색 / 건너뛰기 링크 / p.261</x:v>
      </x:c>
      <x:c r="H153" s="13" t="str">
        <x:v>원문 등급 별도 확인</x:v>
      </x:c>
      <x:c r="I153" s="13" t="str">
        <x:v>MUST(안)</x:v>
      </x:c>
      <x:c r="J153" s="13" t="str">
        <x:v>적용</x:v>
      </x:c>
      <x:c r="K153" s="13" t="str">
        <x:v>업무요청 웹 샘플에 채택하는 회사 기준. 실제 이행은 구현 후 판정.</x:v>
      </x:c>
      <x:c r="L153" s="13" t="str">
        <x:v>main 또는 주제목에 초점을 옮기고 다음 Tab이 본문에서 시작</x:v>
      </x:c>
      <x:c r="M153" s="13" t="str">
        <x:v>Enter 후 activeElement와 다음 Tab 순서 확인</x:v>
      </x:c>
      <x:c r="N153" s="13" t="str">
        <x:v>UX·개발·QA</x:v>
      </x:c>
      <x:c r="O153" s="13" t="str">
        <x:v>P0</x:v>
      </x:c>
      <x:c r="P153" s="15" t="str">
        <x:v>계획</x:v>
      </x:c>
      <x:c r="Q153" s="15" t="str">
        <x:v>미실행</x:v>
      </x:c>
      <x:c r="R153" s="15" t="str">
        <x:v>미실행</x:v>
      </x:c>
      <x:c r="S153" s="15" t="str">
        <x:v>자동+수동</x:v>
      </x:c>
      <x:c r="T153" s="15" t="str"/>
      <x:c r="U153" s="15" t="str"/>
      <x:c r="V153" s="15" t="str"/>
      <x:c r="W153" s="15" t="str"/>
      <x:c r="X153" s="16" t="str"/>
      <x:c r="Y153" s="15" t="str"/>
      <x:c r="Z153" s="13" t="str">
        <x:f>IF(J153&lt;&gt;"적용","산정제외",IF(OR(Q153="실패",R153="실패"),"실패",IF(AND(P153="구현",T153&lt;&gt;"",U153&lt;&gt;"",V153&lt;&gt;"",W153&lt;&gt;"",ISNUMBER(X153),Y153="",OR(S153="수동",Q153="통과"),OR(S153="자동",R153="통과")),"통과","미검증")))</x:f>
        <x:v>미검증</x:v>
      </x:c>
      <x:c r="AA153" s="13" t="str">
        <x:v>KRDS-SEC-021</x:v>
      </x:c>
      <x:c r="AB153" s="13" t="str">
        <x:v>S01~S08 / 공통</x:v>
      </x:c>
    </x:row>
    <x:row r="154" ht="37.5" customHeight="1">
      <x:c r="A154" s="14" t="str">
        <x:v>UI-103</x:v>
      </x:c>
      <x:c r="B154" s="14" t="str">
        <x:v>KRDS UI/UX</x:v>
      </x:c>
      <x:c r="C154" s="14" t="str">
        <x:v>UI 상세 통제</x:v>
      </x:c>
      <x:c r="D154" s="14" t="str">
        <x:v>메인 메뉴</x:v>
      </x:c>
      <x:c r="E154" s="14" t="str">
        <x:v>드롭다운 메뉴를 마우스오버만으로 열지 않음</x:v>
      </x:c>
      <x:c r="F154" s="14" t="str">
        <x:v>SRC-001</x:v>
      </x:c>
      <x:c r="G154" s="14" t="str">
        <x:v>컴포넌트 / 탐색 / 메인 메뉴 / p.275</x:v>
      </x:c>
      <x:c r="H154" s="14" t="str">
        <x:v>원문 등급 별도 확인</x:v>
      </x:c>
      <x:c r="I154" s="14" t="str">
        <x:v>MUST(안)</x:v>
      </x:c>
      <x:c r="J154" s="14" t="str">
        <x:v>적용</x:v>
      </x:c>
      <x:c r="K154" s="14" t="str">
        <x:v>업무요청 웹 샘플에 채택하는 회사 기준. 실제 이행은 구현 후 판정.</x:v>
      </x:c>
      <x:c r="L154" s="14" t="str">
        <x:v>명시적 버튼·클릭/키보드 조작·aria-expanded 사용</x:v>
      </x:c>
      <x:c r="M154" s="14" t="str">
        <x:v>포인터·키보드·터치로 동일 기능 수행</x:v>
      </x:c>
      <x:c r="N154" s="14" t="str">
        <x:v>UX·개발·QA</x:v>
      </x:c>
      <x:c r="O154" s="14" t="str">
        <x:v>P1</x:v>
      </x:c>
      <x:c r="P154" s="15" t="str">
        <x:v>계획</x:v>
      </x:c>
      <x:c r="Q154" s="15" t="str">
        <x:v>미실행</x:v>
      </x:c>
      <x:c r="R154" s="15" t="str">
        <x:v>미실행</x:v>
      </x:c>
      <x:c r="S154" s="15" t="str">
        <x:v>자동+수동</x:v>
      </x:c>
      <x:c r="T154" s="15" t="str"/>
      <x:c r="U154" s="15" t="str"/>
      <x:c r="V154" s="15" t="str"/>
      <x:c r="W154" s="15" t="str"/>
      <x:c r="X154" s="16" t="str"/>
      <x:c r="Y154" s="15" t="str"/>
      <x:c r="Z154" s="14" t="str">
        <x:f>IF(J154&lt;&gt;"적용","산정제외",IF(OR(Q154="실패",R154="실패"),"실패",IF(AND(P154="구현",T154&lt;&gt;"",U154&lt;&gt;"",V154&lt;&gt;"",W154&lt;&gt;"",ISNUMBER(X154),Y154="",OR(S154="수동",Q154="통과"),OR(S154="자동",R154="통과")),"통과","미검증")))</x:f>
        <x:v>미검증</x:v>
      </x:c>
      <x:c r="AA154" s="14" t="str">
        <x:v>KRDS-SEC-022</x:v>
      </x:c>
      <x:c r="AB154" s="14" t="str">
        <x:v>S01~S08 / 공통</x:v>
      </x:c>
    </x:row>
    <x:row r="155" ht="37.5" customHeight="1">
      <x:c r="A155" s="13" t="str">
        <x:v>UI-104</x:v>
      </x:c>
      <x:c r="B155" s="13" t="str">
        <x:v>KRDS UI/UX</x:v>
      </x:c>
      <x:c r="C155" s="13" t="str">
        <x:v>UI 상세 통제</x:v>
      </x:c>
      <x:c r="D155" s="13" t="str">
        <x:v>모달</x:v>
      </x:c>
      <x:c r="E155" s="13" t="str">
        <x:v>대화상자 닫기 버튼의 논리적 DOM 순서 유지</x:v>
      </x:c>
      <x:c r="F155" s="13" t="str">
        <x:v>SRC-001</x:v>
      </x:c>
      <x:c r="G155" s="13" t="str">
        <x:v>컴포넌트 / 레이아웃·표현 / 모달 / p.397</x:v>
      </x:c>
      <x:c r="H155" s="13" t="str">
        <x:v>원문 등급 별도 확인</x:v>
      </x:c>
      <x:c r="I155" s="13" t="str">
        <x:v>MUST(안)</x:v>
      </x:c>
      <x:c r="J155" s="13" t="str">
        <x:v>적용</x:v>
      </x:c>
      <x:c r="K155" s="13" t="str">
        <x:v>업무요청 웹 샘플에 채택하는 회사 기준. 실제 이행은 구현 후 판정.</x:v>
      </x:c>
      <x:c r="L155" s="13" t="str">
        <x:v>제목·본문·액션 이후 닫기 컨트롤을 마크업하고 시각적 위치는 스타일로 조정</x:v>
      </x:c>
      <x:c r="M155" s="13" t="str">
        <x:v>화면낭독 순서·Tab 순서·초점복귀 확인</x:v>
      </x:c>
      <x:c r="N155" s="13" t="str">
        <x:v>UX·개발·QA</x:v>
      </x:c>
      <x:c r="O155" s="13" t="str">
        <x:v>P0</x:v>
      </x:c>
      <x:c r="P155" s="15" t="str">
        <x:v>계획</x:v>
      </x:c>
      <x:c r="Q155" s="15" t="str">
        <x:v>미실행</x:v>
      </x:c>
      <x:c r="R155" s="15" t="str">
        <x:v>미실행</x:v>
      </x:c>
      <x:c r="S155" s="15" t="str">
        <x:v>자동+수동</x:v>
      </x:c>
      <x:c r="T155" s="15" t="str"/>
      <x:c r="U155" s="15" t="str"/>
      <x:c r="V155" s="15" t="str"/>
      <x:c r="W155" s="15" t="str"/>
      <x:c r="X155" s="16" t="str"/>
      <x:c r="Y155" s="15" t="str"/>
      <x:c r="Z155" s="13" t="str">
        <x:f>IF(J155&lt;&gt;"적용","산정제외",IF(OR(Q155="실패",R155="실패"),"실패",IF(AND(P155="구현",T155&lt;&gt;"",U155&lt;&gt;"",V155&lt;&gt;"",W155&lt;&gt;"",ISNUMBER(X155),Y155="",OR(S155="수동",Q155="통과"),OR(S155="자동",R155="통과")),"통과","미검증")))</x:f>
        <x:v>미검증</x:v>
      </x:c>
      <x:c r="AA155" s="13" t="str">
        <x:v>KRDS-SEC-032</x:v>
      </x:c>
      <x:c r="AB155" s="13" t="str">
        <x:v>S01~S08 / 공통</x:v>
      </x:c>
    </x:row>
    <x:row r="156" ht="37.5" customHeight="1">
      <x:c r="A156" s="14" t="str">
        <x:v>UI-105</x:v>
      </x:c>
      <x:c r="B156" s="14" t="str">
        <x:v>KRDS UI/UX</x:v>
      </x:c>
      <x:c r="C156" s="14" t="str">
        <x:v>UI 상세 통제</x:v>
      </x:c>
      <x:c r="D156" s="14" t="str">
        <x:v>모달</x:v>
      </x:c>
      <x:c r="E156" s="14" t="str">
        <x:v>모달 키보드 상호작용과 초점 복귀 구현</x:v>
      </x:c>
      <x:c r="F156" s="14" t="str">
        <x:v>SRC-001</x:v>
      </x:c>
      <x:c r="G156" s="14" t="str">
        <x:v>컴포넌트 / 레이아웃·표현 / 모달 / p.398</x:v>
      </x:c>
      <x:c r="H156" s="14" t="str">
        <x:v>원문 등급 별도 확인</x:v>
      </x:c>
      <x:c r="I156" s="14" t="str">
        <x:v>MUST(안)</x:v>
      </x:c>
      <x:c r="J156" s="14" t="str">
        <x:v>적용</x:v>
      </x:c>
      <x:c r="K156" s="14" t="str">
        <x:v>업무요청 웹 샘플에 채택하는 회사 기준. 실제 이행은 구현 후 판정.</x:v>
      </x:c>
      <x:c r="L156" s="14" t="str">
        <x:v>배경 inert, 내부 Tab 순환, Escape 닫기, 열기 버튼 복귀</x:v>
      </x:c>
      <x:c r="M156" s="14" t="str">
        <x:v>대화상자 E2E와 스크린리더 수동 시험</x:v>
      </x:c>
      <x:c r="N156" s="14" t="str">
        <x:v>UX·개발·QA</x:v>
      </x:c>
      <x:c r="O156" s="14" t="str">
        <x:v>P0</x:v>
      </x:c>
      <x:c r="P156" s="15" t="str">
        <x:v>계획</x:v>
      </x:c>
      <x:c r="Q156" s="15" t="str">
        <x:v>미실행</x:v>
      </x:c>
      <x:c r="R156" s="15" t="str">
        <x:v>미실행</x:v>
      </x:c>
      <x:c r="S156" s="15" t="str">
        <x:v>자동+수동</x:v>
      </x:c>
      <x:c r="T156" s="15" t="str"/>
      <x:c r="U156" s="15" t="str"/>
      <x:c r="V156" s="15" t="str"/>
      <x:c r="W156" s="15" t="str"/>
      <x:c r="X156" s="16" t="str"/>
      <x:c r="Y156" s="15" t="str"/>
      <x:c r="Z156" s="14" t="str">
        <x:f>IF(J156&lt;&gt;"적용","산정제외",IF(OR(Q156="실패",R156="실패"),"실패",IF(AND(P156="구현",T156&lt;&gt;"",U156&lt;&gt;"",V156&lt;&gt;"",W156&lt;&gt;"",ISNUMBER(X156),Y156="",OR(S156="수동",Q156="통과"),OR(S156="자동",R156="통과")),"통과","미검증")))</x:f>
        <x:v>미검증</x:v>
      </x:c>
      <x:c r="AA156" s="14" t="str">
        <x:v>KRDS-SEC-032</x:v>
      </x:c>
      <x:c r="AB156" s="14" t="str">
        <x:v>S01~S08 / 공통</x:v>
      </x:c>
    </x:row>
    <x:row r="157" ht="37.5" customHeight="1">
      <x:c r="A157" s="13" t="str">
        <x:v>UI-106</x:v>
      </x:c>
      <x:c r="B157" s="13" t="str">
        <x:v>KRDS UI/UX</x:v>
      </x:c>
      <x:c r="C157" s="13" t="str">
        <x:v>UI 상세 통제</x:v>
      </x:c>
      <x:c r="D157" s="13" t="str">
        <x:v>표</x:v>
      </x:c>
      <x:c r="E157" s="13" t="str">
        <x:v>표의 제목과 행·열 제목 관계 제공</x:v>
      </x:c>
      <x:c r="F157" s="13" t="str">
        <x:v>SRC-001</x:v>
      </x:c>
      <x:c r="G157" s="13" t="str">
        <x:v>컴포넌트 / 레이아웃·표현 / 표 / p.469</x:v>
      </x:c>
      <x:c r="H157" s="13" t="str">
        <x:v>원문 등급 별도 확인</x:v>
      </x:c>
      <x:c r="I157" s="13" t="str">
        <x:v>MUST(안)</x:v>
      </x:c>
      <x:c r="J157" s="13" t="str">
        <x:v>적용</x:v>
      </x:c>
      <x:c r="K157" s="13" t="str">
        <x:v>업무요청 웹 샘플에 채택하는 회사 기준. 실제 이행은 구현 후 판정.</x:v>
      </x:c>
      <x:c r="L157" s="13" t="str">
        <x:v>caption·th/scope 또는 복잡표 headers/id를 구현</x:v>
      </x:c>
      <x:c r="M157" s="13" t="str">
        <x:v>표 탐색 시 각 데이터의 제목 관계 낭독</x:v>
      </x:c>
      <x:c r="N157" s="13" t="str">
        <x:v>UX·개발·QA</x:v>
      </x:c>
      <x:c r="O157" s="13" t="str">
        <x:v>P1</x:v>
      </x:c>
      <x:c r="P157" s="15" t="str">
        <x:v>계획</x:v>
      </x:c>
      <x:c r="Q157" s="15" t="str">
        <x:v>미실행</x:v>
      </x:c>
      <x:c r="R157" s="15" t="str">
        <x:v>미실행</x:v>
      </x:c>
      <x:c r="S157" s="15" t="str">
        <x:v>자동+수동</x:v>
      </x:c>
      <x:c r="T157" s="15" t="str"/>
      <x:c r="U157" s="15" t="str"/>
      <x:c r="V157" s="15" t="str"/>
      <x:c r="W157" s="15" t="str"/>
      <x:c r="X157" s="16" t="str"/>
      <x:c r="Y157" s="15" t="str"/>
      <x:c r="Z157" s="13" t="str">
        <x:f>IF(J157&lt;&gt;"적용","산정제외",IF(OR(Q157="실패",R157="실패"),"실패",IF(AND(P157="구현",T157&lt;&gt;"",U157&lt;&gt;"",V157&lt;&gt;"",W157&lt;&gt;"",ISNUMBER(X157),Y157="",OR(S157="수동",Q157="통과"),OR(S157="자동",R157="통과")),"통과","미검증")))</x:f>
        <x:v>미검증</x:v>
      </x:c>
      <x:c r="AA157" s="13" t="str">
        <x:v>KRDS-SEC-038</x:v>
      </x:c>
      <x:c r="AB157" s="13" t="str">
        <x:v>S01~S08 / 공통</x:v>
      </x:c>
    </x:row>
    <x:row r="158" ht="37.5" customHeight="1">
      <x:c r="A158" s="14" t="str">
        <x:v>UI-107</x:v>
      </x:c>
      <x:c r="B158" s="14" t="str">
        <x:v>KRDS UI/UX</x:v>
      </x:c>
      <x:c r="C158" s="14" t="str">
        <x:v>UI 상세 통제</x:v>
      </x:c>
      <x:c r="D158" s="14" t="str">
        <x:v>체크박스</x:v>
      </x:c>
      <x:c r="E158" s="14" t="str">
        <x:v>체크 상태를 색상만으로 표현하지 않음</x:v>
      </x:c>
      <x:c r="F158" s="14" t="str">
        <x:v>SRC-001</x:v>
      </x:c>
      <x:c r="G158" s="14" t="str">
        <x:v>컴포넌트 / 선택 / 체크박스 / p.547</x:v>
      </x:c>
      <x:c r="H158" s="14" t="str">
        <x:v>원문 등급 별도 확인</x:v>
      </x:c>
      <x:c r="I158" s="14" t="str">
        <x:v>MUST(안)</x:v>
      </x:c>
      <x:c r="J158" s="14" t="str">
        <x:v>적용</x:v>
      </x:c>
      <x:c r="K158" s="14" t="str">
        <x:v>업무요청 웹 샘플에 채택하는 회사 기준. 실제 이행은 구현 후 판정.</x:v>
      </x:c>
      <x:c r="L158" s="14" t="str">
        <x:v>체크표시·mixed 표시와 checked 상태를 함께 제공</x:v>
      </x:c>
      <x:c r="M158" s="14" t="str">
        <x:v>색상 제거와 보조기술 상태 확인</x:v>
      </x:c>
      <x:c r="N158" s="14" t="str">
        <x:v>UX·개발·QA</x:v>
      </x:c>
      <x:c r="O158" s="14" t="str">
        <x:v>P1</x:v>
      </x:c>
      <x:c r="P158" s="15" t="str">
        <x:v>계획</x:v>
      </x:c>
      <x:c r="Q158" s="15" t="str">
        <x:v>미실행</x:v>
      </x:c>
      <x:c r="R158" s="15" t="str">
        <x:v>미실행</x:v>
      </x:c>
      <x:c r="S158" s="15" t="str">
        <x:v>자동+수동</x:v>
      </x:c>
      <x:c r="T158" s="15" t="str"/>
      <x:c r="U158" s="15" t="str"/>
      <x:c r="V158" s="15" t="str"/>
      <x:c r="W158" s="15" t="str"/>
      <x:c r="X158" s="16" t="str"/>
      <x:c r="Y158" s="15" t="str"/>
      <x:c r="Z158" s="14" t="str">
        <x:f>IF(J158&lt;&gt;"적용","산정제외",IF(OR(Q158="실패",R158="실패"),"실패",IF(AND(P158="구현",T158&lt;&gt;"",U158&lt;&gt;"",V158&lt;&gt;"",W158&lt;&gt;"",ISNUMBER(X158),Y158="",OR(S158="수동",Q158="통과"),OR(S158="자동",R158="통과")),"통과","미검증")))</x:f>
        <x:v>미검증</x:v>
      </x:c>
      <x:c r="AA158" s="14" t="str">
        <x:v>KRDS-SEC-044</x:v>
      </x:c>
      <x:c r="AB158" s="14" t="str">
        <x:v>S01~S08 / 공통</x:v>
      </x:c>
    </x:row>
    <x:row r="159" ht="37.5" customHeight="1">
      <x:c r="A159" s="13" t="str">
        <x:v>UI-108</x:v>
      </x:c>
      <x:c r="B159" s="13" t="str">
        <x:v>KRDS UI/UX</x:v>
      </x:c>
      <x:c r="C159" s="13" t="str">
        <x:v>UI 상세 통제</x:v>
      </x:c>
      <x:c r="D159" s="13" t="str">
        <x:v>셀렉트</x:v>
      </x:c>
      <x:c r="E159" s="13" t="str">
        <x:v>선택값 변경만으로 폼을 자동 제출하지 않음</x:v>
      </x:c>
      <x:c r="F159" s="13" t="str">
        <x:v>SRC-001</x:v>
      </x:c>
      <x:c r="G159" s="13" t="str">
        <x:v>컴포넌트 / 선택 / 셀렉트 / p.555</x:v>
      </x:c>
      <x:c r="H159" s="13" t="str">
        <x:v>원문 등급 별도 확인</x:v>
      </x:c>
      <x:c r="I159" s="13" t="str">
        <x:v>MUST(안)</x:v>
      </x:c>
      <x:c r="J159" s="13" t="str">
        <x:v>적용</x:v>
      </x:c>
      <x:c r="K159" s="13" t="str">
        <x:v>업무요청 웹 샘플에 채택하는 회사 기준. 실제 이행은 구현 후 판정.</x:v>
      </x:c>
      <x:c r="L159" s="13" t="str">
        <x:v>신청 제출은 별도 버튼으로 확정</x:v>
      </x:c>
      <x:c r="M159" s="13" t="str">
        <x:v>값 변경 시 의도하지 않은 이동·제출 부재 확인</x:v>
      </x:c>
      <x:c r="N159" s="13" t="str">
        <x:v>UX·개발·QA</x:v>
      </x:c>
      <x:c r="O159" s="13" t="str">
        <x:v>P1</x:v>
      </x:c>
      <x:c r="P159" s="15" t="str">
        <x:v>계획</x:v>
      </x:c>
      <x:c r="Q159" s="15" t="str">
        <x:v>미실행</x:v>
      </x:c>
      <x:c r="R159" s="15" t="str">
        <x:v>미실행</x:v>
      </x:c>
      <x:c r="S159" s="15" t="str">
        <x:v>자동+수동</x:v>
      </x:c>
      <x:c r="T159" s="15" t="str"/>
      <x:c r="U159" s="15" t="str"/>
      <x:c r="V159" s="15" t="str"/>
      <x:c r="W159" s="15" t="str"/>
      <x:c r="X159" s="16" t="str"/>
      <x:c r="Y159" s="15" t="str"/>
      <x:c r="Z159" s="13" t="str">
        <x:f>IF(J159&lt;&gt;"적용","산정제외",IF(OR(Q159="실패",R159="실패"),"실패",IF(AND(P159="구현",T159&lt;&gt;"",U159&lt;&gt;"",V159&lt;&gt;"",W159&lt;&gt;"",ISNUMBER(X159),Y159="",OR(S159="수동",Q159="통과"),OR(S159="자동",R159="통과")),"통과","미검증")))</x:f>
        <x:v>미검증</x:v>
      </x:c>
      <x:c r="AA159" s="13" t="str">
        <x:v>KRDS-SEC-045</x:v>
      </x:c>
      <x:c r="AB159" s="13" t="str">
        <x:v>S05</x:v>
      </x:c>
    </x:row>
    <x:row r="160" ht="37.5" customHeight="1">
      <x:c r="A160" s="14" t="str">
        <x:v>UI-109</x:v>
      </x:c>
      <x:c r="B160" s="14" t="str">
        <x:v>KRDS UI/UX</x:v>
      </x:c>
      <x:c r="C160" s="14" t="str">
        <x:v>UI 상세 통제</x:v>
      </x:c>
      <x:c r="D160" s="14" t="str">
        <x:v>토글 스위치</x:v>
      </x:c>
      <x:c r="E160" s="14" t="str">
        <x:v>스위치의 상태와 키보드 초점 표시</x:v>
      </x:c>
      <x:c r="F160" s="14" t="str">
        <x:v>SRC-001</x:v>
      </x:c>
      <x:c r="G160" s="14" t="str">
        <x:v>컴포넌트 / 선택 / 토글 스위치 / p.578</x:v>
      </x:c>
      <x:c r="H160" s="14" t="str">
        <x:v>원문 등급 별도 확인</x:v>
      </x:c>
      <x:c r="I160" s="14" t="str">
        <x:v>MUST(안)</x:v>
      </x:c>
      <x:c r="J160" s="14" t="str">
        <x:v>적용</x:v>
      </x:c>
      <x:c r="K160" s="14" t="str">
        <x:v>업무요청 웹 샘플에 채택하는 회사 기준. 실제 이행은 구현 후 판정.</x:v>
      </x:c>
      <x:c r="L160" s="14" t="str">
        <x:v>키보드 접근 가능한 실제 컨트롤에 상태·포커스 스타일 적용</x:v>
      </x:c>
      <x:c r="M160" s="14" t="str">
        <x:v>Tab/Space·checked와 포커스링 확인</x:v>
      </x:c>
      <x:c r="N160" s="14" t="str">
        <x:v>UX·개발·QA</x:v>
      </x:c>
      <x:c r="O160" s="14" t="str">
        <x:v>P1</x:v>
      </x:c>
      <x:c r="P160" s="15" t="str">
        <x:v>계획</x:v>
      </x:c>
      <x:c r="Q160" s="15" t="str">
        <x:v>미실행</x:v>
      </x:c>
      <x:c r="R160" s="15" t="str">
        <x:v>미실행</x:v>
      </x:c>
      <x:c r="S160" s="15" t="str">
        <x:v>자동+수동</x:v>
      </x:c>
      <x:c r="T160" s="15" t="str"/>
      <x:c r="U160" s="15" t="str"/>
      <x:c r="V160" s="15" t="str"/>
      <x:c r="W160" s="15" t="str"/>
      <x:c r="X160" s="16" t="str"/>
      <x:c r="Y160" s="15" t="str"/>
      <x:c r="Z160" s="14" t="str">
        <x:f>IF(J160&lt;&gt;"적용","산정제외",IF(OR(Q160="실패",R160="실패"),"실패",IF(AND(P160="구현",T160&lt;&gt;"",U160&lt;&gt;"",V160&lt;&gt;"",W160&lt;&gt;"",ISNUMBER(X160),Y160="",OR(S160="수동",Q160="통과"),OR(S160="자동",R160="통과")),"통과","미검증")))</x:f>
        <x:v>미검증</x:v>
      </x:c>
      <x:c r="AA160" s="14" t="str">
        <x:v>KRDS-SEC-047</x:v>
      </x:c>
      <x:c r="AB160" s="14" t="str">
        <x:v>S01~S08 / 공통</x:v>
      </x:c>
    </x:row>
    <x:row r="161" ht="37.5" customHeight="1">
      <x:c r="A161" s="13" t="str">
        <x:v>UI-110</x:v>
      </x:c>
      <x:c r="B161" s="13" t="str">
        <x:v>KRDS UI/UX</x:v>
      </x:c>
      <x:c r="C161" s="13" t="str">
        <x:v>UI 상세 통제</x:v>
      </x:c>
      <x:c r="D161" s="13" t="str">
        <x:v>툴팁</x:v>
      </x:c>
      <x:c r="E161" s="13" t="str">
        <x:v>툴팁에 필수 설명을 독점 배치하지 않음</x:v>
      </x:c>
      <x:c r="F161" s="13" t="str">
        <x:v>SRC-001</x:v>
      </x:c>
      <x:c r="G161" s="13" t="str">
        <x:v>컴포넌트 / 도움 / 툴팁 / p.652</x:v>
      </x:c>
      <x:c r="H161" s="13" t="str">
        <x:v>원문 등급 별도 확인</x:v>
      </x:c>
      <x:c r="I161" s="13" t="str">
        <x:v>MUST(안)</x:v>
      </x:c>
      <x:c r="J161" s="13" t="str">
        <x:v>적용</x:v>
      </x:c>
      <x:c r="K161" s="13" t="str">
        <x:v>업무요청 웹 샘플에 채택하는 회사 기준. 실제 이행은 구현 후 판정.</x:v>
      </x:c>
      <x:c r="L161" s="13" t="str">
        <x:v>필수 입력 안내·오류는 화면 본문에 항상 제공</x:v>
      </x:c>
      <x:c r="M161" s="13" t="str">
        <x:v>터치·확대·보조기술에서도 필수 내용 확인</x:v>
      </x:c>
      <x:c r="N161" s="13" t="str">
        <x:v>UX·개발·QA</x:v>
      </x:c>
      <x:c r="O161" s="13" t="str">
        <x:v>P1</x:v>
      </x:c>
      <x:c r="P161" s="15" t="str">
        <x:v>계획</x:v>
      </x:c>
      <x:c r="Q161" s="15" t="str">
        <x:v>미실행</x:v>
      </x:c>
      <x:c r="R161" s="15" t="str">
        <x:v>미실행</x:v>
      </x:c>
      <x:c r="S161" s="15" t="str">
        <x:v>자동+수동</x:v>
      </x:c>
      <x:c r="T161" s="15" t="str"/>
      <x:c r="U161" s="15" t="str"/>
      <x:c r="V161" s="15" t="str"/>
      <x:c r="W161" s="15" t="str"/>
      <x:c r="X161" s="16" t="str"/>
      <x:c r="Y161" s="15" t="str"/>
      <x:c r="Z161" s="13" t="str">
        <x:f>IF(J161&lt;&gt;"적용","산정제외",IF(OR(Q161="실패",R161="실패"),"실패",IF(AND(P161="구현",T161&lt;&gt;"",U161&lt;&gt;"",V161&lt;&gt;"",W161&lt;&gt;"",ISNUMBER(X161),Y161="",OR(S161="수동",Q161="통과"),OR(S161="자동",R161="통과")),"통과","미검증")))</x:f>
        <x:v>미검증</x:v>
      </x:c>
      <x:c r="AA161" s="13" t="str">
        <x:v>KRDS-SEC-054</x:v>
      </x:c>
      <x:c r="AB161" s="13" t="str">
        <x:v>S05</x:v>
      </x:c>
    </x:row>
    <x:row r="162" ht="37.5" customHeight="1">
      <x:c r="A162" s="14" t="str">
        <x:v>UI-111</x:v>
      </x:c>
      <x:c r="B162" s="14" t="str">
        <x:v>KRDS UI/UX</x:v>
      </x:c>
      <x:c r="C162" s="14" t="str">
        <x:v>UI 상세 통제</x:v>
      </x:c>
      <x:c r="D162" s="14" t="str">
        <x:v>파일 업로드</x:v>
      </x:c>
      <x:c r="E162" s="14" t="str">
        <x:v>첨부 유형·크기·개수의 제약을 사전 안내</x:v>
      </x:c>
      <x:c r="F162" s="14" t="str">
        <x:v>SRC-001</x:v>
      </x:c>
      <x:c r="G162" s="14" t="str">
        <x:v>컴포넌트 / 입력 / 파일 업로드 / p.701</x:v>
      </x:c>
      <x:c r="H162" s="14" t="str">
        <x:v>원문 등급 별도 확인</x:v>
      </x:c>
      <x:c r="I162" s="14" t="str">
        <x:v>MUST(안)</x:v>
      </x:c>
      <x:c r="J162" s="14" t="str">
        <x:v>적용</x:v>
      </x:c>
      <x:c r="K162" s="14" t="str">
        <x:v>업무요청 웹 샘플에 채택하는 회사 기준. 실제 이행은 구현 후 판정.</x:v>
      </x:c>
      <x:c r="L162" s="14" t="str">
        <x:v>업무·보안상 필요한 파일 허용목록과 제한을 명시하고 서버에서도 동일 검증</x:v>
      </x:c>
      <x:c r="M162" s="14" t="str">
        <x:v>허용·금지 확장자, 위장 MIME, 초과크기·개수 검증</x:v>
      </x:c>
      <x:c r="N162" s="14" t="str">
        <x:v>UX·개발·QA</x:v>
      </x:c>
      <x:c r="O162" s="14" t="str">
        <x:v>P0</x:v>
      </x:c>
      <x:c r="P162" s="15" t="str">
        <x:v>계획</x:v>
      </x:c>
      <x:c r="Q162" s="15" t="str">
        <x:v>미실행</x:v>
      </x:c>
      <x:c r="R162" s="15" t="str">
        <x:v>미실행</x:v>
      </x:c>
      <x:c r="S162" s="15" t="str">
        <x:v>자동+수동</x:v>
      </x:c>
      <x:c r="T162" s="15" t="str"/>
      <x:c r="U162" s="15" t="str"/>
      <x:c r="V162" s="15" t="str"/>
      <x:c r="W162" s="15" t="str"/>
      <x:c r="X162" s="16" t="str"/>
      <x:c r="Y162" s="15" t="str"/>
      <x:c r="Z162" s="14" t="str">
        <x:f>IF(J162&lt;&gt;"적용","산정제외",IF(OR(Q162="실패",R162="실패"),"실패",IF(AND(P162="구현",T162&lt;&gt;"",U162&lt;&gt;"",V162&lt;&gt;"",W162&lt;&gt;"",ISNUMBER(X162),Y162="",OR(S162="수동",Q162="통과"),OR(S162="자동",R162="통과")),"통과","미검증")))</x:f>
        <x:v>미검증</x:v>
      </x:c>
      <x:c r="AA162" s="14" t="str">
        <x:v>KRDS-SEC-058</x:v>
      </x:c>
      <x:c r="AB162" s="14" t="str">
        <x:v>S04, S05</x:v>
      </x:c>
    </x:row>
    <x:row r="163" ht="37.5" customHeight="1">
      <x:c r="A163" s="13" t="str">
        <x:v>UI-112</x:v>
      </x:c>
      <x:c r="B163" s="13" t="str">
        <x:v>KRDS UI/UX</x:v>
      </x:c>
      <x:c r="C163" s="13" t="str">
        <x:v>UI 상세 통제</x:v>
      </x:c>
      <x:c r="D163" s="13" t="str">
        <x:v>파일 업로드</x:v>
      </x:c>
      <x:c r="E163" s="13" t="str">
        <x:v>파일 선택만으로 업무를 자동 제출하지 않음</x:v>
      </x:c>
      <x:c r="F163" s="13" t="str">
        <x:v>SRC-001</x:v>
      </x:c>
      <x:c r="G163" s="13" t="str">
        <x:v>컴포넌트 / 입력 / 파일 업로드 / p.708</x:v>
      </x:c>
      <x:c r="H163" s="13" t="str">
        <x:v>원문 등급 별도 확인</x:v>
      </x:c>
      <x:c r="I163" s="13" t="str">
        <x:v>MUST(안)</x:v>
      </x:c>
      <x:c r="J163" s="13" t="str">
        <x:v>적용</x:v>
      </x:c>
      <x:c r="K163" s="13" t="str">
        <x:v>업무요청 웹 샘플에 채택하는 회사 기준. 실제 이행은 구현 후 판정.</x:v>
      </x:c>
      <x:c r="L163" s="13" t="str">
        <x:v>선택·업로드 준비와 최종 업무 제출을 분리</x:v>
      </x:c>
      <x:c r="M163" s="13" t="str">
        <x:v>파일 선택 후 확인 가능한 상태와 취소 경로 확인</x:v>
      </x:c>
      <x:c r="N163" s="13" t="str">
        <x:v>UX·개발·QA</x:v>
      </x:c>
      <x:c r="O163" s="13" t="str">
        <x:v>P0</x:v>
      </x:c>
      <x:c r="P163" s="15" t="str">
        <x:v>계획</x:v>
      </x:c>
      <x:c r="Q163" s="15" t="str">
        <x:v>미실행</x:v>
      </x:c>
      <x:c r="R163" s="15" t="str">
        <x:v>미실행</x:v>
      </x:c>
      <x:c r="S163" s="15" t="str">
        <x:v>자동+수동</x:v>
      </x:c>
      <x:c r="T163" s="15" t="str"/>
      <x:c r="U163" s="15" t="str"/>
      <x:c r="V163" s="15" t="str"/>
      <x:c r="W163" s="15" t="str"/>
      <x:c r="X163" s="16" t="str"/>
      <x:c r="Y163" s="15" t="str"/>
      <x:c r="Z163" s="13" t="str">
        <x:f>IF(J163&lt;&gt;"적용","산정제외",IF(OR(Q163="실패",R163="실패"),"실패",IF(AND(P163="구현",T163&lt;&gt;"",U163&lt;&gt;"",V163&lt;&gt;"",W163&lt;&gt;"",ISNUMBER(X163),Y163="",OR(S163="수동",Q163="통과"),OR(S163="자동",R163="통과")),"통과","미검증")))</x:f>
        <x:v>미검증</x:v>
      </x:c>
      <x:c r="AA163" s="13" t="str">
        <x:v>KRDS-SEC-058</x:v>
      </x:c>
      <x:c r="AB163" s="13" t="str">
        <x:v>S04, S05</x:v>
      </x:c>
    </x:row>
    <x:row r="164" ht="37.5" customHeight="1">
      <x:c r="A164" s="14" t="str">
        <x:v>UI-113</x:v>
      </x:c>
      <x:c r="B164" s="14" t="str">
        <x:v>KRDS UI/UX</x:v>
      </x:c>
      <x:c r="C164" s="14" t="str">
        <x:v>UI 상세 통제</x:v>
      </x:c>
      <x:c r="D164" s="14" t="str">
        <x:v>파일 업로드</x:v>
      </x:c>
      <x:c r="E164" s="14" t="str">
        <x:v>드래그앤드롭 외에 파일 선택 대안 제공</x:v>
      </x:c>
      <x:c r="F164" s="14" t="str">
        <x:v>SRC-001</x:v>
      </x:c>
      <x:c r="G164" s="14" t="str">
        <x:v>컴포넌트 / 입력 / 파일 업로드 / p.711</x:v>
      </x:c>
      <x:c r="H164" s="14" t="str">
        <x:v>원문 등급 별도 확인</x:v>
      </x:c>
      <x:c r="I164" s="14" t="str">
        <x:v>MUST(안)</x:v>
      </x:c>
      <x:c r="J164" s="14" t="str">
        <x:v>적용</x:v>
      </x:c>
      <x:c r="K164" s="14" t="str">
        <x:v>업무요청 웹 샘플에 채택하는 회사 기준. 실제 이행은 구현 후 판정.</x:v>
      </x:c>
      <x:c r="L164" s="14" t="str">
        <x:v>브라우저 기본 file input과 label/버튼으로 동일 첨부 기능 제공</x:v>
      </x:c>
      <x:c r="M164" s="14" t="str">
        <x:v>키보드만으로 선택·삭제·재시도 완료</x:v>
      </x:c>
      <x:c r="N164" s="14" t="str">
        <x:v>UX·개발·QA</x:v>
      </x:c>
      <x:c r="O164" s="14" t="str">
        <x:v>P0</x:v>
      </x:c>
      <x:c r="P164" s="15" t="str">
        <x:v>계획</x:v>
      </x:c>
      <x:c r="Q164" s="15" t="str">
        <x:v>미실행</x:v>
      </x:c>
      <x:c r="R164" s="15" t="str">
        <x:v>미실행</x:v>
      </x:c>
      <x:c r="S164" s="15" t="str">
        <x:v>자동+수동</x:v>
      </x:c>
      <x:c r="T164" s="15" t="str"/>
      <x:c r="U164" s="15" t="str"/>
      <x:c r="V164" s="15" t="str"/>
      <x:c r="W164" s="15" t="str"/>
      <x:c r="X164" s="16" t="str"/>
      <x:c r="Y164" s="15" t="str"/>
      <x:c r="Z164" s="14" t="str">
        <x:f>IF(J164&lt;&gt;"적용","산정제외",IF(OR(Q164="실패",R164="실패"),"실패",IF(AND(P164="구현",T164&lt;&gt;"",U164&lt;&gt;"",V164&lt;&gt;"",W164&lt;&gt;"",ISNUMBER(X164),Y164="",OR(S164="수동",Q164="통과"),OR(S164="자동",R164="통과")),"통과","미검증")))</x:f>
        <x:v>미검증</x:v>
      </x:c>
      <x:c r="AA164" s="14" t="str">
        <x:v>KRDS-SEC-058</x:v>
      </x:c>
      <x:c r="AB164" s="14" t="str">
        <x:v>S04, S05</x:v>
      </x:c>
    </x:row>
    <x:row r="165" ht="37.5" customHeight="1">
      <x:c r="A165" s="13" t="str">
        <x:v>UI-114</x:v>
      </x:c>
      <x:c r="B165" s="13" t="str">
        <x:v>KRDS UI/UX</x:v>
      </x:c>
      <x:c r="C165" s="13" t="str">
        <x:v>UI 상세 통제</x:v>
      </x:c>
      <x:c r="D165" s="13" t="str">
        <x:v>파일 업로드</x:v>
      </x:c>
      <x:c r="E165" s="13" t="str">
        <x:v>파일 상태를 스크린리더로 확인 가능하게 함</x:v>
      </x:c>
      <x:c r="F165" s="13" t="str">
        <x:v>SRC-001</x:v>
      </x:c>
      <x:c r="G165" s="13" t="str">
        <x:v>컴포넌트 / 입력 / 파일 업로드 / p.712</x:v>
      </x:c>
      <x:c r="H165" s="13" t="str">
        <x:v>원문 등급 별도 확인</x:v>
      </x:c>
      <x:c r="I165" s="13" t="str">
        <x:v>MUST(안)</x:v>
      </x:c>
      <x:c r="J165" s="13" t="str">
        <x:v>적용</x:v>
      </x:c>
      <x:c r="K165" s="13" t="str">
        <x:v>업무요청 웹 샘플에 채택하는 회사 기준. 실제 이행은 구현 후 판정.</x:v>
      </x:c>
      <x:c r="L165" s="13" t="str">
        <x:v>파일명·크기·진행·오류와 고유한 삭제 이름 제공</x:v>
      </x:c>
      <x:c r="M165" s="13" t="str">
        <x:v>진행 낭독 과다 여부와 성공/실패 알림 확인</x:v>
      </x:c>
      <x:c r="N165" s="13" t="str">
        <x:v>UX·개발·QA</x:v>
      </x:c>
      <x:c r="O165" s="13" t="str">
        <x:v>P0</x:v>
      </x:c>
      <x:c r="P165" s="15" t="str">
        <x:v>계획</x:v>
      </x:c>
      <x:c r="Q165" s="15" t="str">
        <x:v>미실행</x:v>
      </x:c>
      <x:c r="R165" s="15" t="str">
        <x:v>미실행</x:v>
      </x:c>
      <x:c r="S165" s="15" t="str">
        <x:v>자동+수동</x:v>
      </x:c>
      <x:c r="T165" s="15" t="str"/>
      <x:c r="U165" s="15" t="str"/>
      <x:c r="V165" s="15" t="str"/>
      <x:c r="W165" s="15" t="str"/>
      <x:c r="X165" s="16" t="str"/>
      <x:c r="Y165" s="15" t="str"/>
      <x:c r="Z165" s="13" t="str">
        <x:f>IF(J165&lt;&gt;"적용","산정제외",IF(OR(Q165="실패",R165="실패"),"실패",IF(AND(P165="구현",T165&lt;&gt;"",U165&lt;&gt;"",V165&lt;&gt;"",W165&lt;&gt;"",ISNUMBER(X165),Y165="",OR(S165="수동",Q165="통과"),OR(S165="자동",R165="통과")),"통과","미검증")))</x:f>
        <x:v>미검증</x:v>
      </x:c>
      <x:c r="AA165" s="13" t="str">
        <x:v>KRDS-SEC-058</x:v>
      </x:c>
      <x:c r="AB165" s="13" t="str">
        <x:v>S04, S05</x:v>
      </x:c>
    </x:row>
    <x:row r="166" ht="37.5" customHeight="1">
      <x:c r="A166" s="14" t="str">
        <x:v>UI-115</x:v>
      </x:c>
      <x:c r="B166" s="14" t="str">
        <x:v>KRDS UI/UX</x:v>
      </x:c>
      <x:c r="C166" s="14" t="str">
        <x:v>UI 상세 통제</x:v>
      </x:c>
      <x:c r="D166" s="14" t="str">
        <x:v>숨긴 콘텐츠</x:v>
      </x:c>
      <x:c r="E166" s="14" t="str">
        <x:v>보조기술 설명을 display:none으로 숨기지 않음</x:v>
      </x:c>
      <x:c r="F166" s="14" t="str">
        <x:v>SRC-001</x:v>
      </x:c>
      <x:c r="G166" s="14" t="str">
        <x:v>컴포넌트 / 콘텐츠 / 숨긴 콘텐츠 / p.749</x:v>
      </x:c>
      <x:c r="H166" s="14" t="str">
        <x:v>원문 등급 별도 확인</x:v>
      </x:c>
      <x:c r="I166" s="14" t="str">
        <x:v>MUST(안)</x:v>
      </x:c>
      <x:c r="J166" s="14" t="str">
        <x:v>적용</x:v>
      </x:c>
      <x:c r="K166" s="14" t="str">
        <x:v>업무요청 웹 샘플에 채택하는 회사 기준. 실제 이행은 구현 후 판정.</x:v>
      </x:c>
      <x:c r="L166" s="14" t="str">
        <x:v>검증된 visually-hidden 스타일 적용, aria-hidden과 혼용 방지</x:v>
      </x:c>
      <x:c r="M166" s="14" t="str">
        <x:v>접근성 트리의 설명 존재와 시각적 포커스 확인</x:v>
      </x:c>
      <x:c r="N166" s="14" t="str">
        <x:v>UX·개발·QA</x:v>
      </x:c>
      <x:c r="O166" s="14" t="str">
        <x:v>P1</x:v>
      </x:c>
      <x:c r="P166" s="15" t="str">
        <x:v>계획</x:v>
      </x:c>
      <x:c r="Q166" s="15" t="str">
        <x:v>미실행</x:v>
      </x:c>
      <x:c r="R166" s="15" t="str">
        <x:v>미실행</x:v>
      </x:c>
      <x:c r="S166" s="15" t="str">
        <x:v>자동+수동</x:v>
      </x:c>
      <x:c r="T166" s="15" t="str"/>
      <x:c r="U166" s="15" t="str"/>
      <x:c r="V166" s="15" t="str"/>
      <x:c r="W166" s="15" t="str"/>
      <x:c r="X166" s="16" t="str"/>
      <x:c r="Y166" s="15" t="str"/>
      <x:c r="Z166" s="14" t="str">
        <x:f>IF(J166&lt;&gt;"적용","산정제외",IF(OR(Q166="실패",R166="실패"),"실패",IF(AND(P166="구현",T166&lt;&gt;"",U166&lt;&gt;"",V166&lt;&gt;"",W166&lt;&gt;"",ISNUMBER(X166),Y166="",OR(S166="수동",Q166="통과"),OR(S166="자동",R166="통과")),"통과","미검증")))</x:f>
        <x:v>미검증</x:v>
      </x:c>
      <x:c r="AA166" s="14" t="str">
        <x:v>KRDS-SEC-062</x:v>
      </x:c>
      <x:c r="AB166" s="14" t="str">
        <x:v>S01~S08 / 공통</x:v>
      </x:c>
    </x:row>
    <x:row r="167" ht="37.5" customHeight="1">
      <x:c r="A167" s="13" t="str">
        <x:v>UI-116</x:v>
      </x:c>
      <x:c r="B167" s="13" t="str">
        <x:v>KRDS UI/UX</x:v>
      </x:c>
      <x:c r="C167" s="13" t="str">
        <x:v>UI 상세 통제</x:v>
      </x:c>
      <x:c r="D167" s="13" t="str">
        <x:v>오류</x:v>
      </x:c>
      <x:c r="E167" s="13" t="str">
        <x:v>오류 발생 후 입력값을 보존</x:v>
      </x:c>
      <x:c r="F167" s="13" t="str">
        <x:v>SRC-001</x:v>
      </x:c>
      <x:c r="G167" s="13" t="str">
        <x:v>기본 패턴 / 패턴 / 오류 / p.831</x:v>
      </x:c>
      <x:c r="H167" s="13" t="str">
        <x:v>원문 등급 별도 확인</x:v>
      </x:c>
      <x:c r="I167" s="13" t="str">
        <x:v>MUST(안)</x:v>
      </x:c>
      <x:c r="J167" s="13" t="str">
        <x:v>적용</x:v>
      </x:c>
      <x:c r="K167" s="13" t="str">
        <x:v>업무요청 웹 샘플에 채택하는 회사 기준. 실제 이행은 구현 후 판정.</x:v>
      </x:c>
      <x:c r="L167" s="13" t="str">
        <x:v>안전하게 보존 가능한 필드값을 유지하고 오류 수정에 필요한 초점 제공</x:v>
      </x:c>
      <x:c r="M167" s="13" t="str">
        <x:v>서버 검증 실패 후 기존 입력과 첨부 유지 확인</x:v>
      </x:c>
      <x:c r="N167" s="13" t="str">
        <x:v>UX·개발·QA</x:v>
      </x:c>
      <x:c r="O167" s="13" t="str">
        <x:v>P0</x:v>
      </x:c>
      <x:c r="P167" s="15" t="str">
        <x:v>계획</x:v>
      </x:c>
      <x:c r="Q167" s="15" t="str">
        <x:v>미실행</x:v>
      </x:c>
      <x:c r="R167" s="15" t="str">
        <x:v>미실행</x:v>
      </x:c>
      <x:c r="S167" s="15" t="str">
        <x:v>자동+수동</x:v>
      </x:c>
      <x:c r="T167" s="15" t="str"/>
      <x:c r="U167" s="15" t="str"/>
      <x:c r="V167" s="15" t="str"/>
      <x:c r="W167" s="15" t="str"/>
      <x:c r="X167" s="16" t="str"/>
      <x:c r="Y167" s="15" t="str"/>
      <x:c r="Z167" s="13" t="str">
        <x:f>IF(J167&lt;&gt;"적용","산정제외",IF(OR(Q167="실패",R167="실패"),"실패",IF(AND(P167="구현",T167&lt;&gt;"",U167&lt;&gt;"",V167&lt;&gt;"",W167&lt;&gt;"",ISNUMBER(X167),Y167="",OR(S167="수동",Q167="통과"),OR(S167="자동",R167="통과")),"통과","미검증")))</x:f>
        <x:v>미검증</x:v>
      </x:c>
      <x:c r="AA167" s="13" t="str">
        <x:v>KRDS-SEC-069</x:v>
      </x:c>
      <x:c r="AB167" s="13" t="str">
        <x:v>S05</x:v>
      </x:c>
    </x:row>
    <x:row r="168" ht="37.5" customHeight="1">
      <x:c r="A168" s="14" t="str">
        <x:v>UI-117</x:v>
      </x:c>
      <x:c r="B168" s="14" t="str">
        <x:v>KRDS UI/UX</x:v>
      </x:c>
      <x:c r="C168" s="14" t="str">
        <x:v>UI 상세 통제</x:v>
      </x:c>
      <x:c r="D168" s="14" t="str">
        <x:v>입력폼</x:v>
      </x:c>
      <x:c r="E168" s="14" t="str">
        <x:v>각 필드와 그룹에 접근 가능한 이름 제공</x:v>
      </x:c>
      <x:c r="F168" s="14" t="str">
        <x:v>SRC-001</x:v>
      </x:c>
      <x:c r="G168" s="14" t="str">
        <x:v>기본 패턴 / 패턴 / 입력폼 / p.847</x:v>
      </x:c>
      <x:c r="H168" s="14" t="str">
        <x:v>원문 등급 별도 확인</x:v>
      </x:c>
      <x:c r="I168" s="14" t="str">
        <x:v>MUST(안)</x:v>
      </x:c>
      <x:c r="J168" s="14" t="str">
        <x:v>적용</x:v>
      </x:c>
      <x:c r="K168" s="14" t="str">
        <x:v>업무요청 웹 샘플에 채택하는 회사 기준. 실제 이행은 구현 후 판정.</x:v>
      </x:c>
      <x:c r="L168" s="14" t="str">
        <x:v>label-for/id·fieldset/legend와 aria-describedby로 연결</x:v>
      </x:c>
      <x:c r="M168" s="14" t="str">
        <x:v>이름·역할·설명·필수여부를 스크린리더로 확인</x:v>
      </x:c>
      <x:c r="N168" s="14" t="str">
        <x:v>UX·개발·QA</x:v>
      </x:c>
      <x:c r="O168" s="14" t="str">
        <x:v>P0</x:v>
      </x:c>
      <x:c r="P168" s="15" t="str">
        <x:v>계획</x:v>
      </x:c>
      <x:c r="Q168" s="15" t="str">
        <x:v>미실행</x:v>
      </x:c>
      <x:c r="R168" s="15" t="str">
        <x:v>미실행</x:v>
      </x:c>
      <x:c r="S168" s="15" t="str">
        <x:v>자동+수동</x:v>
      </x:c>
      <x:c r="T168" s="15" t="str"/>
      <x:c r="U168" s="15" t="str"/>
      <x:c r="V168" s="15" t="str"/>
      <x:c r="W168" s="15" t="str"/>
      <x:c r="X168" s="16" t="str"/>
      <x:c r="Y168" s="15" t="str"/>
      <x:c r="Z168" s="14" t="str">
        <x:f>IF(J168&lt;&gt;"적용","산정제외",IF(OR(Q168="실패",R168="실패"),"실패",IF(AND(P168="구현",T168&lt;&gt;"",U168&lt;&gt;"",V168&lt;&gt;"",W168&lt;&gt;"",ISNUMBER(X168),Y168="",OR(S168="수동",Q168="통과"),OR(S168="자동",R168="통과")),"통과","미검증")))</x:f>
        <x:v>미검증</x:v>
      </x:c>
      <x:c r="AA168" s="14" t="str">
        <x:v>KRDS-SEC-070</x:v>
      </x:c>
      <x:c r="AB168" s="14" t="str">
        <x:v>S05</x:v>
      </x:c>
    </x:row>
    <x:row r="169" ht="37.5" customHeight="1">
      <x:c r="A169" s="13" t="str">
        <x:v>UI-118</x:v>
      </x:c>
      <x:c r="B169" s="13" t="str">
        <x:v>KRDS UI/UX</x:v>
      </x:c>
      <x:c r="C169" s="13" t="str">
        <x:v>UI 상세 통제</x:v>
      </x:c>
      <x:c r="D169" s="13" t="str">
        <x:v>입력폼</x:v>
      </x:c>
      <x:c r="E169" s="13" t="str">
        <x:v>오류가 있는 항목과 수정방법을 특정</x:v>
      </x:c>
      <x:c r="F169" s="13" t="str">
        <x:v>SRC-001</x:v>
      </x:c>
      <x:c r="G169" s="13" t="str">
        <x:v>기본 패턴 / 패턴 / 입력폼 / p.848</x:v>
      </x:c>
      <x:c r="H169" s="13" t="str">
        <x:v>원문 등급 별도 확인</x:v>
      </x:c>
      <x:c r="I169" s="13" t="str">
        <x:v>MUST(안)</x:v>
      </x:c>
      <x:c r="J169" s="13" t="str">
        <x:v>적용</x:v>
      </x:c>
      <x:c r="K169" s="13" t="str">
        <x:v>업무요청 웹 샘플에 채택하는 회사 기준. 실제 이행은 구현 후 판정.</x:v>
      </x:c>
      <x:c r="L169" s="13" t="str">
        <x:v>오류 요약의 링크를 필드에 연결하고 aria-invalid 설정</x:v>
      </x:c>
      <x:c r="M169" s="13" t="str">
        <x:v>오류 요약에서 필드 이동 후 수정 성공 확인</x:v>
      </x:c>
      <x:c r="N169" s="13" t="str">
        <x:v>UX·개발·QA</x:v>
      </x:c>
      <x:c r="O169" s="13" t="str">
        <x:v>P0</x:v>
      </x:c>
      <x:c r="P169" s="15" t="str">
        <x:v>계획</x:v>
      </x:c>
      <x:c r="Q169" s="15" t="str">
        <x:v>미실행</x:v>
      </x:c>
      <x:c r="R169" s="15" t="str">
        <x:v>미실행</x:v>
      </x:c>
      <x:c r="S169" s="15" t="str">
        <x:v>자동+수동</x:v>
      </x:c>
      <x:c r="T169" s="15" t="str"/>
      <x:c r="U169" s="15" t="str"/>
      <x:c r="V169" s="15" t="str"/>
      <x:c r="W169" s="15" t="str"/>
      <x:c r="X169" s="16" t="str"/>
      <x:c r="Y169" s="15" t="str"/>
      <x:c r="Z169" s="13" t="str">
        <x:f>IF(J169&lt;&gt;"적용","산정제외",IF(OR(Q169="실패",R169="실패"),"실패",IF(AND(P169="구현",T169&lt;&gt;"",U169&lt;&gt;"",V169&lt;&gt;"",W169&lt;&gt;"",ISNUMBER(X169),Y169="",OR(S169="수동",Q169="통과"),OR(S169="자동",R169="통과")),"통과","미검증")))</x:f>
        <x:v>미검증</x:v>
      </x:c>
      <x:c r="AA169" s="13" t="str">
        <x:v>KRDS-SEC-070</x:v>
      </x:c>
      <x:c r="AB169" s="13" t="str">
        <x:v>S05</x:v>
      </x:c>
    </x:row>
    <x:row r="170" ht="37.5" customHeight="1">
      <x:c r="A170" s="14" t="str">
        <x:v>UI-119</x:v>
      </x:c>
      <x:c r="B170" s="14" t="str">
        <x:v>KRDS UI/UX</x:v>
      </x:c>
      <x:c r="C170" s="14" t="str">
        <x:v>UI 상세 통제</x:v>
      </x:c>
      <x:c r="D170" s="14" t="str">
        <x:v>입력폼</x:v>
      </x:c>
      <x:c r="E170" s="14" t="str">
        <x:v>반복 입력 데이터의 재입력을 최소화</x:v>
      </x:c>
      <x:c r="F170" s="14" t="str">
        <x:v>SRC-001</x:v>
      </x:c>
      <x:c r="G170" s="14" t="str">
        <x:v>기본 패턴 / 패턴 / 입력폼 / p.849</x:v>
      </x:c>
      <x:c r="H170" s="14" t="str">
        <x:v>원문 등급 별도 확인</x:v>
      </x:c>
      <x:c r="I170" s="14" t="str">
        <x:v>MUST(안)</x:v>
      </x:c>
      <x:c r="J170" s="14" t="str">
        <x:v>적용</x:v>
      </x:c>
      <x:c r="K170" s="14" t="str">
        <x:v>업무요청 웹 샘플에 채택하는 회사 기준. 실제 이행은 구현 후 판정.</x:v>
      </x:c>
      <x:c r="L170" s="14" t="str">
        <x:v>같은 정보는 자동 채움·동일 정보 선택·수정 방식으로 제공</x:v>
      </x:c>
      <x:c r="M170" s="14" t="str">
        <x:v>단계 왕복 시 불필요한 재입력 요구 부재 확인</x:v>
      </x:c>
      <x:c r="N170" s="14" t="str">
        <x:v>UX·개발·QA</x:v>
      </x:c>
      <x:c r="O170" s="14" t="str">
        <x:v>P0</x:v>
      </x:c>
      <x:c r="P170" s="15" t="str">
        <x:v>계획</x:v>
      </x:c>
      <x:c r="Q170" s="15" t="str">
        <x:v>미실행</x:v>
      </x:c>
      <x:c r="R170" s="15" t="str">
        <x:v>미실행</x:v>
      </x:c>
      <x:c r="S170" s="15" t="str">
        <x:v>자동+수동</x:v>
      </x:c>
      <x:c r="T170" s="15" t="str"/>
      <x:c r="U170" s="15" t="str"/>
      <x:c r="V170" s="15" t="str"/>
      <x:c r="W170" s="15" t="str"/>
      <x:c r="X170" s="16" t="str"/>
      <x:c r="Y170" s="15" t="str"/>
      <x:c r="Z170" s="14" t="str">
        <x:f>IF(J170&lt;&gt;"적용","산정제외",IF(OR(Q170="실패",R170="실패"),"실패",IF(AND(P170="구현",T170&lt;&gt;"",U170&lt;&gt;"",V170&lt;&gt;"",W170&lt;&gt;"",ISNUMBER(X170),Y170="",OR(S170="수동",Q170="통과"),OR(S170="자동",R170="통과")),"통과","미검증")))</x:f>
        <x:v>미검증</x:v>
      </x:c>
      <x:c r="AA170" s="14" t="str">
        <x:v>KRDS-SEC-070</x:v>
      </x:c>
      <x:c r="AB170" s="14" t="str">
        <x:v>S05</x:v>
      </x:c>
    </x:row>
    <x:row r="171" ht="37.5" customHeight="1">
      <x:c r="A171" s="13" t="str">
        <x:v>UI-120</x:v>
      </x:c>
      <x:c r="B171" s="13" t="str">
        <x:v>KRDS UI/UX</x:v>
      </x:c>
      <x:c r="C171" s="13" t="str">
        <x:v>UI 상세 통제</x:v>
      </x:c>
      <x:c r="D171" s="13" t="str">
        <x:v>상세 검색</x:v>
      </x:c>
      <x:c r="E171" s="13" t="str">
        <x:v>검색 조건 변경 결과를 비시각적으로 안내</x:v>
      </x:c>
      <x:c r="F171" s="13" t="str">
        <x:v>SRC-001</x:v>
      </x:c>
      <x:c r="G171" s="13" t="str">
        <x:v>서비스 패턴 / 검색 / 상세 검색 / p.954</x:v>
      </x:c>
      <x:c r="H171" s="13" t="str">
        <x:v>원문 등급 별도 확인</x:v>
      </x:c>
      <x:c r="I171" s="13" t="str">
        <x:v>MUST(안)</x:v>
      </x:c>
      <x:c r="J171" s="13" t="str">
        <x:v>적용</x:v>
      </x:c>
      <x:c r="K171" s="13" t="str">
        <x:v>업무요청 웹 샘플에 채택하는 회사 기준. 실제 이행은 구현 후 판정.</x:v>
      </x:c>
      <x:c r="L171" s="13" t="str">
        <x:v>결과 수 영역에 polite live-region을 적용</x:v>
      </x:c>
      <x:c r="M171" s="13" t="str">
        <x:v>키보드 초점을 옮기지 않고 결과 수 안내 확인</x:v>
      </x:c>
      <x:c r="N171" s="13" t="str">
        <x:v>UX·개발·QA</x:v>
      </x:c>
      <x:c r="O171" s="13" t="str">
        <x:v>P1</x:v>
      </x:c>
      <x:c r="P171" s="15" t="str">
        <x:v>계획</x:v>
      </x:c>
      <x:c r="Q171" s="15" t="str">
        <x:v>미실행</x:v>
      </x:c>
      <x:c r="R171" s="15" t="str">
        <x:v>미실행</x:v>
      </x:c>
      <x:c r="S171" s="15" t="str">
        <x:v>자동+수동</x:v>
      </x:c>
      <x:c r="T171" s="15" t="str"/>
      <x:c r="U171" s="15" t="str"/>
      <x:c r="V171" s="15" t="str"/>
      <x:c r="W171" s="15" t="str"/>
      <x:c r="X171" s="16" t="str"/>
      <x:c r="Y171" s="15" t="str"/>
      <x:c r="Z171" s="13" t="str">
        <x:f>IF(J171&lt;&gt;"적용","산정제외",IF(OR(Q171="실패",R171="실패"),"실패",IF(AND(P171="구현",T171&lt;&gt;"",U171&lt;&gt;"",V171&lt;&gt;"",W171&lt;&gt;"",ISNUMBER(X171),Y171="",OR(S171="수동",Q171="통과"),OR(S171="자동",R171="통과")),"통과","미검증")))</x:f>
        <x:v>미검증</x:v>
      </x:c>
      <x:c r="AA171" s="13" t="str">
        <x:v>KRDS-SEC-080</x:v>
      </x:c>
      <x:c r="AB171" s="13" t="str">
        <x:v>S03</x:v>
      </x:c>
    </x:row>
    <x:row r="172" ht="37.5" customHeight="1">
      <x:c r="A172" s="14" t="str">
        <x:v>UI-121</x:v>
      </x:c>
      <x:c r="B172" s="14" t="str">
        <x:v>KRDS UI/UX</x:v>
      </x:c>
      <x:c r="C172" s="14" t="str">
        <x:v>UI 상세 통제</x:v>
      </x:c>
      <x:c r="D172" s="14" t="str">
        <x:v>로그인 방식 확인·선택</x:v>
      </x:c>
      <x:c r="E172" s="14" t="str">
        <x:v>인지시험에 의존하지 않는 인증 제공</x:v>
      </x:c>
      <x:c r="F172" s="14" t="str">
        <x:v>SRC-001</x:v>
      </x:c>
      <x:c r="G172" s="14" t="str">
        <x:v>서비스 패턴 / 로그인 / 로그인 방식 확인·선택 / p.1012</x:v>
      </x:c>
      <x:c r="H172" s="14" t="str">
        <x:v>원문 등급 별도 확인</x:v>
      </x:c>
      <x:c r="I172" s="14" t="str">
        <x:v>MUST(안)</x:v>
      </x:c>
      <x:c r="J172" s="14" t="str">
        <x:v>적용</x:v>
      </x:c>
      <x:c r="K172" s="14" t="str">
        <x:v>업무요청 웹 샘플에 채택하는 회사 기준. 실제 이행은 구현 후 판정.</x:v>
      </x:c>
      <x:c r="L172" s="14" t="str">
        <x:v>비밀번호 관리자·붙여넣기 허용, 퍼즐·기억력 시험을 유일 인증으로 사용하지 않음</x:v>
      </x:c>
      <x:c r="M172" s="14" t="str">
        <x:v>인증 경로의 대체수단과 붙여넣기 실제 동작 확인</x:v>
      </x:c>
      <x:c r="N172" s="14" t="str">
        <x:v>UX·개발·QA</x:v>
      </x:c>
      <x:c r="O172" s="14" t="str">
        <x:v>P0</x:v>
      </x:c>
      <x:c r="P172" s="15" t="str">
        <x:v>계획</x:v>
      </x:c>
      <x:c r="Q172" s="15" t="str">
        <x:v>미실행</x:v>
      </x:c>
      <x:c r="R172" s="15" t="str">
        <x:v>미실행</x:v>
      </x:c>
      <x:c r="S172" s="15" t="str">
        <x:v>자동+수동</x:v>
      </x:c>
      <x:c r="T172" s="15" t="str"/>
      <x:c r="U172" s="15" t="str"/>
      <x:c r="V172" s="15" t="str"/>
      <x:c r="W172" s="15" t="str"/>
      <x:c r="X172" s="16" t="str"/>
      <x:c r="Y172" s="15" t="str"/>
      <x:c r="Z172" s="14" t="str">
        <x:f>IF(J172&lt;&gt;"적용","산정제외",IF(OR(Q172="실패",R172="실패"),"실패",IF(AND(P172="구현",T172&lt;&gt;"",U172&lt;&gt;"",V172&lt;&gt;"",W172&lt;&gt;"",ISNUMBER(X172),Y172="",OR(S172="수동",Q172="통과"),OR(S172="자동",R172="통과")),"통과","미검증")))</x:f>
        <x:v>미검증</x:v>
      </x:c>
      <x:c r="AA172" s="14" t="str">
        <x:v>KRDS-SEC-087</x:v>
      </x:c>
      <x:c r="AB172" s="14" t="str">
        <x:v>S01, S05</x:v>
      </x:c>
    </x:row>
    <x:row r="173" ht="37.5" customHeight="1">
      <x:c r="A173" s="13" t="str">
        <x:v>UI-122</x:v>
      </x:c>
      <x:c r="B173" s="13" t="str">
        <x:v>KRDS UI/UX</x:v>
      </x:c>
      <x:c r="C173" s="13" t="str">
        <x:v>UI 상세 통제</x:v>
      </x:c>
      <x:c r="D173" s="13" t="str">
        <x:v>로그인 정보 입력</x:v>
      </x:c>
      <x:c r="E173" s="13" t="str">
        <x:v>오류 메시지가 민감한 인증정보를 노출하지 않음</x:v>
      </x:c>
      <x:c r="F173" s="13" t="str">
        <x:v>SRC-001</x:v>
      </x:c>
      <x:c r="G173" s="13" t="str">
        <x:v>서비스 패턴 / 로그인 / 로그인 정보 입력 / p.1014-1026</x:v>
      </x:c>
      <x:c r="H173" s="13" t="str">
        <x:v>원문 등급 별도 확인</x:v>
      </x:c>
      <x:c r="I173" s="13" t="str">
        <x:v>MUST(안)</x:v>
      </x:c>
      <x:c r="J173" s="13" t="str">
        <x:v>적용</x:v>
      </x:c>
      <x:c r="K173" s="13" t="str">
        <x:v>업무요청 웹 샘플에 채택하는 회사 기준. 실제 이행은 구현 후 판정.</x:v>
      </x:c>
      <x:c r="L173" s="13" t="str">
        <x:v>사용자에게 해결방법을 안내하면서 인증실패 원인을 과도하게 노출하지 않음</x:v>
      </x:c>
      <x:c r="M173" s="13" t="str">
        <x:v>존재/비존재 계정의 실패 응답과 정보노출 검토</x:v>
      </x:c>
      <x:c r="N173" s="13" t="str">
        <x:v>UX·개발·QA</x:v>
      </x:c>
      <x:c r="O173" s="13" t="str">
        <x:v>P1</x:v>
      </x:c>
      <x:c r="P173" s="15" t="str">
        <x:v>계획</x:v>
      </x:c>
      <x:c r="Q173" s="15" t="str">
        <x:v>미실행</x:v>
      </x:c>
      <x:c r="R173" s="15" t="str">
        <x:v>미실행</x:v>
      </x:c>
      <x:c r="S173" s="15" t="str">
        <x:v>자동+수동</x:v>
      </x:c>
      <x:c r="T173" s="15" t="str"/>
      <x:c r="U173" s="15" t="str"/>
      <x:c r="V173" s="15" t="str"/>
      <x:c r="W173" s="15" t="str"/>
      <x:c r="X173" s="16" t="str"/>
      <x:c r="Y173" s="15" t="str"/>
      <x:c r="Z173" s="13" t="str">
        <x:f>IF(J173&lt;&gt;"적용","산정제외",IF(OR(Q173="실패",R173="실패"),"실패",IF(AND(P173="구현",T173&lt;&gt;"",U173&lt;&gt;"",V173&lt;&gt;"",W173&lt;&gt;"",ISNUMBER(X173),Y173="",OR(S173="수동",Q173="통과"),OR(S173="자동",R173="통과")),"통과","미검증")))</x:f>
        <x:v>미검증</x:v>
      </x:c>
      <x:c r="AA173" s="13" t="str">
        <x:v>KRDS-SEC-088</x:v>
      </x:c>
      <x:c r="AB173" s="13" t="str">
        <x:v>S01, S05</x:v>
      </x:c>
    </x:row>
    <x:row r="174" ht="37.5" customHeight="1">
      <x:c r="A174" s="14" t="str">
        <x:v>UI-123</x:v>
      </x:c>
      <x:c r="B174" s="14" t="str">
        <x:v>KRDS UI/UX</x:v>
      </x:c>
      <x:c r="C174" s="14" t="str">
        <x:v>UI 상세 통제</x:v>
      </x:c>
      <x:c r="D174" s="14" t="str">
        <x:v>서비스 이용</x:v>
      </x:c>
      <x:c r="E174" s="14" t="str">
        <x:v>세션 만료 최소20초 전 안내와 연장수단 제공</x:v>
      </x:c>
      <x:c r="F174" s="14" t="str">
        <x:v>SRC-001</x:v>
      </x:c>
      <x:c r="G174" s="14" t="str">
        <x:v>서비스 패턴 / 로그인 / 서비스 이용 / p.1039-1041</x:v>
      </x:c>
      <x:c r="H174" s="14" t="str">
        <x:v>원문 등급 별도 확인</x:v>
      </x:c>
      <x:c r="I174" s="14" t="str">
        <x:v>MUST(안)</x:v>
      </x:c>
      <x:c r="J174" s="14" t="str">
        <x:v>적용</x:v>
      </x:c>
      <x:c r="K174" s="14" t="str">
        <x:v>업무요청 웹 샘플에 채택하는 회사 기준. 실제 이행은 구현 후 판정.</x:v>
      </x:c>
      <x:c r="L174" s="14" t="str">
        <x:v>만료 경고·시간연장·로그아웃 버튼, 최소10회 연장과 경고창 임의 키 연장 동작을 보안정책과 검토 후 구현</x:v>
      </x:c>
      <x:c r="M174" s="14" t="str">
        <x:v>시간 조정·경고 초점·보조기술·연장횟수·복구 시험</x:v>
      </x:c>
      <x:c r="N174" s="14" t="str">
        <x:v>UX·개발·QA</x:v>
      </x:c>
      <x:c r="O174" s="14" t="str">
        <x:v>P1</x:v>
      </x:c>
      <x:c r="P174" s="15" t="str">
        <x:v>계획</x:v>
      </x:c>
      <x:c r="Q174" s="15" t="str">
        <x:v>미실행</x:v>
      </x:c>
      <x:c r="R174" s="15" t="str">
        <x:v>미실행</x:v>
      </x:c>
      <x:c r="S174" s="15" t="str">
        <x:v>자동+수동</x:v>
      </x:c>
      <x:c r="T174" s="15" t="str"/>
      <x:c r="U174" s="15" t="str"/>
      <x:c r="V174" s="15" t="str"/>
      <x:c r="W174" s="15" t="str"/>
      <x:c r="X174" s="16" t="str"/>
      <x:c r="Y174" s="15" t="str"/>
      <x:c r="Z174" s="14" t="str">
        <x:f>IF(J174&lt;&gt;"적용","산정제외",IF(OR(Q174="실패",R174="실패"),"실패",IF(AND(P174="구현",T174&lt;&gt;"",U174&lt;&gt;"",V174&lt;&gt;"",W174&lt;&gt;"",ISNUMBER(X174),Y174="",OR(S174="수동",Q174="통과"),OR(S174="자동",R174="통과")),"통과","미검증")))</x:f>
        <x:v>미검증</x:v>
      </x:c>
      <x:c r="AA174" s="14" t="str">
        <x:v>KRDS-SEC-090</x:v>
      </x:c>
      <x:c r="AB174" s="14" t="str">
        <x:v>S01~S08 / 공통</x:v>
      </x:c>
    </x:row>
    <x:row r="175" ht="37.5" customHeight="1">
      <x:c r="A175" s="13" t="str">
        <x:v>UI-124</x:v>
      </x:c>
      <x:c r="B175" s="13" t="str">
        <x:v>KRDS UI/UX</x:v>
      </x:c>
      <x:c r="C175" s="13" t="str">
        <x:v>UI 상세 통제</x:v>
      </x:c>
      <x:c r="D175" s="13" t="str">
        <x:v>확인·확정</x:v>
      </x:c>
      <x:c r="E175" s="13" t="str">
        <x:v>중요 행동의 확정과 취소를 모두 제공</x:v>
      </x:c>
      <x:c r="F175" s="13" t="str">
        <x:v>SRC-001</x:v>
      </x:c>
      <x:c r="G175" s="13" t="str">
        <x:v>서비스 패턴 / 신청 / 확인·확정 / p.1119</x:v>
      </x:c>
      <x:c r="H175" s="13" t="str">
        <x:v>원문 등급 별도 확인</x:v>
      </x:c>
      <x:c r="I175" s="13" t="str">
        <x:v>MUST(안)</x:v>
      </x:c>
      <x:c r="J175" s="13" t="str">
        <x:v>적용</x:v>
      </x:c>
      <x:c r="K175" s="13" t="str">
        <x:v>업무요청 웹 샘플에 채택하는 회사 기준. 실제 이행은 구현 후 판정.</x:v>
      </x:c>
      <x:c r="L175" s="13" t="str">
        <x:v>제출/취소를 명시하고 이전 단계로 돌아가도 입력 보존</x:v>
      </x:c>
      <x:c r="M175" s="13" t="str">
        <x:v>취소 후 상태·데이터·초점 확인</x:v>
      </x:c>
      <x:c r="N175" s="13" t="str">
        <x:v>UX·개발·QA</x:v>
      </x:c>
      <x:c r="O175" s="13" t="str">
        <x:v>P1</x:v>
      </x:c>
      <x:c r="P175" s="15" t="str">
        <x:v>계획</x:v>
      </x:c>
      <x:c r="Q175" s="15" t="str">
        <x:v>미실행</x:v>
      </x:c>
      <x:c r="R175" s="15" t="str">
        <x:v>미실행</x:v>
      </x:c>
      <x:c r="S175" s="15" t="str">
        <x:v>자동+수동</x:v>
      </x:c>
      <x:c r="T175" s="15" t="str"/>
      <x:c r="U175" s="15" t="str"/>
      <x:c r="V175" s="15" t="str"/>
      <x:c r="W175" s="15" t="str"/>
      <x:c r="X175" s="16" t="str"/>
      <x:c r="Y175" s="15" t="str"/>
      <x:c r="Z175" s="13" t="str">
        <x:f>IF(J175&lt;&gt;"적용","산정제외",IF(OR(Q175="실패",R175="실패"),"실패",IF(AND(P175="구현",T175&lt;&gt;"",U175&lt;&gt;"",V175&lt;&gt;"",W175&lt;&gt;"",ISNUMBER(X175),Y175="",OR(S175="수동",Q175="통과"),OR(S175="자동",R175="통과")),"통과","미검증")))</x:f>
        <x:v>미검증</x:v>
      </x:c>
      <x:c r="AA175" s="13" t="str">
        <x:v>KRDS-SEC-097</x:v>
      </x:c>
      <x:c r="AB175" s="13" t="str">
        <x:v>S05</x:v>
      </x:c>
    </x:row>
    <x:row r="176" ht="37.5" customHeight="1">
      <x:c r="A176" s="14" t="str">
        <x:v>UI-125</x:v>
      </x:c>
      <x:c r="B176" s="14" t="str">
        <x:v>KRDS UI/UX</x:v>
      </x:c>
      <x:c r="C176" s="14" t="str">
        <x:v>UI 상세 통제</x:v>
      </x:c>
      <x:c r="D176" s="14" t="str">
        <x:v>푸터</x:v>
      </x:c>
      <x:c r="E176" s="14" t="str">
        <x:v>개인정보 처리방침 명칭과 가시성 유지</x:v>
      </x:c>
      <x:c r="F176" s="14" t="str">
        <x:v>SRC-001</x:v>
      </x:c>
      <x:c r="G176" s="14" t="str">
        <x:v>컴포넌트 / 아이덴티티 / 푸터 / p.249</x:v>
      </x:c>
      <x:c r="H176" s="14" t="str">
        <x:v>원문 등급 별도 확인</x:v>
      </x:c>
      <x:c r="I176" s="14" t="str">
        <x:v>MUST(안)</x:v>
      </x:c>
      <x:c r="J176" s="14" t="str">
        <x:v>적용</x:v>
      </x:c>
      <x:c r="K176" s="14" t="str">
        <x:v>업무요청 웹 샘플에 채택하는 회사 기준. 실제 이행은 구현 후 판정.</x:v>
      </x:c>
      <x:c r="L176" s="14" t="str">
        <x:v>‘개인정보 처리방침’ 명칭을 쓰고 굵기·색 등으로 다른 정책링크와 구분</x:v>
      </x:c>
      <x:c r="M176" s="14" t="str">
        <x:v>링크 텍스트·대비·최신 페이지·문서 제목 확인</x:v>
      </x:c>
      <x:c r="N176" s="14" t="str">
        <x:v>UX·개발·QA</x:v>
      </x:c>
      <x:c r="O176" s="14" t="str">
        <x:v>P1</x:v>
      </x:c>
      <x:c r="P176" s="15" t="str">
        <x:v>계획</x:v>
      </x:c>
      <x:c r="Q176" s="15" t="str">
        <x:v>미실행</x:v>
      </x:c>
      <x:c r="R176" s="15" t="str">
        <x:v>미실행</x:v>
      </x:c>
      <x:c r="S176" s="15" t="str">
        <x:v>자동+수동</x:v>
      </x:c>
      <x:c r="T176" s="15" t="str"/>
      <x:c r="U176" s="15" t="str"/>
      <x:c r="V176" s="15" t="str"/>
      <x:c r="W176" s="15" t="str"/>
      <x:c r="X176" s="16" t="str"/>
      <x:c r="Y176" s="15" t="str"/>
      <x:c r="Z176" s="14" t="str">
        <x:f>IF(J176&lt;&gt;"적용","산정제외",IF(OR(Q176="실패",R176="실패"),"실패",IF(AND(P176="구현",T176&lt;&gt;"",U176&lt;&gt;"",V176&lt;&gt;"",W176&lt;&gt;"",ISNUMBER(X176),Y176="",OR(S176="수동",Q176="통과"),OR(S176="자동",R176="통과")),"통과","미검증")))</x:f>
        <x:v>미검증</x:v>
      </x:c>
      <x:c r="AA176" s="14" t="str">
        <x:v>KRDS-SEC-020</x:v>
      </x:c>
      <x:c r="AB176" s="14" t="str">
        <x:v>S01~S08 / 공통</x:v>
      </x:c>
    </x:row>
    <x:row r="177" ht="37.5" customHeight="1">
      <x:c r="A177" s="13" t="str">
        <x:v>UI-126</x:v>
      </x:c>
      <x:c r="B177" s="13" t="str">
        <x:v>KRDS UI/UX</x:v>
      </x:c>
      <x:c r="C177" s="13" t="str">
        <x:v>2025.08 변경 반영</x:v>
      </x:c>
      <x:c r="D177" s="13" t="str">
        <x:v>운영기관 식별자</x:v>
      </x:c>
      <x:c r="E177" s="13" t="str">
        <x:v>운영기관 로고·안내로 변경하고 상위기관 계층 나열 삭제</x:v>
      </x:c>
      <x:c r="F177" s="13" t="str">
        <x:v>SRC-002</x:v>
      </x:c>
      <x:c r="G177" s="13" t="str">
        <x:v>컴포넌트 / 아이덴티티 / 운영기관 식별자 / p.변경 대비표 p1; 본문 p229-231</x:v>
      </x:c>
      <x:c r="H177" s="13" t="str">
        <x:v>원문 등급 별도 확인</x:v>
      </x:c>
      <x:c r="I177" s="13" t="str">
        <x:v>대상외</x:v>
      </x:c>
      <x:c r="J177" s="13" t="str">
        <x:v>해당없음</x:v>
      </x:c>
      <x:c r="K177" s="13" t="str">
        <x:v>현재 회사 자체 브랜드 웹 샘플 범위와 맞지 않음. 근거를 유지하고 범위 변경 시 재평가.</x:v>
      </x:c>
      <x:c r="L177" s="13" t="str">
        <x:v>공공 프로젝트 프로필에서 운영기관 기준으로 구성; 회사 샘플은 해당없음</x:v>
      </x:c>
      <x:c r="M177" s="13" t="str">
        <x:v>구버전 상위기관 계층 로고·문구 잔존 점검</x:v>
      </x:c>
      <x:c r="N177" s="13" t="str">
        <x:v>UX·개발·QA</x:v>
      </x:c>
      <x:c r="O177" s="13" t="str">
        <x:v>P1</x:v>
      </x:c>
      <x:c r="P177" s="15" t="str">
        <x:v>해당없음</x:v>
      </x:c>
      <x:c r="Q177" s="15" t="str">
        <x:v>미실행</x:v>
      </x:c>
      <x:c r="R177" s="15" t="str">
        <x:v>미실행</x:v>
      </x:c>
      <x:c r="S177" s="15" t="str">
        <x:v>수동</x:v>
      </x:c>
      <x:c r="T177" s="15" t="str"/>
      <x:c r="U177" s="15" t="str"/>
      <x:c r="V177" s="15" t="str"/>
      <x:c r="W177" s="15" t="str"/>
      <x:c r="X177" s="16" t="str"/>
      <x:c r="Y177" s="15" t="str"/>
      <x:c r="Z177" s="13" t="str">
        <x:f>IF(J177&lt;&gt;"적용","산정제외",IF(OR(Q177="실패",R177="실패"),"실패",IF(AND(P177="구현",T177&lt;&gt;"",U177&lt;&gt;"",V177&lt;&gt;"",W177&lt;&gt;"",ISNUMBER(X177),Y177="",OR(S177="수동",Q177="통과"),OR(S177="자동",R177="통과")),"통과","미검증")))</x:f>
        <x:v>산정제외</x:v>
      </x:c>
      <x:c r="AA177" s="13" t="str">
        <x:v>KRDS-SEC-018</x:v>
      </x:c>
      <x:c r="AB177" s="13" t="str">
        <x:v>S01~S08 / 공통</x:v>
      </x:c>
    </x:row>
    <x:row r="178" ht="37.5" customHeight="1">
      <x:c r="A178" s="14" t="str">
        <x:v>UI-127</x:v>
      </x:c>
      <x:c r="B178" s="14" t="str">
        <x:v>KRDS UI/UX</x:v>
      </x:c>
      <x:c r="C178" s="14" t="str">
        <x:v>2025.08 변경 반영</x:v>
      </x:c>
      <x:c r="D178" s="14" t="str">
        <x:v>푸터</x:v>
      </x:c>
      <x:c r="E178" s="14" t="str">
        <x:v>개인정보 처리방침 명칭·시각 구분을 강화</x:v>
      </x:c>
      <x:c r="F178" s="14" t="str">
        <x:v>SRC-002</x:v>
      </x:c>
      <x:c r="G178" s="14" t="str">
        <x:v>컴포넌트 / 아이덴티티 / 푸터 / p.변경 대비표 p2; 본문 p249</x:v>
      </x:c>
      <x:c r="H178" s="14" t="str">
        <x:v>원문 등급 별도 확인</x:v>
      </x:c>
      <x:c r="I178" s="14" t="str">
        <x:v>MUST(안)</x:v>
      </x:c>
      <x:c r="J178" s="14" t="str">
        <x:v>적용</x:v>
      </x:c>
      <x:c r="K178" s="14" t="str">
        <x:v>업무요청 웹 샘플에 채택하는 회사 기준. 실제 이행은 구현 후 판정.</x:v>
      </x:c>
      <x:c r="L178" s="14" t="str">
        <x:v>정책 링크의 정확한 명칭·굵기/색과 현재 내용을 적용</x:v>
      </x:c>
      <x:c r="M178" s="14" t="str">
        <x:v>디자인·접근성·실제 정책내용 합동 점검</x:v>
      </x:c>
      <x:c r="N178" s="14" t="str">
        <x:v>UX·개발·QA</x:v>
      </x:c>
      <x:c r="O178" s="14" t="str">
        <x:v>P1</x:v>
      </x:c>
      <x:c r="P178" s="15" t="str">
        <x:v>계획</x:v>
      </x:c>
      <x:c r="Q178" s="15" t="str">
        <x:v>미실행</x:v>
      </x:c>
      <x:c r="R178" s="15" t="str">
        <x:v>미실행</x:v>
      </x:c>
      <x:c r="S178" s="15" t="str">
        <x:v>자동+수동</x:v>
      </x:c>
      <x:c r="T178" s="15" t="str"/>
      <x:c r="U178" s="15" t="str"/>
      <x:c r="V178" s="15" t="str"/>
      <x:c r="W178" s="15" t="str"/>
      <x:c r="X178" s="16" t="str"/>
      <x:c r="Y178" s="15" t="str"/>
      <x:c r="Z178" s="14" t="str">
        <x:f>IF(J178&lt;&gt;"적용","산정제외",IF(OR(Q178="실패",R178="실패"),"실패",IF(AND(P178="구현",T178&lt;&gt;"",U178&lt;&gt;"",V178&lt;&gt;"",W178&lt;&gt;"",ISNUMBER(X178),Y178="",OR(S178="수동",Q178="통과"),OR(S178="자동",R178="통과")),"통과","미검증")))</x:f>
        <x:v>미검증</x:v>
      </x:c>
      <x:c r="AA178" s="14" t="str">
        <x:v>KRDS-SEC-020</x:v>
      </x:c>
      <x:c r="AB178" s="14" t="str">
        <x:v>S01~S08 / 공통</x:v>
      </x:c>
    </x:row>
    <x:row r="179" ht="37.5" customHeight="1">
      <x:c r="A179" s="13" t="str">
        <x:v>UI-128</x:v>
      </x:c>
      <x:c r="B179" s="13" t="str">
        <x:v>KRDS UI/UX</x:v>
      </x:c>
      <x:c r="C179" s="13" t="str">
        <x:v>2025.08 변경 반영</x:v>
      </x:c>
      <x:c r="D179" s="13" t="str">
        <x:v>로그인 방식 확인·선택</x:v>
      </x:c>
      <x:c r="E179" s="13" t="str">
        <x:v>로그인 방식 목록은 화면 구성을 고려하여 배치 가능</x:v>
      </x:c>
      <x:c r="F179" s="13" t="str">
        <x:v>SRC-002</x:v>
      </x:c>
      <x:c r="G179" s="13" t="str">
        <x:v>서비스 패턴 / 로그인 / 로그인 방식 확인·선택 / p.변경 대비표 p2; 본문 p1007</x:v>
      </x:c>
      <x:c r="H179" s="13" t="str">
        <x:v>권장(원문 확인)</x:v>
      </x:c>
      <x:c r="I179" s="13" t="str">
        <x:v>MUST(안)</x:v>
      </x:c>
      <x:c r="J179" s="13" t="str">
        <x:v>조건부</x:v>
      </x:c>
      <x:c r="K179" s="13" t="str">
        <x:v>해당 기능 또는 서비스 조건이 실제 범위에 포함될 때 적용.</x:v>
      </x:c>
      <x:c r="L179" s="13" t="str">
        <x:v>복수 인증 시 사용자 관점의 분류를 유지하면서 반응형 목록 배치</x:v>
      </x:c>
      <x:c r="M179" s="13" t="str">
        <x:v>인증방식 비교·선택·키보드 이동·작은 화면 점검</x:v>
      </x:c>
      <x:c r="N179" s="13" t="str">
        <x:v>UX·개발·QA</x:v>
      </x:c>
      <x:c r="O179" s="13" t="str">
        <x:v>P1</x:v>
      </x:c>
      <x:c r="P179" s="15" t="str">
        <x:v>계획</x:v>
      </x:c>
      <x:c r="Q179" s="15" t="str">
        <x:v>미실행</x:v>
      </x:c>
      <x:c r="R179" s="15" t="str">
        <x:v>미실행</x:v>
      </x:c>
      <x:c r="S179" s="15" t="str">
        <x:v>자동+수동</x:v>
      </x:c>
      <x:c r="T179" s="15" t="str"/>
      <x:c r="U179" s="15" t="str"/>
      <x:c r="V179" s="15" t="str"/>
      <x:c r="W179" s="15" t="str"/>
      <x:c r="X179" s="16" t="str"/>
      <x:c r="Y179" s="15" t="str"/>
      <x:c r="Z179" s="13" t="str">
        <x:f>IF(J179&lt;&gt;"적용","산정제외",IF(OR(Q179="실패",R179="실패"),"실패",IF(AND(P179="구현",T179&lt;&gt;"",U179&lt;&gt;"",V179&lt;&gt;"",W179&lt;&gt;"",ISNUMBER(X179),Y179="",OR(S179="수동",Q179="통과"),OR(S179="자동",R179="통과")),"통과","미검증")))</x:f>
        <x:v>산정제외</x:v>
      </x:c>
      <x:c r="AA179" s="13" t="str">
        <x:v>KRDS-SEC-087</x:v>
      </x:c>
      <x:c r="AB179" s="13" t="str">
        <x:v>S01, S05</x:v>
      </x:c>
    </x:row>
    <x:row r="180" ht="37.5" customHeight="1">
      <x:c r="A180" s="14" t="str">
        <x:v>KWA-001</x:v>
      </x:c>
      <x:c r="B180" s="14" t="str">
        <x:v>KWCAG 2.2</x:v>
      </x:c>
      <x:c r="C180" s="14" t="str">
        <x:v>KWCAG 2.2</x:v>
      </x:c>
      <x:c r="D180" s="14" t="str">
        <x:v>적절한 대체 텍스트 제공</x:v>
      </x:c>
      <x:c r="E180" s="14" t="str">
        <x:v>비텍스트 의미 전달</x:v>
      </x:c>
      <x:c r="F180" s="14" t="str">
        <x:v>SRC-004</x:v>
      </x:c>
      <x:c r="G180" s="14" t="str">
        <x:v>5.1.1</x:v>
      </x:c>
      <x:c r="H180" s="14" t="str">
        <x:v>국내 검사기준</x:v>
      </x:c>
      <x:c r="I180" s="14" t="str">
        <x:v>MUST(안)</x:v>
      </x:c>
      <x:c r="J180" s="14" t="str">
        <x:v>적용</x:v>
      </x:c>
      <x:c r="K180" s="14" t="str">
        <x:v>현재 샘플의 회사 필수 기준으로 채택 제안</x:v>
      </x:c>
      <x:c r="L180" s="14" t="str">
        <x:v>업무 첨부 이미지 설명 입력, 기능 아이콘 이름, 장식 alt=""</x:v>
      </x:c>
      <x:c r="M180" s="14" t="str">
        <x:v>자동 검사 + 화면낭독기로 정보 등가성 수동 확인</x:v>
      </x:c>
      <x:c r="N180" s="14" t="str">
        <x:v>개발·QA</x:v>
      </x:c>
      <x:c r="O180" s="14" t="str">
        <x:v>P1</x:v>
      </x:c>
      <x:c r="P180" s="15" t="str">
        <x:v>계획</x:v>
      </x:c>
      <x:c r="Q180" s="15" t="str">
        <x:v>미실행</x:v>
      </x:c>
      <x:c r="R180" s="15" t="str">
        <x:v>미실행</x:v>
      </x:c>
      <x:c r="S180" s="15" t="str">
        <x:v>자동+수동</x:v>
      </x:c>
      <x:c r="T180" s="15" t="str"/>
      <x:c r="U180" s="15" t="str"/>
      <x:c r="V180" s="15" t="str"/>
      <x:c r="W180" s="15" t="str"/>
      <x:c r="X180" s="16" t="str"/>
      <x:c r="Y180" s="15" t="str"/>
      <x:c r="Z180" s="14" t="str">
        <x:f>IF(J180&lt;&gt;"적용","산정제외",IF(OR(Q180="실패",R180="실패"),"실패",IF(AND(P180="구현",T180&lt;&gt;"",U180&lt;&gt;"",V180&lt;&gt;"",W180&lt;&gt;"",ISNUMBER(X180),Y180="",OR(S180="수동",Q180="통과"),OR(S180="자동",R180="통과")),"통과","미검증")))</x:f>
        <x:v>미검증</x:v>
      </x:c>
      <x:c r="AA180" s="14" t="str">
        <x:v>WCA-001</x:v>
      </x:c>
      <x:c r="AB180" s="14" t="str">
        <x:v>S01~S08 / 해당 기능의 모든 화면·상태
관련 검토 (동등성 주장 아님)</x:v>
      </x:c>
    </x:row>
    <x:row r="181" ht="37.5" customHeight="1">
      <x:c r="A181" s="13" t="str">
        <x:v>KWA-002</x:v>
      </x:c>
      <x:c r="B181" s="13" t="str">
        <x:v>KWCAG 2.2</x:v>
      </x:c>
      <x:c r="C181" s="13" t="str">
        <x:v>KWCAG 2.2</x:v>
      </x:c>
      <x:c r="D181" s="13" t="str">
        <x:v>자막 제공</x:v>
      </x:c>
      <x:c r="E181" s="13" t="str">
        <x:v>미디어 대체수단</x:v>
      </x:c>
      <x:c r="F181" s="13" t="str">
        <x:v>SRC-004</x:v>
      </x:c>
      <x:c r="G181" s="13" t="str">
        <x:v>5.2.1</x:v>
      </x:c>
      <x:c r="H181" s="13" t="str">
        <x:v>국내 검사기준</x:v>
      </x:c>
      <x:c r="I181" s="13" t="str">
        <x:v>MUST(안)</x:v>
      </x:c>
      <x:c r="J181" s="13" t="str">
        <x:v>조건부</x:v>
      </x:c>
      <x:c r="K181" s="13" t="str">
        <x:v>현재 동영상·음성 콘텐츠 없음. 추가 시 재판정</x:v>
      </x:c>
      <x:c r="L181" s="13" t="str">
        <x:v>영상 추가 시 동기화 자막·대본·필요한 음성해설을 별도 설계</x:v>
      </x:c>
      <x:c r="M181" s="13" t="str">
        <x:v>미디어 존재 확인 후 자막 내용·동기 수동 검토</x:v>
      </x:c>
      <x:c r="N181" s="13" t="str">
        <x:v>개발·QA</x:v>
      </x:c>
      <x:c r="O181" s="13" t="str">
        <x:v>P1</x:v>
      </x:c>
      <x:c r="P181" s="15" t="str">
        <x:v>계획</x:v>
      </x:c>
      <x:c r="Q181" s="15" t="str">
        <x:v>미실행</x:v>
      </x:c>
      <x:c r="R181" s="15" t="str">
        <x:v>미실행</x:v>
      </x:c>
      <x:c r="S181" s="15" t="str">
        <x:v>수동</x:v>
      </x:c>
      <x:c r="T181" s="15" t="str"/>
      <x:c r="U181" s="15" t="str"/>
      <x:c r="V181" s="15" t="str"/>
      <x:c r="W181" s="15" t="str"/>
      <x:c r="X181" s="16" t="str"/>
      <x:c r="Y181" s="15" t="str"/>
      <x:c r="Z181" s="13" t="str">
        <x:f>IF(J181&lt;&gt;"적용","산정제외",IF(OR(Q181="실패",R181="실패"),"실패",IF(AND(P181="구현",T181&lt;&gt;"",U181&lt;&gt;"",V181&lt;&gt;"",W181&lt;&gt;"",ISNUMBER(X181),Y181="",OR(S181="수동",Q181="통과"),OR(S181="자동",R181="통과")),"통과","미검증")))</x:f>
        <x:v>산정제외</x:v>
      </x:c>
      <x:c r="AA181" s="13" t="str">
        <x:v>WCA-002, WCA-006</x:v>
      </x:c>
      <x:c r="AB181" s="13" t="str">
        <x:v>S01~S08 / 해당 기능의 모든 화면·상태
관련 검토 (동등성 주장 아님)</x:v>
      </x:c>
    </x:row>
    <x:row r="182" ht="37.5" customHeight="1">
      <x:c r="A182" s="14" t="str">
        <x:v>KWA-003</x:v>
      </x:c>
      <x:c r="B182" s="14" t="str">
        <x:v>KWCAG 2.2</x:v>
      </x:c>
      <x:c r="C182" s="14" t="str">
        <x:v>KWCAG 2.2</x:v>
      </x:c>
      <x:c r="D182" s="14" t="str">
        <x:v>표의 구성</x:v>
      </x:c>
      <x:c r="E182" s="14" t="str">
        <x:v>표 구조 전달</x:v>
      </x:c>
      <x:c r="F182" s="14" t="str">
        <x:v>SRC-004</x:v>
      </x:c>
      <x:c r="G182" s="14" t="str">
        <x:v>5.3.1</x:v>
      </x:c>
      <x:c r="H182" s="14" t="str">
        <x:v>국내 검사기준</x:v>
      </x:c>
      <x:c r="I182" s="14" t="str">
        <x:v>MUST(안)</x:v>
      </x:c>
      <x:c r="J182" s="14" t="str">
        <x:v>적용</x:v>
      </x:c>
      <x:c r="K182" s="14" t="str">
        <x:v>현재 샘플의 회사 필수 기준으로 채택 제안</x:v>
      </x:c>
      <x:c r="L182" s="14" t="str">
        <x:v>요청 목록 table에 caption, th, scope 제공. 복합 표는 구조 단순화</x:v>
      </x:c>
      <x:c r="M182" s="14" t="str">
        <x:v>DOM 자동 검사 + NVDA 행·열 탐색</x:v>
      </x:c>
      <x:c r="N182" s="14" t="str">
        <x:v>개발·QA</x:v>
      </x:c>
      <x:c r="O182" s="14" t="str">
        <x:v>P1</x:v>
      </x:c>
      <x:c r="P182" s="15" t="str">
        <x:v>계획</x:v>
      </x:c>
      <x:c r="Q182" s="15" t="str">
        <x:v>미실행</x:v>
      </x:c>
      <x:c r="R182" s="15" t="str">
        <x:v>미실행</x:v>
      </x:c>
      <x:c r="S182" s="15" t="str">
        <x:v>자동+수동</x:v>
      </x:c>
      <x:c r="T182" s="15" t="str"/>
      <x:c r="U182" s="15" t="str"/>
      <x:c r="V182" s="15" t="str"/>
      <x:c r="W182" s="15" t="str"/>
      <x:c r="X182" s="16" t="str"/>
      <x:c r="Y182" s="15" t="str"/>
      <x:c r="Z182" s="14" t="str">
        <x:f>IF(J182&lt;&gt;"적용","산정제외",IF(OR(Q182="실패",R182="실패"),"실패",IF(AND(P182="구현",T182&lt;&gt;"",U182&lt;&gt;"",V182&lt;&gt;"",W182&lt;&gt;"",ISNUMBER(X182),Y182="",OR(S182="수동",Q182="통과"),OR(S182="자동",R182="통과")),"통과","미검증")))</x:f>
        <x:v>미검증</x:v>
      </x:c>
      <x:c r="AA182" s="14" t="str">
        <x:v>WCA-007</x:v>
      </x:c>
      <x:c r="AB182" s="14" t="str">
        <x:v>S01~S08 / 해당 기능의 모든 화면·상태
관련 검토 (동등성 주장 아님)</x:v>
      </x:c>
    </x:row>
    <x:row r="183" ht="37.5" customHeight="1">
      <x:c r="A183" s="13" t="str">
        <x:v>KWA-004</x:v>
      </x:c>
      <x:c r="B183" s="13" t="str">
        <x:v>KWCAG 2.2</x:v>
      </x:c>
      <x:c r="C183" s="13" t="str">
        <x:v>KWCAG 2.2</x:v>
      </x:c>
      <x:c r="D183" s="13" t="str">
        <x:v>콘텐츠의 선형구조</x:v>
      </x:c>
      <x:c r="E183" s="13" t="str">
        <x:v>논리적인 읽기순서</x:v>
      </x:c>
      <x:c r="F183" s="13" t="str">
        <x:v>SRC-004</x:v>
      </x:c>
      <x:c r="G183" s="13" t="str">
        <x:v>5.3.2</x:v>
      </x:c>
      <x:c r="H183" s="13" t="str">
        <x:v>국내 검사기준</x:v>
      </x:c>
      <x:c r="I183" s="13" t="str">
        <x:v>MUST(안)</x:v>
      </x:c>
      <x:c r="J183" s="13" t="str">
        <x:v>적용</x:v>
      </x:c>
      <x:c r="K183" s="13" t="str">
        <x:v>현재 샘플의 회사 필수 기준으로 채택 제안</x:v>
      </x:c>
      <x:c r="L183" s="13" t="str">
        <x:v>DOM 순서와 화면 읽기순서 일치, CSS order로 핵심순서 역전 금지</x:v>
      </x:c>
      <x:c r="M183" s="13" t="str">
        <x:v>CSS 비활성/화면낭독기 순서 수동 확인</x:v>
      </x:c>
      <x:c r="N183" s="13" t="str">
        <x:v>개발·QA</x:v>
      </x:c>
      <x:c r="O183" s="13" t="str">
        <x:v>P1</x:v>
      </x:c>
      <x:c r="P183" s="15" t="str">
        <x:v>계획</x:v>
      </x:c>
      <x:c r="Q183" s="15" t="str">
        <x:v>미실행</x:v>
      </x:c>
      <x:c r="R183" s="15" t="str">
        <x:v>미실행</x:v>
      </x:c>
      <x:c r="S183" s="15" t="str">
        <x:v>수동</x:v>
      </x:c>
      <x:c r="T183" s="15" t="str"/>
      <x:c r="U183" s="15" t="str"/>
      <x:c r="V183" s="15" t="str"/>
      <x:c r="W183" s="15" t="str"/>
      <x:c r="X183" s="16" t="str"/>
      <x:c r="Y183" s="15" t="str"/>
      <x:c r="Z183" s="13" t="str">
        <x:f>IF(J183&lt;&gt;"적용","산정제외",IF(OR(Q183="실패",R183="실패"),"실패",IF(AND(P183="구현",T183&lt;&gt;"",U183&lt;&gt;"",V183&lt;&gt;"",W183&lt;&gt;"",ISNUMBER(X183),Y183="",OR(S183="수동",Q183="통과"),OR(S183="자동",R183="통과")),"통과","미검증")))</x:f>
        <x:v>미검증</x:v>
      </x:c>
      <x:c r="AA183" s="13" t="str">
        <x:v>WCA-008</x:v>
      </x:c>
      <x:c r="AB183" s="13" t="str">
        <x:v>S01~S08 / 해당 기능의 모든 화면·상태
관련 검토 (동등성 주장 아님)</x:v>
      </x:c>
    </x:row>
    <x:row r="184" ht="37.5" customHeight="1">
      <x:c r="A184" s="14" t="str">
        <x:v>KWA-005</x:v>
      </x:c>
      <x:c r="B184" s="14" t="str">
        <x:v>KWCAG 2.2</x:v>
      </x:c>
      <x:c r="C184" s="14" t="str">
        <x:v>KWCAG 2.2</x:v>
      </x:c>
      <x:c r="D184" s="14" t="str">
        <x:v>명확한 지시사항 제공</x:v>
      </x:c>
      <x:c r="E184" s="14" t="str">
        <x:v>감각에 독립적인 안내</x:v>
      </x:c>
      <x:c r="F184" s="14" t="str">
        <x:v>SRC-004</x:v>
      </x:c>
      <x:c r="G184" s="14" t="str">
        <x:v>5.3.3</x:v>
      </x:c>
      <x:c r="H184" s="14" t="str">
        <x:v>국내 검사기준</x:v>
      </x:c>
      <x:c r="I184" s="14" t="str">
        <x:v>MUST(안)</x:v>
      </x:c>
      <x:c r="J184" s="14" t="str">
        <x:v>적용</x:v>
      </x:c>
      <x:c r="K184" s="14" t="str">
        <x:v>현재 샘플의 회사 필수 기준으로 채택 제안</x:v>
      </x:c>
      <x:c r="L184" s="14" t="str">
        <x:v>“오른쪽 파란 버튼” 대신 “요청 등록 버튼”으로 지시</x:v>
      </x:c>
      <x:c r="M184" s="14" t="str">
        <x:v>문구 수동 검토</x:v>
      </x:c>
      <x:c r="N184" s="14" t="str">
        <x:v>개발·QA</x:v>
      </x:c>
      <x:c r="O184" s="14" t="str">
        <x:v>P1</x:v>
      </x:c>
      <x:c r="P184" s="15" t="str">
        <x:v>계획</x:v>
      </x:c>
      <x:c r="Q184" s="15" t="str">
        <x:v>미실행</x:v>
      </x:c>
      <x:c r="R184" s="15" t="str">
        <x:v>미실행</x:v>
      </x:c>
      <x:c r="S184" s="15" t="str">
        <x:v>수동</x:v>
      </x:c>
      <x:c r="T184" s="15" t="str"/>
      <x:c r="U184" s="15" t="str"/>
      <x:c r="V184" s="15" t="str"/>
      <x:c r="W184" s="15" t="str"/>
      <x:c r="X184" s="16" t="str"/>
      <x:c r="Y184" s="15" t="str"/>
      <x:c r="Z184" s="14" t="str">
        <x:f>IF(J184&lt;&gt;"적용","산정제외",IF(OR(Q184="실패",R184="실패"),"실패",IF(AND(P184="구현",T184&lt;&gt;"",U184&lt;&gt;"",V184&lt;&gt;"",W184&lt;&gt;"",ISNUMBER(X184),Y184="",OR(S184="수동",Q184="통과"),OR(S184="자동",R184="통과")),"통과","미검증")))</x:f>
        <x:v>미검증</x:v>
      </x:c>
      <x:c r="AA184" s="14" t="str">
        <x:v>WCA-009</x:v>
      </x:c>
      <x:c r="AB184" s="14" t="str">
        <x:v>S01~S08 / 해당 기능의 모든 화면·상태
관련 검토 (동등성 주장 아님)</x:v>
      </x:c>
    </x:row>
    <x:row r="185" ht="37.5" customHeight="1">
      <x:c r="A185" s="13" t="str">
        <x:v>KWA-006</x:v>
      </x:c>
      <x:c r="B185" s="13" t="str">
        <x:v>KWCAG 2.2</x:v>
      </x:c>
      <x:c r="C185" s="13" t="str">
        <x:v>KWCAG 2.2</x:v>
      </x:c>
      <x:c r="D185" s="13" t="str">
        <x:v>색에 무관한 콘텐츠 인식</x:v>
      </x:c>
      <x:c r="E185" s="13" t="str">
        <x:v>색 외 식별수단</x:v>
      </x:c>
      <x:c r="F185" s="13" t="str">
        <x:v>SRC-004</x:v>
      </x:c>
      <x:c r="G185" s="13" t="str">
        <x:v>5.4.1</x:v>
      </x:c>
      <x:c r="H185" s="13" t="str">
        <x:v>국내 검사기준</x:v>
      </x:c>
      <x:c r="I185" s="13" t="str">
        <x:v>MUST(안)</x:v>
      </x:c>
      <x:c r="J185" s="13" t="str">
        <x:v>적용</x:v>
      </x:c>
      <x:c r="K185" s="13" t="str">
        <x:v>현재 샘플의 회사 필수 기준으로 채택 제안</x:v>
      </x:c>
      <x:c r="L185" s="13" t="str">
        <x:v>처리상태에 텍스트와 아이콘 병기, 오류에는 설명과 필드 연계</x:v>
      </x:c>
      <x:c r="M185" s="13" t="str">
        <x:v>흑백/색각 점검 + 화면낭독 확인</x:v>
      </x:c>
      <x:c r="N185" s="13" t="str">
        <x:v>개발·QA</x:v>
      </x:c>
      <x:c r="O185" s="13" t="str">
        <x:v>P1</x:v>
      </x:c>
      <x:c r="P185" s="15" t="str">
        <x:v>계획</x:v>
      </x:c>
      <x:c r="Q185" s="15" t="str">
        <x:v>미실행</x:v>
      </x:c>
      <x:c r="R185" s="15" t="str">
        <x:v>미실행</x:v>
      </x:c>
      <x:c r="S185" s="15" t="str">
        <x:v>수동</x:v>
      </x:c>
      <x:c r="T185" s="15" t="str"/>
      <x:c r="U185" s="15" t="str"/>
      <x:c r="V185" s="15" t="str"/>
      <x:c r="W185" s="15" t="str"/>
      <x:c r="X185" s="16" t="str"/>
      <x:c r="Y185" s="15" t="str"/>
      <x:c r="Z185" s="13" t="str">
        <x:f>IF(J185&lt;&gt;"적용","산정제외",IF(OR(Q185="실패",R185="실패"),"실패",IF(AND(P185="구현",T185&lt;&gt;"",U185&lt;&gt;"",V185&lt;&gt;"",W185&lt;&gt;"",ISNUMBER(X185),Y185="",OR(S185="수동",Q185="통과"),OR(S185="자동",R185="통과")),"통과","미검증")))</x:f>
        <x:v>미검증</x:v>
      </x:c>
      <x:c r="AA185" s="13" t="str">
        <x:v>WCA-012</x:v>
      </x:c>
      <x:c r="AB185" s="13" t="str">
        <x:v>S01~S08 / 해당 기능의 모든 화면·상태
관련 검토 (동등성 주장 아님)</x:v>
      </x:c>
    </x:row>
    <x:row r="186" ht="37.5" customHeight="1">
      <x:c r="A186" s="14" t="str">
        <x:v>KWA-007</x:v>
      </x:c>
      <x:c r="B186" s="14" t="str">
        <x:v>KWCAG 2.2</x:v>
      </x:c>
      <x:c r="C186" s="14" t="str">
        <x:v>KWCAG 2.2</x:v>
      </x:c>
      <x:c r="D186" s="14" t="str">
        <x:v>자동 재생 금지</x:v>
      </x:c>
      <x:c r="E186" s="14" t="str">
        <x:v>자동소리 통제</x:v>
      </x:c>
      <x:c r="F186" s="14" t="str">
        <x:v>SRC-004</x:v>
      </x:c>
      <x:c r="G186" s="14" t="str">
        <x:v>5.4.2</x:v>
      </x:c>
      <x:c r="H186" s="14" t="str">
        <x:v>국내 검사기준</x:v>
      </x:c>
      <x:c r="I186" s="14" t="str">
        <x:v>MUST(안)</x:v>
      </x:c>
      <x:c r="J186" s="14" t="str">
        <x:v>적용</x:v>
      </x:c>
      <x:c r="K186" s="14" t="str">
        <x:v>현재 샘플의 회사 필수 기준으로 채택 제안</x:v>
      </x:c>
      <x:c r="L186" s="14" t="str">
        <x:v>샘플 음성 자동재생 비활성. 향후 미디어 사용자 조작 후 재생</x:v>
      </x:c>
      <x:c r="M186" s="14" t="str">
        <x:v>페이지 진입·상태변경 시 소리 발생 수동 확인</x:v>
      </x:c>
      <x:c r="N186" s="14" t="str">
        <x:v>개발·QA</x:v>
      </x:c>
      <x:c r="O186" s="14" t="str">
        <x:v>P1</x:v>
      </x:c>
      <x:c r="P186" s="15" t="str">
        <x:v>계획</x:v>
      </x:c>
      <x:c r="Q186" s="15" t="str">
        <x:v>미실행</x:v>
      </x:c>
      <x:c r="R186" s="15" t="str">
        <x:v>미실행</x:v>
      </x:c>
      <x:c r="S186" s="15" t="str">
        <x:v>수동</x:v>
      </x:c>
      <x:c r="T186" s="15" t="str"/>
      <x:c r="U186" s="15" t="str"/>
      <x:c r="V186" s="15" t="str"/>
      <x:c r="W186" s="15" t="str"/>
      <x:c r="X186" s="16" t="str"/>
      <x:c r="Y186" s="15" t="str"/>
      <x:c r="Z186" s="14" t="str">
        <x:f>IF(J186&lt;&gt;"적용","산정제외",IF(OR(Q186="실패",R186="실패"),"실패",IF(AND(P186="구현",T186&lt;&gt;"",U186&lt;&gt;"",V186&lt;&gt;"",W186&lt;&gt;"",ISNUMBER(X186),Y186="",OR(S186="수동",Q186="통과"),OR(S186="자동",R186="통과")),"통과","미검증")))</x:f>
        <x:v>미검증</x:v>
      </x:c>
      <x:c r="AA186" s="14" t="str">
        <x:v>WCA-013</x:v>
      </x:c>
      <x:c r="AB186" s="14" t="str">
        <x:v>S01~S08 / 해당 기능의 모든 화면·상태
관련 검토 (동등성 주장 아님)</x:v>
      </x:c>
    </x:row>
    <x:row r="187" ht="37.5" customHeight="1">
      <x:c r="A187" s="13" t="str">
        <x:v>KWA-008</x:v>
      </x:c>
      <x:c r="B187" s="13" t="str">
        <x:v>KWCAG 2.2</x:v>
      </x:c>
      <x:c r="C187" s="13" t="str">
        <x:v>KWCAG 2.2</x:v>
      </x:c>
      <x:c r="D187" s="13" t="str">
        <x:v>텍스트 콘텐츠의 명도 대비</x:v>
      </x:c>
      <x:c r="E187" s="13" t="str">
        <x:v>문자 식별 대비</x:v>
      </x:c>
      <x:c r="F187" s="13" t="str">
        <x:v>SRC-004</x:v>
      </x:c>
      <x:c r="G187" s="13" t="str">
        <x:v>5.4.3</x:v>
      </x:c>
      <x:c r="H187" s="13" t="str">
        <x:v>국내 검사기준</x:v>
      </x:c>
      <x:c r="I187" s="13" t="str">
        <x:v>MUST(안)</x:v>
      </x:c>
      <x:c r="J187" s="13" t="str">
        <x:v>적용</x:v>
      </x:c>
      <x:c r="K187" s="13" t="str">
        <x:v>국내 예외와 WCAG 예외가 다름. WCAG AA 동시목표에서는 확대 가능만으로 3:1 완화하지 않음</x:v>
      </x:c>
      <x:c r="L187" s="13" t="str">
        <x:v>기본 본문 4.5:1, 큰 글자 3:1, 일반·오류·초점 상태별 토큰 검사</x:v>
      </x:c>
      <x:c r="M187" s="13" t="str">
        <x:v>대비 자동 계산 + 이미지/그라데이션 수동 확인</x:v>
      </x:c>
      <x:c r="N187" s="13" t="str">
        <x:v>개발·QA</x:v>
      </x:c>
      <x:c r="O187" s="13" t="str">
        <x:v>P1</x:v>
      </x:c>
      <x:c r="P187" s="15" t="str">
        <x:v>계획</x:v>
      </x:c>
      <x:c r="Q187" s="15" t="str">
        <x:v>미실행</x:v>
      </x:c>
      <x:c r="R187" s="15" t="str">
        <x:v>미실행</x:v>
      </x:c>
      <x:c r="S187" s="15" t="str">
        <x:v>자동+수동</x:v>
      </x:c>
      <x:c r="T187" s="15" t="str"/>
      <x:c r="U187" s="15" t="str"/>
      <x:c r="V187" s="15" t="str"/>
      <x:c r="W187" s="15" t="str"/>
      <x:c r="X187" s="16" t="str"/>
      <x:c r="Y187" s="15" t="str"/>
      <x:c r="Z187" s="13" t="str">
        <x:f>IF(J187&lt;&gt;"적용","산정제외",IF(OR(Q187="실패",R187="실패"),"실패",IF(AND(P187="구현",T187&lt;&gt;"",U187&lt;&gt;"",V187&lt;&gt;"",W187&lt;&gt;"",ISNUMBER(X187),Y187="",OR(S187="수동",Q187="통과"),OR(S187="자동",R187="통과")),"통과","미검증")))</x:f>
        <x:v>미검증</x:v>
      </x:c>
      <x:c r="AA187" s="13" t="str">
        <x:v>WCA-014</x:v>
      </x:c>
      <x:c r="AB187" s="13" t="str">
        <x:v>S01~S08 / 해당 기능의 모든 화면·상태
관련 검토 (동등성 주장 아님)</x:v>
      </x:c>
    </x:row>
    <x:row r="188" ht="37.5" customHeight="1">
      <x:c r="A188" s="14" t="str">
        <x:v>KWA-009</x:v>
      </x:c>
      <x:c r="B188" s="14" t="str">
        <x:v>KWCAG 2.2</x:v>
      </x:c>
      <x:c r="C188" s="14" t="str">
        <x:v>KWCAG 2.2</x:v>
      </x:c>
      <x:c r="D188" s="14" t="str">
        <x:v>콘텐츠 간의 구분</x:v>
      </x:c>
      <x:c r="E188" s="14" t="str">
        <x:v>인접요소 구별</x:v>
      </x:c>
      <x:c r="F188" s="14" t="str">
        <x:v>SRC-004</x:v>
      </x:c>
      <x:c r="G188" s="14" t="str">
        <x:v>5.4.4</x:v>
      </x:c>
      <x:c r="H188" s="14" t="str">
        <x:v>국내 검사기준</x:v>
      </x:c>
      <x:c r="I188" s="14" t="str">
        <x:v>MUST(안)</x:v>
      </x:c>
      <x:c r="J188" s="14" t="str">
        <x:v>적용</x:v>
      </x:c>
      <x:c r="K188" s="14" t="str">
        <x:v>현재 샘플의 회사 필수 기준으로 채택 제안</x:v>
      </x:c>
      <x:c r="L188" s="14" t="str">
        <x:v>목록행, 입력그룹, 도움말을 간격·테두리·제목으로 구분</x:v>
      </x:c>
      <x:c r="M188" s="14" t="str">
        <x:v>축소/확대/고대비 화면 수동 검토</x:v>
      </x:c>
      <x:c r="N188" s="14" t="str">
        <x:v>개발·QA</x:v>
      </x:c>
      <x:c r="O188" s="14" t="str">
        <x:v>P1</x:v>
      </x:c>
      <x:c r="P188" s="15" t="str">
        <x:v>계획</x:v>
      </x:c>
      <x:c r="Q188" s="15" t="str">
        <x:v>미실행</x:v>
      </x:c>
      <x:c r="R188" s="15" t="str">
        <x:v>미실행</x:v>
      </x:c>
      <x:c r="S188" s="15" t="str">
        <x:v>수동</x:v>
      </x:c>
      <x:c r="T188" s="15" t="str"/>
      <x:c r="U188" s="15" t="str"/>
      <x:c r="V188" s="15" t="str"/>
      <x:c r="W188" s="15" t="str"/>
      <x:c r="X188" s="16" t="str"/>
      <x:c r="Y188" s="15" t="str"/>
      <x:c r="Z188" s="14" t="str">
        <x:f>IF(J188&lt;&gt;"적용","산정제외",IF(OR(Q188="실패",R188="실패"),"실패",IF(AND(P188="구현",T188&lt;&gt;"",U188&lt;&gt;"",V188&lt;&gt;"",W188&lt;&gt;"",ISNUMBER(X188),Y188="",OR(S188="수동",Q188="통과"),OR(S188="자동",R188="통과")),"통과","미검증")))</x:f>
        <x:v>미검증</x:v>
      </x:c>
      <x:c r="AA188" s="14" t="str"/>
      <x:c r="AB188" s="14" t="str">
        <x:v>S01~S08 / 해당 기능의 모든 화면·상태
개별 판단</x:v>
      </x:c>
    </x:row>
    <x:row r="189" ht="37.5" customHeight="1">
      <x:c r="A189" s="13" t="str">
        <x:v>KWA-010</x:v>
      </x:c>
      <x:c r="B189" s="13" t="str">
        <x:v>KWCAG 2.2</x:v>
      </x:c>
      <x:c r="C189" s="13" t="str">
        <x:v>KWCAG 2.2</x:v>
      </x:c>
      <x:c r="D189" s="13" t="str">
        <x:v>키보드 사용 보장</x:v>
      </x:c>
      <x:c r="E189" s="13" t="str">
        <x:v>키보드 기능 완결</x:v>
      </x:c>
      <x:c r="F189" s="13" t="str">
        <x:v>SRC-004</x:v>
      </x:c>
      <x:c r="G189" s="13" t="str">
        <x:v>6.1.1</x:v>
      </x:c>
      <x:c r="H189" s="13" t="str">
        <x:v>국내 검사기준</x:v>
      </x:c>
      <x:c r="I189" s="13" t="str">
        <x:v>MUST(안)</x:v>
      </x:c>
      <x:c r="J189" s="13" t="str">
        <x:v>적용</x:v>
      </x:c>
      <x:c r="K189" s="13" t="str">
        <x:v>현재 샘플의 회사 필수 기준으로 채택 제안</x:v>
      </x:c>
      <x:c r="L189" s="13" t="str">
        <x:v>검색·등록·첨부·정렬·상태변경 전 과정을 키보드로 제공</x:v>
      </x:c>
      <x:c r="M189" s="13" t="str">
        <x:v>Tab, Shift+Tab, Enter, Space, 방향키, Escape 전체 플로 수동 시험</x:v>
      </x:c>
      <x:c r="N189" s="13" t="str">
        <x:v>개발·QA</x:v>
      </x:c>
      <x:c r="O189" s="13" t="str">
        <x:v>P1</x:v>
      </x:c>
      <x:c r="P189" s="15" t="str">
        <x:v>계획</x:v>
      </x:c>
      <x:c r="Q189" s="15" t="str">
        <x:v>미실행</x:v>
      </x:c>
      <x:c r="R189" s="15" t="str">
        <x:v>미실행</x:v>
      </x:c>
      <x:c r="S189" s="15" t="str">
        <x:v>수동</x:v>
      </x:c>
      <x:c r="T189" s="15" t="str"/>
      <x:c r="U189" s="15" t="str"/>
      <x:c r="V189" s="15" t="str"/>
      <x:c r="W189" s="15" t="str"/>
      <x:c r="X189" s="16" t="str"/>
      <x:c r="Y189" s="15" t="str"/>
      <x:c r="Z189" s="13" t="str">
        <x:f>IF(J189&lt;&gt;"적용","산정제외",IF(OR(Q189="실패",R189="실패"),"실패",IF(AND(P189="구현",T189&lt;&gt;"",U189&lt;&gt;"",V189&lt;&gt;"",W189&lt;&gt;"",ISNUMBER(X189),Y189="",OR(S189="수동",Q189="통과"),OR(S189="자동",R189="통과")),"통과","미검증")))</x:f>
        <x:v>미검증</x:v>
      </x:c>
      <x:c r="AA189" s="13" t="str">
        <x:v>WCA-021</x:v>
      </x:c>
      <x:c r="AB189" s="13" t="str">
        <x:v>S01~S08 / 해당 기능의 모든 화면·상태
관련 검토 (동등성 주장 아님)</x:v>
      </x:c>
    </x:row>
    <x:row r="190" ht="37.5" customHeight="1">
      <x:c r="A190" s="14" t="str">
        <x:v>KWA-011</x:v>
      </x:c>
      <x:c r="B190" s="14" t="str">
        <x:v>KWCAG 2.2</x:v>
      </x:c>
      <x:c r="C190" s="14" t="str">
        <x:v>KWCAG 2.2</x:v>
      </x:c>
      <x:c r="D190" s="14" t="str">
        <x:v>초점 이동과 표시</x:v>
      </x:c>
      <x:c r="E190" s="14" t="str">
        <x:v>논리적·가시적 초점</x:v>
      </x:c>
      <x:c r="F190" s="14" t="str">
        <x:v>SRC-004</x:v>
      </x:c>
      <x:c r="G190" s="14" t="str">
        <x:v>6.1.2</x:v>
      </x:c>
      <x:c r="H190" s="14" t="str">
        <x:v>국내 검사기준</x:v>
      </x:c>
      <x:c r="I190" s="14" t="str">
        <x:v>MUST(안)</x:v>
      </x:c>
      <x:c r="J190" s="14" t="str">
        <x:v>적용</x:v>
      </x:c>
      <x:c r="K190" s="14" t="str">
        <x:v>현재 샘플의 회사 필수 기준으로 채택 제안</x:v>
      </x:c>
      <x:c r="L190" s="14" t="str">
        <x:v>초점선 유지, 모달 초점 관리와 종료 후 복귀, SPA 화면 전환 시 제목으로 이동</x:v>
      </x:c>
      <x:c r="M190" s="14" t="str">
        <x:v>키보드 흐름 영상 + 모달 닫기 복귀 자동 시험</x:v>
      </x:c>
      <x:c r="N190" s="14" t="str">
        <x:v>개발·QA</x:v>
      </x:c>
      <x:c r="O190" s="14" t="str">
        <x:v>P1</x:v>
      </x:c>
      <x:c r="P190" s="15" t="str">
        <x:v>계획</x:v>
      </x:c>
      <x:c r="Q190" s="15" t="str">
        <x:v>미실행</x:v>
      </x:c>
      <x:c r="R190" s="15" t="str">
        <x:v>미실행</x:v>
      </x:c>
      <x:c r="S190" s="15" t="str">
        <x:v>자동+수동</x:v>
      </x:c>
      <x:c r="T190" s="15" t="str"/>
      <x:c r="U190" s="15" t="str"/>
      <x:c r="V190" s="15" t="str"/>
      <x:c r="W190" s="15" t="str"/>
      <x:c r="X190" s="16" t="str"/>
      <x:c r="Y190" s="15" t="str"/>
      <x:c r="Z190" s="14" t="str">
        <x:f>IF(J190&lt;&gt;"적용","산정제외",IF(OR(Q190="실패",R190="실패"),"실패",IF(AND(P190="구현",T190&lt;&gt;"",U190&lt;&gt;"",V190&lt;&gt;"",W190&lt;&gt;"",ISNUMBER(X190),Y190="",OR(S190="수동",Q190="통과"),OR(S190="자동",R190="통과")),"통과","미검증")))</x:f>
        <x:v>미검증</x:v>
      </x:c>
      <x:c r="AA190" s="14" t="str">
        <x:v>WCA-022, WCA-029, WCA-033</x:v>
      </x:c>
      <x:c r="AB190" s="14" t="str">
        <x:v>S01~S08 / 해당 기능의 모든 화면·상태
관련 검토 (동등성 주장 아님)</x:v>
      </x:c>
    </x:row>
    <x:row r="191" ht="37.5" customHeight="1">
      <x:c r="A191" s="13" t="str">
        <x:v>KWA-012</x:v>
      </x:c>
      <x:c r="B191" s="13" t="str">
        <x:v>KWCAG 2.2</x:v>
      </x:c>
      <x:c r="C191" s="13" t="str">
        <x:v>KWCAG 2.2</x:v>
      </x:c>
      <x:c r="D191" s="13" t="str">
        <x:v>조작 가능</x:v>
      </x:c>
      <x:c r="E191" s="13" t="str">
        <x:v>조작 가능한 제어</x:v>
      </x:c>
      <x:c r="F191" s="13" t="str">
        <x:v>SRC-004</x:v>
      </x:c>
      <x:c r="G191" s="13" t="str">
        <x:v>6.1.3</x:v>
      </x:c>
      <x:c r="H191" s="13" t="str">
        <x:v>국내 검사기준</x:v>
      </x:c>
      <x:c r="I191" s="13" t="str">
        <x:v>MUST(안)</x:v>
      </x:c>
      <x:c r="J191" s="13" t="str">
        <x:v>적용</x:v>
      </x:c>
      <x:c r="K191" s="13" t="str">
        <x:v>44~48은 회사 강화 목표. WCAG AA 24×24 최소와 혼동 금지</x:v>
      </x:c>
      <x:c r="L191" s="13" t="str">
        <x:v>회사 목표 주요 제어 44×44 CSS px 이상, 모바일 주요 제어 48×48 목표</x:v>
      </x:c>
      <x:c r="M191" s="13" t="str">
        <x:v>컴포넌트 크기 자동 측정 + 모바일 실제 조작</x:v>
      </x:c>
      <x:c r="N191" s="13" t="str">
        <x:v>개발·QA</x:v>
      </x:c>
      <x:c r="O191" s="13" t="str">
        <x:v>P1</x:v>
      </x:c>
      <x:c r="P191" s="15" t="str">
        <x:v>계획</x:v>
      </x:c>
      <x:c r="Q191" s="15" t="str">
        <x:v>미실행</x:v>
      </x:c>
      <x:c r="R191" s="15" t="str">
        <x:v>미실행</x:v>
      </x:c>
      <x:c r="S191" s="15" t="str">
        <x:v>자동+수동</x:v>
      </x:c>
      <x:c r="T191" s="15" t="str"/>
      <x:c r="U191" s="15" t="str"/>
      <x:c r="V191" s="15" t="str"/>
      <x:c r="W191" s="15" t="str"/>
      <x:c r="X191" s="16" t="str"/>
      <x:c r="Y191" s="15" t="str"/>
      <x:c r="Z191" s="13" t="str">
        <x:f>IF(J191&lt;&gt;"적용","산정제외",IF(OR(Q191="실패",R191="실패"),"실패",IF(AND(P191="구현",T191&lt;&gt;"",U191&lt;&gt;"",V191&lt;&gt;"",W191&lt;&gt;"",ISNUMBER(X191),Y191="",OR(S191="수동",Q191="통과"),OR(S191="자동",R191="통과")),"통과","미검증")))</x:f>
        <x:v>미검증</x:v>
      </x:c>
      <x:c r="AA191" s="13" t="str">
        <x:v>WCA-040</x:v>
      </x:c>
      <x:c r="AB191" s="13" t="str">
        <x:v>S01~S08 / 해당 기능의 모든 화면·상태
관련 검토 (동등성 주장 아님)</x:v>
      </x:c>
    </x:row>
    <x:row r="192" ht="37.5" customHeight="1">
      <x:c r="A192" s="14" t="str">
        <x:v>KWA-013</x:v>
      </x:c>
      <x:c r="B192" s="14" t="str">
        <x:v>KWCAG 2.2</x:v>
      </x:c>
      <x:c r="C192" s="14" t="str">
        <x:v>KWCAG 2.2</x:v>
      </x:c>
      <x:c r="D192" s="14" t="str">
        <x:v>문자 단축키</x:v>
      </x:c>
      <x:c r="E192" s="14" t="str">
        <x:v>단축키 오작동 방지</x:v>
      </x:c>
      <x:c r="F192" s="14" t="str">
        <x:v>SRC-004</x:v>
      </x:c>
      <x:c r="G192" s="14" t="str">
        <x:v>6.1.4</x:v>
      </x:c>
      <x:c r="H192" s="14" t="str">
        <x:v>국내 검사기준</x:v>
      </x:c>
      <x:c r="I192" s="14" t="str">
        <x:v>MUST(안)</x:v>
      </x:c>
      <x:c r="J192" s="14" t="str">
        <x:v>조건부</x:v>
      </x:c>
      <x:c r="K192" s="14" t="str">
        <x:v>현재 단일문자 전역단축키 없음</x:v>
      </x:c>
      <x:c r="L192" s="14" t="str">
        <x:v>한 글자 전역단축키 기본 미사용. 도입 시 해제·변경 또는 초점영역 한정</x:v>
      </x:c>
      <x:c r="M192" s="14" t="str">
        <x:v>문자입력·음성입력 중 오작동 수동 시험</x:v>
      </x:c>
      <x:c r="N192" s="14" t="str">
        <x:v>개발·QA</x:v>
      </x:c>
      <x:c r="O192" s="14" t="str">
        <x:v>P1</x:v>
      </x:c>
      <x:c r="P192" s="15" t="str">
        <x:v>계획</x:v>
      </x:c>
      <x:c r="Q192" s="15" t="str">
        <x:v>미실행</x:v>
      </x:c>
      <x:c r="R192" s="15" t="str">
        <x:v>미실행</x:v>
      </x:c>
      <x:c r="S192" s="15" t="str">
        <x:v>수동</x:v>
      </x:c>
      <x:c r="T192" s="15" t="str"/>
      <x:c r="U192" s="15" t="str"/>
      <x:c r="V192" s="15" t="str"/>
      <x:c r="W192" s="15" t="str"/>
      <x:c r="X192" s="16" t="str"/>
      <x:c r="Y192" s="15" t="str"/>
      <x:c r="Z192" s="14" t="str">
        <x:f>IF(J192&lt;&gt;"적용","산정제외",IF(OR(Q192="실패",R192="실패"),"실패",IF(AND(P192="구현",T192&lt;&gt;"",U192&lt;&gt;"",V192&lt;&gt;"",W192&lt;&gt;"",ISNUMBER(X192),Y192="",OR(S192="수동",Q192="통과"),OR(S192="자동",R192="통과")),"통과","미검증")))</x:f>
        <x:v>산정제외</x:v>
      </x:c>
      <x:c r="AA192" s="14" t="str">
        <x:v>WCA-023</x:v>
      </x:c>
      <x:c r="AB192" s="14" t="str">
        <x:v>S01~S08 / 해당 기능의 모든 화면·상태
관련 검토 (동등성 주장 아님)</x:v>
      </x:c>
    </x:row>
    <x:row r="193" ht="37.5" customHeight="1">
      <x:c r="A193" s="13" t="str">
        <x:v>KWA-014</x:v>
      </x:c>
      <x:c r="B193" s="13" t="str">
        <x:v>KWCAG 2.2</x:v>
      </x:c>
      <x:c r="C193" s="13" t="str">
        <x:v>KWCAG 2.2</x:v>
      </x:c>
      <x:c r="D193" s="13" t="str">
        <x:v>응답시간 조절</x:v>
      </x:c>
      <x:c r="E193" s="13" t="str">
        <x:v>시간제한 조절</x:v>
      </x:c>
      <x:c r="F193" s="13" t="str">
        <x:v>SRC-004</x:v>
      </x:c>
      <x:c r="G193" s="13" t="str">
        <x:v>6.2.1</x:v>
      </x:c>
      <x:c r="H193" s="13" t="str">
        <x:v>국내 검사기준</x:v>
      </x:c>
      <x:c r="I193" s="13" t="str">
        <x:v>MUST(안)</x:v>
      </x:c>
      <x:c r="J193" s="13" t="str">
        <x:v>적용</x:v>
      </x:c>
      <x:c r="K193" s="13" t="str">
        <x:v>현재 샘플의 회사 필수 기준으로 채택 제안</x:v>
      </x:c>
      <x:c r="L193" s="13" t="str">
        <x:v>세션 만료 전에 설명·연장 버튼 제공하고 입력 내용을 안전하게 복구</x:v>
      </x:c>
      <x:c r="M193" s="13" t="str">
        <x:v>짧은 테스트 타임아웃 설정 후 키보드·낭독 연장 시험</x:v>
      </x:c>
      <x:c r="N193" s="13" t="str">
        <x:v>개발·QA</x:v>
      </x:c>
      <x:c r="O193" s="13" t="str">
        <x:v>P1</x:v>
      </x:c>
      <x:c r="P193" s="15" t="str">
        <x:v>계획</x:v>
      </x:c>
      <x:c r="Q193" s="15" t="str">
        <x:v>미실행</x:v>
      </x:c>
      <x:c r="R193" s="15" t="str">
        <x:v>미실행</x:v>
      </x:c>
      <x:c r="S193" s="15" t="str">
        <x:v>수동</x:v>
      </x:c>
      <x:c r="T193" s="15" t="str"/>
      <x:c r="U193" s="15" t="str"/>
      <x:c r="V193" s="15" t="str"/>
      <x:c r="W193" s="15" t="str"/>
      <x:c r="X193" s="16" t="str"/>
      <x:c r="Y193" s="15" t="str"/>
      <x:c r="Z193" s="13" t="str">
        <x:f>IF(J193&lt;&gt;"적용","산정제외",IF(OR(Q193="실패",R193="실패"),"실패",IF(AND(P193="구현",T193&lt;&gt;"",U193&lt;&gt;"",V193&lt;&gt;"",W193&lt;&gt;"",ISNUMBER(X193),Y193="",OR(S193="수동",Q193="통과"),OR(S193="자동",R193="통과")),"통과","미검증")))</x:f>
        <x:v>미검증</x:v>
      </x:c>
      <x:c r="AA193" s="13" t="str">
        <x:v>WCA-024</x:v>
      </x:c>
      <x:c r="AB193" s="13" t="str">
        <x:v>S01~S08 / 해당 기능의 모든 화면·상태
관련 검토 (동등성 주장 아님)</x:v>
      </x:c>
    </x:row>
    <x:row r="194" ht="37.5" customHeight="1">
      <x:c r="A194" s="14" t="str">
        <x:v>KWA-015</x:v>
      </x:c>
      <x:c r="B194" s="14" t="str">
        <x:v>KWCAG 2.2</x:v>
      </x:c>
      <x:c r="C194" s="14" t="str">
        <x:v>KWCAG 2.2</x:v>
      </x:c>
      <x:c r="D194" s="14" t="str">
        <x:v>정지 기능 제공</x:v>
      </x:c>
      <x:c r="E194" s="14" t="str">
        <x:v>자동변경 제어</x:v>
      </x:c>
      <x:c r="F194" s="14" t="str">
        <x:v>SRC-004</x:v>
      </x:c>
      <x:c r="G194" s="14" t="str">
        <x:v>6.2.2</x:v>
      </x:c>
      <x:c r="H194" s="14" t="str">
        <x:v>국내 검사기준</x:v>
      </x:c>
      <x:c r="I194" s="14" t="str">
        <x:v>MUST(안)</x:v>
      </x:c>
      <x:c r="J194" s="14" t="str">
        <x:v>적용</x:v>
      </x:c>
      <x:c r="K194" s="14" t="str">
        <x:v>현재 샘플의 회사 필수 기준으로 채택 제안</x:v>
      </x:c>
      <x:c r="L194" s="14" t="str">
        <x:v>자동 회전 배너 미사용, 갱신되는 처리현황은 사용자 제어 제공</x:v>
      </x:c>
      <x:c r="M194" s="14" t="str">
        <x:v>자동갱신/움직임 존재 및 정지수단 수동 확인</x:v>
      </x:c>
      <x:c r="N194" s="14" t="str">
        <x:v>개발·QA</x:v>
      </x:c>
      <x:c r="O194" s="14" t="str">
        <x:v>P1</x:v>
      </x:c>
      <x:c r="P194" s="15" t="str">
        <x:v>계획</x:v>
      </x:c>
      <x:c r="Q194" s="15" t="str">
        <x:v>미실행</x:v>
      </x:c>
      <x:c r="R194" s="15" t="str">
        <x:v>미실행</x:v>
      </x:c>
      <x:c r="S194" s="15" t="str">
        <x:v>자동+수동</x:v>
      </x:c>
      <x:c r="T194" s="15" t="str"/>
      <x:c r="U194" s="15" t="str"/>
      <x:c r="V194" s="15" t="str"/>
      <x:c r="W194" s="15" t="str"/>
      <x:c r="X194" s="16" t="str"/>
      <x:c r="Y194" s="15" t="str"/>
      <x:c r="Z194" s="14" t="str">
        <x:f>IF(J194&lt;&gt;"적용","산정제외",IF(OR(Q194="실패",R194="실패"),"실패",IF(AND(P194="구현",T194&lt;&gt;"",U194&lt;&gt;"",V194&lt;&gt;"",W194&lt;&gt;"",ISNUMBER(X194),Y194="",OR(S194="수동",Q194="통과"),OR(S194="자동",R194="통과")),"통과","미검증")))</x:f>
        <x:v>미검증</x:v>
      </x:c>
      <x:c r="AA194" s="14" t="str">
        <x:v>WCA-025</x:v>
      </x:c>
      <x:c r="AB194" s="14" t="str">
        <x:v>S01~S08 / 해당 기능의 모든 화면·상태
관련 검토 (동등성 주장 아님)</x:v>
      </x:c>
    </x:row>
    <x:row r="195" ht="37.5" customHeight="1">
      <x:c r="A195" s="13" t="str">
        <x:v>KWA-016</x:v>
      </x:c>
      <x:c r="B195" s="13" t="str">
        <x:v>KWCAG 2.2</x:v>
      </x:c>
      <x:c r="C195" s="13" t="str">
        <x:v>KWCAG 2.2</x:v>
      </x:c>
      <x:c r="D195" s="13" t="str">
        <x:v>깜빡임과 번쩍임 사용 제한</x:v>
      </x:c>
      <x:c r="E195" s="13" t="str">
        <x:v>위험한 섬광 방지</x:v>
      </x:c>
      <x:c r="F195" s="13" t="str">
        <x:v>SRC-004</x:v>
      </x:c>
      <x:c r="G195" s="13" t="str">
        <x:v>6.3.1</x:v>
      </x:c>
      <x:c r="H195" s="13" t="str">
        <x:v>국내 검사기준</x:v>
      </x:c>
      <x:c r="I195" s="13" t="str">
        <x:v>MUST(안)</x:v>
      </x:c>
      <x:c r="J195" s="13" t="str">
        <x:v>적용</x:v>
      </x:c>
      <x:c r="K195" s="13" t="str">
        <x:v>현재 샘플의 회사 필수 기준으로 채택 제안</x:v>
      </x:c>
      <x:c r="L195" s="13" t="str">
        <x:v>경고나 성공효과에 점멸 사용하지 않고 정적인 아이콘·문구 사용</x:v>
      </x:c>
      <x:c r="M195" s="13" t="str">
        <x:v>애니메이션/동영상 전수 검토</x:v>
      </x:c>
      <x:c r="N195" s="13" t="str">
        <x:v>개발·QA</x:v>
      </x:c>
      <x:c r="O195" s="13" t="str">
        <x:v>P1</x:v>
      </x:c>
      <x:c r="P195" s="15" t="str">
        <x:v>계획</x:v>
      </x:c>
      <x:c r="Q195" s="15" t="str">
        <x:v>미실행</x:v>
      </x:c>
      <x:c r="R195" s="15" t="str">
        <x:v>미실행</x:v>
      </x:c>
      <x:c r="S195" s="15" t="str">
        <x:v>수동</x:v>
      </x:c>
      <x:c r="T195" s="15" t="str"/>
      <x:c r="U195" s="15" t="str"/>
      <x:c r="V195" s="15" t="str"/>
      <x:c r="W195" s="15" t="str"/>
      <x:c r="X195" s="16" t="str"/>
      <x:c r="Y195" s="15" t="str"/>
      <x:c r="Z195" s="13" t="str">
        <x:f>IF(J195&lt;&gt;"적용","산정제외",IF(OR(Q195="실패",R195="실패"),"실패",IF(AND(P195="구현",T195&lt;&gt;"",U195&lt;&gt;"",V195&lt;&gt;"",W195&lt;&gt;"",ISNUMBER(X195),Y195="",OR(S195="수동",Q195="통과"),OR(S195="자동",R195="통과")),"통과","미검증")))</x:f>
        <x:v>미검증</x:v>
      </x:c>
      <x:c r="AA195" s="13" t="str">
        <x:v>WCA-026</x:v>
      </x:c>
      <x:c r="AB195" s="13" t="str">
        <x:v>S01~S08 / 해당 기능의 모든 화면·상태
관련 검토 (동등성 주장 아님)</x:v>
      </x:c>
    </x:row>
    <x:row r="196" ht="37.5" customHeight="1">
      <x:c r="A196" s="14" t="str">
        <x:v>KWA-017</x:v>
      </x:c>
      <x:c r="B196" s="14" t="str">
        <x:v>KWCAG 2.2</x:v>
      </x:c>
      <x:c r="C196" s="14" t="str">
        <x:v>KWCAG 2.2</x:v>
      </x:c>
      <x:c r="D196" s="14" t="str">
        <x:v>반복 영역 건너뛰기</x:v>
      </x:c>
      <x:c r="E196" s="14" t="str">
        <x:v>본문 빠른 접근</x:v>
      </x:c>
      <x:c r="F196" s="14" t="str">
        <x:v>SRC-004</x:v>
      </x:c>
      <x:c r="G196" s="14" t="str">
        <x:v>6.4.1</x:v>
      </x:c>
      <x:c r="H196" s="14" t="str">
        <x:v>국내 검사기준</x:v>
      </x:c>
      <x:c r="I196" s="14" t="str">
        <x:v>MUST(안)</x:v>
      </x:c>
      <x:c r="J196" s="14" t="str">
        <x:v>적용</x:v>
      </x:c>
      <x:c r="K196" s="14" t="str">
        <x:v>현재 샘플의 회사 필수 기준으로 채택 제안</x:v>
      </x:c>
      <x:c r="L196" s="14" t="str">
        <x:v>문서 첫 링크로 본문 바로가기 제공하고 실제 main으로 초점 이동</x:v>
      </x:c>
      <x:c r="M196" s="14" t="str">
        <x:v>첫 Tab 표시·Enter 이동 자동/수동 확인</x:v>
      </x:c>
      <x:c r="N196" s="14" t="str">
        <x:v>개발·QA</x:v>
      </x:c>
      <x:c r="O196" s="14" t="str">
        <x:v>P1</x:v>
      </x:c>
      <x:c r="P196" s="15" t="str">
        <x:v>계획</x:v>
      </x:c>
      <x:c r="Q196" s="15" t="str">
        <x:v>미실행</x:v>
      </x:c>
      <x:c r="R196" s="15" t="str">
        <x:v>미실행</x:v>
      </x:c>
      <x:c r="S196" s="15" t="str">
        <x:v>자동+수동</x:v>
      </x:c>
      <x:c r="T196" s="15" t="str"/>
      <x:c r="U196" s="15" t="str"/>
      <x:c r="V196" s="15" t="str"/>
      <x:c r="W196" s="15" t="str"/>
      <x:c r="X196" s="16" t="str"/>
      <x:c r="Y196" s="15" t="str"/>
      <x:c r="Z196" s="14" t="str">
        <x:f>IF(J196&lt;&gt;"적용","산정제외",IF(OR(Q196="실패",R196="실패"),"실패",IF(AND(P196="구현",T196&lt;&gt;"",U196&lt;&gt;"",V196&lt;&gt;"",W196&lt;&gt;"",ISNUMBER(X196),Y196="",OR(S196="수동",Q196="통과"),OR(S196="자동",R196="통과")),"통과","미검증")))</x:f>
        <x:v>미검증</x:v>
      </x:c>
      <x:c r="AA196" s="14" t="str">
        <x:v>WCA-027</x:v>
      </x:c>
      <x:c r="AB196" s="14" t="str">
        <x:v>S01~S08 / 해당 기능의 모든 화면·상태
관련 검토 (동등성 주장 아님)</x:v>
      </x:c>
    </x:row>
    <x:row r="197" ht="37.5" customHeight="1">
      <x:c r="A197" s="13" t="str">
        <x:v>KWA-018</x:v>
      </x:c>
      <x:c r="B197" s="13" t="str">
        <x:v>KWCAG 2.2</x:v>
      </x:c>
      <x:c r="C197" s="13" t="str">
        <x:v>KWCAG 2.2</x:v>
      </x:c>
      <x:c r="D197" s="13" t="str">
        <x:v>제목 제공</x:v>
      </x:c>
      <x:c r="E197" s="13" t="str">
        <x:v>영역 제목 식별</x:v>
      </x:c>
      <x:c r="F197" s="13" t="str">
        <x:v>SRC-004</x:v>
      </x:c>
      <x:c r="G197" s="13" t="str">
        <x:v>6.4.2</x:v>
      </x:c>
      <x:c r="H197" s="13" t="str">
        <x:v>국내 검사기준</x:v>
      </x:c>
      <x:c r="I197" s="13" t="str">
        <x:v>MUST(안)</x:v>
      </x:c>
      <x:c r="J197" s="13" t="str">
        <x:v>적용</x:v>
      </x:c>
      <x:c r="K197" s="13" t="str">
        <x:v>현재 샘플의 회사 필수 기준으로 채택 제안</x:v>
      </x:c>
      <x:c r="L197" s="13" t="str">
        <x:v>페이지별 document.title·h1과 의미 있는 제목 계층 제공</x:v>
      </x:c>
      <x:c r="M197" s="13" t="str">
        <x:v>자동 제목 점검 + 화면낭독 heading 탐색</x:v>
      </x:c>
      <x:c r="N197" s="13" t="str">
        <x:v>개발·QA</x:v>
      </x:c>
      <x:c r="O197" s="13" t="str">
        <x:v>P1</x:v>
      </x:c>
      <x:c r="P197" s="15" t="str">
        <x:v>계획</x:v>
      </x:c>
      <x:c r="Q197" s="15" t="str">
        <x:v>미실행</x:v>
      </x:c>
      <x:c r="R197" s="15" t="str">
        <x:v>미실행</x:v>
      </x:c>
      <x:c r="S197" s="15" t="str">
        <x:v>자동+수동</x:v>
      </x:c>
      <x:c r="T197" s="15" t="str"/>
      <x:c r="U197" s="15" t="str"/>
      <x:c r="V197" s="15" t="str"/>
      <x:c r="W197" s="15" t="str"/>
      <x:c r="X197" s="16" t="str"/>
      <x:c r="Y197" s="15" t="str"/>
      <x:c r="Z197" s="13" t="str">
        <x:f>IF(J197&lt;&gt;"적용","산정제외",IF(OR(Q197="실패",R197="실패"),"실패",IF(AND(P197="구현",T197&lt;&gt;"",U197&lt;&gt;"",V197&lt;&gt;"",W197&lt;&gt;"",ISNUMBER(X197),Y197="",OR(S197="수동",Q197="통과"),OR(S197="자동",R197="통과")),"통과","미검증")))</x:f>
        <x:v>미검증</x:v>
      </x:c>
      <x:c r="AA197" s="13" t="str">
        <x:v>WCA-028, WCA-032</x:v>
      </x:c>
      <x:c r="AB197" s="13" t="str">
        <x:v>S01~S08 / 해당 기능의 모든 화면·상태
관련 검토 (동등성 주장 아님)</x:v>
      </x:c>
    </x:row>
    <x:row r="198" ht="37.5" customHeight="1">
      <x:c r="A198" s="14" t="str">
        <x:v>KWA-019</x:v>
      </x:c>
      <x:c r="B198" s="14" t="str">
        <x:v>KWCAG 2.2</x:v>
      </x:c>
      <x:c r="C198" s="14" t="str">
        <x:v>KWCAG 2.2</x:v>
      </x:c>
      <x:c r="D198" s="14" t="str">
        <x:v>적절한 링크 텍스트</x:v>
      </x:c>
      <x:c r="E198" s="14" t="str">
        <x:v>목적이 드러나는 링크</x:v>
      </x:c>
      <x:c r="F198" s="14" t="str">
        <x:v>SRC-004</x:v>
      </x:c>
      <x:c r="G198" s="14" t="str">
        <x:v>6.4.3</x:v>
      </x:c>
      <x:c r="H198" s="14" t="str">
        <x:v>국내 검사기준</x:v>
      </x:c>
      <x:c r="I198" s="14" t="str">
        <x:v>MUST(안)</x:v>
      </x:c>
      <x:c r="J198" s="14" t="str">
        <x:v>적용</x:v>
      </x:c>
      <x:c r="K198" s="14" t="str">
        <x:v>현재 샘플의 회사 필수 기준으로 채택 제안</x:v>
      </x:c>
      <x:c r="L198" s="14" t="str">
        <x:v>“자세히” 단독 반복 대신 요청명 또는 상세 목적 포함</x:v>
      </x:c>
      <x:c r="M198" s="14" t="str">
        <x:v>링크 목록 탐색 수동 확인</x:v>
      </x:c>
      <x:c r="N198" s="14" t="str">
        <x:v>개발·QA</x:v>
      </x:c>
      <x:c r="O198" s="14" t="str">
        <x:v>P1</x:v>
      </x:c>
      <x:c r="P198" s="15" t="str">
        <x:v>계획</x:v>
      </x:c>
      <x:c r="Q198" s="15" t="str">
        <x:v>미실행</x:v>
      </x:c>
      <x:c r="R198" s="15" t="str">
        <x:v>미실행</x:v>
      </x:c>
      <x:c r="S198" s="15" t="str">
        <x:v>수동</x:v>
      </x:c>
      <x:c r="T198" s="15" t="str"/>
      <x:c r="U198" s="15" t="str"/>
      <x:c r="V198" s="15" t="str"/>
      <x:c r="W198" s="15" t="str"/>
      <x:c r="X198" s="16" t="str"/>
      <x:c r="Y198" s="15" t="str"/>
      <x:c r="Z198" s="14" t="str">
        <x:f>IF(J198&lt;&gt;"적용","산정제외",IF(OR(Q198="실패",R198="실패"),"실패",IF(AND(P198="구현",T198&lt;&gt;"",U198&lt;&gt;"",V198&lt;&gt;"",W198&lt;&gt;"",ISNUMBER(X198),Y198="",OR(S198="수동",Q198="통과"),OR(S198="자동",R198="통과")),"통과","미검증")))</x:f>
        <x:v>미검증</x:v>
      </x:c>
      <x:c r="AA198" s="14" t="str">
        <x:v>WCA-030</x:v>
      </x:c>
      <x:c r="AB198" s="14" t="str">
        <x:v>S01~S08 / 해당 기능의 모든 화면·상태
관련 검토 (동등성 주장 아님)</x:v>
      </x:c>
    </x:row>
    <x:row r="199" ht="37.5" customHeight="1">
      <x:c r="A199" s="13" t="str">
        <x:v>KWA-020</x:v>
      </x:c>
      <x:c r="B199" s="13" t="str">
        <x:v>KWCAG 2.2</x:v>
      </x:c>
      <x:c r="C199" s="13" t="str">
        <x:v>KWCAG 2.2</x:v>
      </x:c>
      <x:c r="D199" s="13" t="str">
        <x:v>고정된 참조 위치 정보</x:v>
      </x:c>
      <x:c r="E199" s="13" t="str">
        <x:v>출판문서 위치 유지</x:v>
      </x:c>
      <x:c r="F199" s="13" t="str">
        <x:v>SRC-004</x:v>
      </x:c>
      <x:c r="G199" s="13" t="str">
        <x:v>6.4.4</x:v>
      </x:c>
      <x:c r="H199" s="13" t="str">
        <x:v>국내 검사기준</x:v>
      </x:c>
      <x:c r="I199" s="13" t="str">
        <x:v>MUST(안)</x:v>
      </x:c>
      <x:c r="J199" s="13" t="str">
        <x:v>조건부</x:v>
      </x:c>
      <x:c r="K199" s="13" t="str">
        <x:v>일반 HTML 업무화면만 있고 전자출판 뷰어 없음. WCAG2.2에 동등한 최종 성공기준 없음</x:v>
      </x:c>
      <x:c r="L199" s="13" t="str">
        <x:v>전자출판 뷰어 도입 시 원문 페이지 표식·이동·참조정보 보존</x:v>
      </x:c>
      <x:c r="M199" s="13" t="str">
        <x:v>뷰어 서식/확대 변경 후 참조 위치 수동 비교</x:v>
      </x:c>
      <x:c r="N199" s="13" t="str">
        <x:v>개발·QA</x:v>
      </x:c>
      <x:c r="O199" s="13" t="str">
        <x:v>P1</x:v>
      </x:c>
      <x:c r="P199" s="15" t="str">
        <x:v>계획</x:v>
      </x:c>
      <x:c r="Q199" s="15" t="str">
        <x:v>미실행</x:v>
      </x:c>
      <x:c r="R199" s="15" t="str">
        <x:v>미실행</x:v>
      </x:c>
      <x:c r="S199" s="15" t="str">
        <x:v>수동</x:v>
      </x:c>
      <x:c r="T199" s="15" t="str"/>
      <x:c r="U199" s="15" t="str"/>
      <x:c r="V199" s="15" t="str"/>
      <x:c r="W199" s="15" t="str"/>
      <x:c r="X199" s="16" t="str"/>
      <x:c r="Y199" s="15" t="str"/>
      <x:c r="Z199" s="13" t="str">
        <x:f>IF(J199&lt;&gt;"적용","산정제외",IF(OR(Q199="실패",R199="실패"),"실패",IF(AND(P199="구현",T199&lt;&gt;"",U199&lt;&gt;"",V199&lt;&gt;"",W199&lt;&gt;"",ISNUMBER(X199),Y199="",OR(S199="수동",Q199="통과"),OR(S199="자동",R199="통과")),"통과","미검증")))</x:f>
        <x:v>산정제외</x:v>
      </x:c>
      <x:c r="AA199" s="13" t="str"/>
      <x:c r="AB199" s="13" t="str">
        <x:v>S01~S08 / 해당 기능의 모든 화면·상태
개별 판단</x:v>
      </x:c>
    </x:row>
    <x:row r="200" ht="37.5" customHeight="1">
      <x:c r="A200" s="14" t="str">
        <x:v>KWA-021</x:v>
      </x:c>
      <x:c r="B200" s="14" t="str">
        <x:v>KWCAG 2.2</x:v>
      </x:c>
      <x:c r="C200" s="14" t="str">
        <x:v>KWCAG 2.2</x:v>
      </x:c>
      <x:c r="D200" s="14" t="str">
        <x:v>단일 포인터 입력 지원</x:v>
      </x:c>
      <x:c r="E200" s="14" t="str">
        <x:v>단일 포인터 대안</x:v>
      </x:c>
      <x:c r="F200" s="14" t="str">
        <x:v>SRC-004</x:v>
      </x:c>
      <x:c r="G200" s="14" t="str">
        <x:v>6.5.1</x:v>
      </x:c>
      <x:c r="H200" s="14" t="str">
        <x:v>국내 검사기준</x:v>
      </x:c>
      <x:c r="I200" s="14" t="str">
        <x:v>MUST(안)</x:v>
      </x:c>
      <x:c r="J200" s="14" t="str">
        <x:v>적용</x:v>
      </x:c>
      <x:c r="K200" s="14" t="str">
        <x:v>현재 샘플의 회사 필수 기준으로 채택 제안</x:v>
      </x:c>
      <x:c r="L200" s="14" t="str">
        <x:v>드래그 첨부 외 파일선택 버튼, 복잡제스처 없이 조작</x:v>
      </x:c>
      <x:c r="M200" s="14" t="str">
        <x:v>마우스 단일클릭·한손 터치로 시험</x:v>
      </x:c>
      <x:c r="N200" s="14" t="str">
        <x:v>개발·QA</x:v>
      </x:c>
      <x:c r="O200" s="14" t="str">
        <x:v>P1</x:v>
      </x:c>
      <x:c r="P200" s="15" t="str">
        <x:v>계획</x:v>
      </x:c>
      <x:c r="Q200" s="15" t="str">
        <x:v>미실행</x:v>
      </x:c>
      <x:c r="R200" s="15" t="str">
        <x:v>미실행</x:v>
      </x:c>
      <x:c r="S200" s="15" t="str">
        <x:v>수동</x:v>
      </x:c>
      <x:c r="T200" s="15" t="str"/>
      <x:c r="U200" s="15" t="str"/>
      <x:c r="V200" s="15" t="str"/>
      <x:c r="W200" s="15" t="str"/>
      <x:c r="X200" s="16" t="str"/>
      <x:c r="Y200" s="15" t="str"/>
      <x:c r="Z200" s="14" t="str">
        <x:f>IF(J200&lt;&gt;"적용","산정제외",IF(OR(Q200="실패",R200="실패"),"실패",IF(AND(P200="구현",T200&lt;&gt;"",U200&lt;&gt;"",V200&lt;&gt;"",W200&lt;&gt;"",ISNUMBER(X200),Y200="",OR(S200="수동",Q200="통과"),OR(S200="자동",R200="통과")),"통과","미검증")))</x:f>
        <x:v>미검증</x:v>
      </x:c>
      <x:c r="AA200" s="14" t="str">
        <x:v>WCA-035</x:v>
      </x:c>
      <x:c r="AB200" s="14" t="str">
        <x:v>S01~S08 / 해당 기능의 모든 화면·상태
관련 검토 (동등성 주장 아님)</x:v>
      </x:c>
    </x:row>
    <x:row r="201" ht="37.5" customHeight="1">
      <x:c r="A201" s="13" t="str">
        <x:v>KWA-022</x:v>
      </x:c>
      <x:c r="B201" s="13" t="str">
        <x:v>KWCAG 2.2</x:v>
      </x:c>
      <x:c r="C201" s="13" t="str">
        <x:v>KWCAG 2.2</x:v>
      </x:c>
      <x:c r="D201" s="13" t="str">
        <x:v>포인터 입력 취소</x:v>
      </x:c>
      <x:c r="E201" s="13" t="str">
        <x:v>누름 취소 허용</x:v>
      </x:c>
      <x:c r="F201" s="13" t="str">
        <x:v>SRC-004</x:v>
      </x:c>
      <x:c r="G201" s="13" t="str">
        <x:v>6.5.2</x:v>
      </x:c>
      <x:c r="H201" s="13" t="str">
        <x:v>국내 검사기준</x:v>
      </x:c>
      <x:c r="I201" s="13" t="str">
        <x:v>MUST(안)</x:v>
      </x:c>
      <x:c r="J201" s="13" t="str">
        <x:v>적용</x:v>
      </x:c>
      <x:c r="K201" s="13" t="str">
        <x:v>현재 샘플의 회사 필수 기준으로 채택 제안</x:v>
      </x:c>
      <x:c r="L201" s="13" t="str">
        <x:v>파괴적 행동은 pointerdown에서 실행하지 않고 확인·취소 제공</x:v>
      </x:c>
      <x:c r="M201" s="13" t="str">
        <x:v>누른 채 밖으로 이동·취소 동작 수동 시험</x:v>
      </x:c>
      <x:c r="N201" s="13" t="str">
        <x:v>개발·QA</x:v>
      </x:c>
      <x:c r="O201" s="13" t="str">
        <x:v>P1</x:v>
      </x:c>
      <x:c r="P201" s="15" t="str">
        <x:v>계획</x:v>
      </x:c>
      <x:c r="Q201" s="15" t="str">
        <x:v>미실행</x:v>
      </x:c>
      <x:c r="R201" s="15" t="str">
        <x:v>미실행</x:v>
      </x:c>
      <x:c r="S201" s="15" t="str">
        <x:v>수동</x:v>
      </x:c>
      <x:c r="T201" s="15" t="str"/>
      <x:c r="U201" s="15" t="str"/>
      <x:c r="V201" s="15" t="str"/>
      <x:c r="W201" s="15" t="str"/>
      <x:c r="X201" s="16" t="str"/>
      <x:c r="Y201" s="15" t="str"/>
      <x:c r="Z201" s="13" t="str">
        <x:f>IF(J201&lt;&gt;"적용","산정제외",IF(OR(Q201="실패",R201="실패"),"실패",IF(AND(P201="구현",T201&lt;&gt;"",U201&lt;&gt;"",V201&lt;&gt;"",W201&lt;&gt;"",ISNUMBER(X201),Y201="",OR(S201="수동",Q201="통과"),OR(S201="자동",R201="통과")),"통과","미검증")))</x:f>
        <x:v>미검증</x:v>
      </x:c>
      <x:c r="AA201" s="13" t="str">
        <x:v>WCA-036</x:v>
      </x:c>
      <x:c r="AB201" s="13" t="str">
        <x:v>S01~S08 / 해당 기능의 모든 화면·상태
관련 검토 (동등성 주장 아님)</x:v>
      </x:c>
    </x:row>
    <x:row r="202" ht="37.5" customHeight="1">
      <x:c r="A202" s="14" t="str">
        <x:v>KWA-023</x:v>
      </x:c>
      <x:c r="B202" s="14" t="str">
        <x:v>KWCAG 2.2</x:v>
      </x:c>
      <x:c r="C202" s="14" t="str">
        <x:v>KWCAG 2.2</x:v>
      </x:c>
      <x:c r="D202" s="14" t="str">
        <x:v>레이블과 네임</x:v>
      </x:c>
      <x:c r="E202" s="14" t="str">
        <x:v>보이는 이름 일치</x:v>
      </x:c>
      <x:c r="F202" s="14" t="str">
        <x:v>SRC-004</x:v>
      </x:c>
      <x:c r="G202" s="14" t="str">
        <x:v>6.5.3</x:v>
      </x:c>
      <x:c r="H202" s="14" t="str">
        <x:v>국내 검사기준</x:v>
      </x:c>
      <x:c r="I202" s="14" t="str">
        <x:v>MUST(안)</x:v>
      </x:c>
      <x:c r="J202" s="14" t="str">
        <x:v>적용</x:v>
      </x:c>
      <x:c r="K202" s="14" t="str">
        <x:v>현재 샘플의 회사 필수 기준으로 채택 제안</x:v>
      </x:c>
      <x:c r="L202" s="14" t="str">
        <x:v>버튼의 accessible name에 표시문구 포함, aria-label로 다른 이름 덮지 않음</x:v>
      </x:c>
      <x:c r="M202" s="14" t="str">
        <x:v>accessible name 자동 검사 + 음성명령 확인</x:v>
      </x:c>
      <x:c r="N202" s="14" t="str">
        <x:v>개발·QA</x:v>
      </x:c>
      <x:c r="O202" s="14" t="str">
        <x:v>P1</x:v>
      </x:c>
      <x:c r="P202" s="15" t="str">
        <x:v>계획</x:v>
      </x:c>
      <x:c r="Q202" s="15" t="str">
        <x:v>미실행</x:v>
      </x:c>
      <x:c r="R202" s="15" t="str">
        <x:v>미실행</x:v>
      </x:c>
      <x:c r="S202" s="15" t="str">
        <x:v>자동+수동</x:v>
      </x:c>
      <x:c r="T202" s="15" t="str"/>
      <x:c r="U202" s="15" t="str"/>
      <x:c r="V202" s="15" t="str"/>
      <x:c r="W202" s="15" t="str"/>
      <x:c r="X202" s="16" t="str"/>
      <x:c r="Y202" s="15" t="str"/>
      <x:c r="Z202" s="14" t="str">
        <x:f>IF(J202&lt;&gt;"적용","산정제외",IF(OR(Q202="실패",R202="실패"),"실패",IF(AND(P202="구현",T202&lt;&gt;"",U202&lt;&gt;"",V202&lt;&gt;"",W202&lt;&gt;"",ISNUMBER(X202),Y202="",OR(S202="수동",Q202="통과"),OR(S202="자동",R202="통과")),"통과","미검증")))</x:f>
        <x:v>미검증</x:v>
      </x:c>
      <x:c r="AA202" s="14" t="str">
        <x:v>WCA-037</x:v>
      </x:c>
      <x:c r="AB202" s="14" t="str">
        <x:v>S01~S08 / 해당 기능의 모든 화면·상태
관련 검토 (동등성 주장 아님)</x:v>
      </x:c>
    </x:row>
    <x:row r="203" ht="37.5" customHeight="1">
      <x:c r="A203" s="13" t="str">
        <x:v>KWA-024</x:v>
      </x:c>
      <x:c r="B203" s="13" t="str">
        <x:v>KWCAG 2.2</x:v>
      </x:c>
      <x:c r="C203" s="13" t="str">
        <x:v>KWCAG 2.2</x:v>
      </x:c>
      <x:c r="D203" s="13" t="str">
        <x:v>동작기반 작동</x:v>
      </x:c>
      <x:c r="E203" s="13" t="str">
        <x:v>움직임 대체 조작</x:v>
      </x:c>
      <x:c r="F203" s="13" t="str">
        <x:v>SRC-004</x:v>
      </x:c>
      <x:c r="G203" s="13" t="str">
        <x:v>6.5.4</x:v>
      </x:c>
      <x:c r="H203" s="13" t="str">
        <x:v>국내 검사기준</x:v>
      </x:c>
      <x:c r="I203" s="13" t="str">
        <x:v>MUST(안)</x:v>
      </x:c>
      <x:c r="J203" s="13" t="str">
        <x:v>조건부</x:v>
      </x:c>
      <x:c r="K203" s="13" t="str">
        <x:v>현재 모션센서 조작 기능 없음</x:v>
      </x:c>
      <x:c r="L203" s="13" t="str">
        <x:v>흔들기/기울이기 기능 미사용. 도입 시 버튼 대체와 비활성화 제공</x:v>
      </x:c>
      <x:c r="M203" s="13" t="str">
        <x:v>동작센서 기능 존재 확인 및 대체수단 수동 시험</x:v>
      </x:c>
      <x:c r="N203" s="13" t="str">
        <x:v>개발·QA</x:v>
      </x:c>
      <x:c r="O203" s="13" t="str">
        <x:v>P1</x:v>
      </x:c>
      <x:c r="P203" s="15" t="str">
        <x:v>계획</x:v>
      </x:c>
      <x:c r="Q203" s="15" t="str">
        <x:v>미실행</x:v>
      </x:c>
      <x:c r="R203" s="15" t="str">
        <x:v>미실행</x:v>
      </x:c>
      <x:c r="S203" s="15" t="str">
        <x:v>수동</x:v>
      </x:c>
      <x:c r="T203" s="15" t="str"/>
      <x:c r="U203" s="15" t="str"/>
      <x:c r="V203" s="15" t="str"/>
      <x:c r="W203" s="15" t="str"/>
      <x:c r="X203" s="16" t="str"/>
      <x:c r="Y203" s="15" t="str"/>
      <x:c r="Z203" s="13" t="str">
        <x:f>IF(J203&lt;&gt;"적용","산정제외",IF(OR(Q203="실패",R203="실패"),"실패",IF(AND(P203="구현",T203&lt;&gt;"",U203&lt;&gt;"",V203&lt;&gt;"",W203&lt;&gt;"",ISNUMBER(X203),Y203="",OR(S203="수동",Q203="통과"),OR(S203="자동",R203="통과")),"통과","미검증")))</x:f>
        <x:v>산정제외</x:v>
      </x:c>
      <x:c r="AA203" s="13" t="str">
        <x:v>WCA-038</x:v>
      </x:c>
      <x:c r="AB203" s="13" t="str">
        <x:v>S01~S08 / 해당 기능의 모든 화면·상태
관련 검토 (동등성 주장 아님)</x:v>
      </x:c>
    </x:row>
    <x:row r="204" ht="37.5" customHeight="1">
      <x:c r="A204" s="14" t="str">
        <x:v>KWA-025</x:v>
      </x:c>
      <x:c r="B204" s="14" t="str">
        <x:v>KWCAG 2.2</x:v>
      </x:c>
      <x:c r="C204" s="14" t="str">
        <x:v>KWCAG 2.2</x:v>
      </x:c>
      <x:c r="D204" s="14" t="str">
        <x:v>기본 언어 표시</x:v>
      </x:c>
      <x:c r="E204" s="14" t="str">
        <x:v>주언어 명시</x:v>
      </x:c>
      <x:c r="F204" s="14" t="str">
        <x:v>SRC-004</x:v>
      </x:c>
      <x:c r="G204" s="14" t="str">
        <x:v>7.1.1</x:v>
      </x:c>
      <x:c r="H204" s="14" t="str">
        <x:v>국내 검사기준</x:v>
      </x:c>
      <x:c r="I204" s="14" t="str">
        <x:v>MUST(안)</x:v>
      </x:c>
      <x:c r="J204" s="14" t="str">
        <x:v>적용</x:v>
      </x:c>
      <x:c r="K204" s="14" t="str">
        <x:v>현재 샘플의 회사 필수 기준으로 채택 제안</x:v>
      </x:c>
      <x:c r="L204" s="14" t="str">
        <x:v>html lang="ko" 지정</x:v>
      </x:c>
      <x:c r="M204" s="14" t="str">
        <x:v>문서 lang 속성 자동 검사 + 실제 주언어와 선언값의 일치 수동 확인</x:v>
      </x:c>
      <x:c r="N204" s="14" t="str">
        <x:v>개발·QA</x:v>
      </x:c>
      <x:c r="O204" s="14" t="str">
        <x:v>P1</x:v>
      </x:c>
      <x:c r="P204" s="15" t="str">
        <x:v>계획</x:v>
      </x:c>
      <x:c r="Q204" s="15" t="str">
        <x:v>미실행</x:v>
      </x:c>
      <x:c r="R204" s="15" t="str">
        <x:v>미실행</x:v>
      </x:c>
      <x:c r="S204" s="15" t="str">
        <x:v>자동+수동</x:v>
      </x:c>
      <x:c r="T204" s="15" t="str"/>
      <x:c r="U204" s="15" t="str"/>
      <x:c r="V204" s="15" t="str"/>
      <x:c r="W204" s="15" t="str"/>
      <x:c r="X204" s="16" t="str"/>
      <x:c r="Y204" s="15" t="str"/>
      <x:c r="Z204" s="14" t="str">
        <x:f>IF(J204&lt;&gt;"적용","산정제외",IF(OR(Q204="실패",R204="실패"),"실패",IF(AND(P204="구현",T204&lt;&gt;"",U204&lt;&gt;"",V204&lt;&gt;"",W204&lt;&gt;"",ISNUMBER(X204),Y204="",OR(S204="수동",Q204="통과"),OR(S204="자동",R204="통과")),"통과","미검증")))</x:f>
        <x:v>미검증</x:v>
      </x:c>
      <x:c r="AA204" s="14" t="str">
        <x:v>WCA-041</x:v>
      </x:c>
      <x:c r="AB204" s="14" t="str">
        <x:v>S01~S08 / 해당 기능의 모든 화면·상태
관련 검토 (동등성 주장 아님)</x:v>
      </x:c>
    </x:row>
    <x:row r="205" ht="37.5" customHeight="1">
      <x:c r="A205" s="13" t="str">
        <x:v>KWA-026</x:v>
      </x:c>
      <x:c r="B205" s="13" t="str">
        <x:v>KWCAG 2.2</x:v>
      </x:c>
      <x:c r="C205" s="13" t="str">
        <x:v>KWCAG 2.2</x:v>
      </x:c>
      <x:c r="D205" s="13" t="str">
        <x:v>사용자 요구에 따른 실행</x:v>
      </x:c>
      <x:c r="E205" s="13" t="str">
        <x:v>예측 가능한 실행</x:v>
      </x:c>
      <x:c r="F205" s="13" t="str">
        <x:v>SRC-004</x:v>
      </x:c>
      <x:c r="G205" s="13" t="str">
        <x:v>7.2.1</x:v>
      </x:c>
      <x:c r="H205" s="13" t="str">
        <x:v>국내 검사기준</x:v>
      </x:c>
      <x:c r="I205" s="13" t="str">
        <x:v>MUST(안)</x:v>
      </x:c>
      <x:c r="J205" s="13" t="str">
        <x:v>적용</x:v>
      </x:c>
      <x:c r="K205" s="13" t="str">
        <x:v>현재 샘플의 회사 필수 기준으로 채택 제안</x:v>
      </x:c>
      <x:c r="L205" s="13" t="str">
        <x:v>선택만으로 폼 제출하지 않음, 명시 실행 버튼·새 창 사전 안내</x:v>
      </x:c>
      <x:c r="M205" s="13" t="str">
        <x:v>초점·입력·선택 변화 수동 시험</x:v>
      </x:c>
      <x:c r="N205" s="13" t="str">
        <x:v>개발·QA</x:v>
      </x:c>
      <x:c r="O205" s="13" t="str">
        <x:v>P1</x:v>
      </x:c>
      <x:c r="P205" s="15" t="str">
        <x:v>계획</x:v>
      </x:c>
      <x:c r="Q205" s="15" t="str">
        <x:v>미실행</x:v>
      </x:c>
      <x:c r="R205" s="15" t="str">
        <x:v>미실행</x:v>
      </x:c>
      <x:c r="S205" s="15" t="str">
        <x:v>수동</x:v>
      </x:c>
      <x:c r="T205" s="15" t="str"/>
      <x:c r="U205" s="15" t="str"/>
      <x:c r="V205" s="15" t="str"/>
      <x:c r="W205" s="15" t="str"/>
      <x:c r="X205" s="16" t="str"/>
      <x:c r="Y205" s="15" t="str"/>
      <x:c r="Z205" s="13" t="str">
        <x:f>IF(J205&lt;&gt;"적용","산정제외",IF(OR(Q205="실패",R205="실패"),"실패",IF(AND(P205="구현",T205&lt;&gt;"",U205&lt;&gt;"",V205&lt;&gt;"",W205&lt;&gt;"",ISNUMBER(X205),Y205="",OR(S205="수동",Q205="통과"),OR(S205="자동",R205="통과")),"통과","미검증")))</x:f>
        <x:v>미검증</x:v>
      </x:c>
      <x:c r="AA205" s="13" t="str">
        <x:v>WCA-043, WCA-044</x:v>
      </x:c>
      <x:c r="AB205" s="13" t="str">
        <x:v>S01~S08 / 해당 기능의 모든 화면·상태
관련 검토 (동등성 주장 아님)</x:v>
      </x:c>
    </x:row>
    <x:row r="206" ht="37.5" customHeight="1">
      <x:c r="A206" s="14" t="str">
        <x:v>KWA-027</x:v>
      </x:c>
      <x:c r="B206" s="14" t="str">
        <x:v>KWCAG 2.2</x:v>
      </x:c>
      <x:c r="C206" s="14" t="str">
        <x:v>KWCAG 2.2</x:v>
      </x:c>
      <x:c r="D206" s="14" t="str">
        <x:v>찾기 쉬운 도움 정보</x:v>
      </x:c>
      <x:c r="E206" s="14" t="str">
        <x:v>도움말 위치 일관</x:v>
      </x:c>
      <x:c r="F206" s="14" t="str">
        <x:v>SRC-004</x:v>
      </x:c>
      <x:c r="G206" s="14" t="str">
        <x:v>7.2.2</x:v>
      </x:c>
      <x:c r="H206" s="14" t="str">
        <x:v>국내 검사기준</x:v>
      </x:c>
      <x:c r="I206" s="14" t="str">
        <x:v>MUST(안)</x:v>
      </x:c>
      <x:c r="J206" s="14" t="str">
        <x:v>적용</x:v>
      </x:c>
      <x:c r="K206" s="14" t="str">
        <x:v>현재 샘플의 회사 필수 기준으로 채택 제안</x:v>
      </x:c>
      <x:c r="L206" s="14" t="str">
        <x:v>모든 업무화면에 같은 순서의 도움말·문의 링크 제공</x:v>
      </x:c>
      <x:c r="M206" s="14" t="str">
        <x:v>페이지 비교와 키보드 탐색</x:v>
      </x:c>
      <x:c r="N206" s="14" t="str">
        <x:v>개발·QA</x:v>
      </x:c>
      <x:c r="O206" s="14" t="str">
        <x:v>P1</x:v>
      </x:c>
      <x:c r="P206" s="15" t="str">
        <x:v>계획</x:v>
      </x:c>
      <x:c r="Q206" s="15" t="str">
        <x:v>미실행</x:v>
      </x:c>
      <x:c r="R206" s="15" t="str">
        <x:v>미실행</x:v>
      </x:c>
      <x:c r="S206" s="15" t="str">
        <x:v>수동</x:v>
      </x:c>
      <x:c r="T206" s="15" t="str"/>
      <x:c r="U206" s="15" t="str"/>
      <x:c r="V206" s="15" t="str"/>
      <x:c r="W206" s="15" t="str"/>
      <x:c r="X206" s="16" t="str"/>
      <x:c r="Y206" s="15" t="str"/>
      <x:c r="Z206" s="14" t="str">
        <x:f>IF(J206&lt;&gt;"적용","산정제외",IF(OR(Q206="실패",R206="실패"),"실패",IF(AND(P206="구현",T206&lt;&gt;"",U206&lt;&gt;"",V206&lt;&gt;"",W206&lt;&gt;"",ISNUMBER(X206),Y206="",OR(S206="수동",Q206="통과"),OR(S206="자동",R206="통과")),"통과","미검증")))</x:f>
        <x:v>미검증</x:v>
      </x:c>
      <x:c r="AA206" s="14" t="str">
        <x:v>WCA-047</x:v>
      </x:c>
      <x:c r="AB206" s="14" t="str">
        <x:v>S01~S08 / 해당 기능의 모든 화면·상태
관련 검토 (동등성 주장 아님)</x:v>
      </x:c>
    </x:row>
    <x:row r="207" ht="37.5" customHeight="1">
      <x:c r="A207" s="13" t="str">
        <x:v>KWA-028</x:v>
      </x:c>
      <x:c r="B207" s="13" t="str">
        <x:v>KWCAG 2.2</x:v>
      </x:c>
      <x:c r="C207" s="13" t="str">
        <x:v>KWCAG 2.2</x:v>
      </x:c>
      <x:c r="D207" s="13" t="str">
        <x:v>오류 정정</x:v>
      </x:c>
      <x:c r="E207" s="13" t="str">
        <x:v>오류 수정 지원</x:v>
      </x:c>
      <x:c r="F207" s="13" t="str">
        <x:v>SRC-004</x:v>
      </x:c>
      <x:c r="G207" s="13" t="str">
        <x:v>7.3.1</x:v>
      </x:c>
      <x:c r="H207" s="13" t="str">
        <x:v>국내 검사기준</x:v>
      </x:c>
      <x:c r="I207" s="13" t="str">
        <x:v>MUST(안)</x:v>
      </x:c>
      <x:c r="J207" s="13" t="str">
        <x:v>적용</x:v>
      </x:c>
      <x:c r="K207" s="13" t="str">
        <x:v>현재 샘플의 회사 필수 기준으로 채택 제안</x:v>
      </x:c>
      <x:c r="L207" s="13" t="str">
        <x:v>오류 요약·필드 설명·입력값 보존·첫 오류 이동 제공</x:v>
      </x:c>
      <x:c r="M207" s="13" t="str">
        <x:v>필수누락·형식오류·서버검증 실패 수동/자동 시험</x:v>
      </x:c>
      <x:c r="N207" s="13" t="str">
        <x:v>개발·QA</x:v>
      </x:c>
      <x:c r="O207" s="13" t="str">
        <x:v>P1</x:v>
      </x:c>
      <x:c r="P207" s="15" t="str">
        <x:v>계획</x:v>
      </x:c>
      <x:c r="Q207" s="15" t="str">
        <x:v>미실행</x:v>
      </x:c>
      <x:c r="R207" s="15" t="str">
        <x:v>미실행</x:v>
      </x:c>
      <x:c r="S207" s="15" t="str">
        <x:v>자동+수동</x:v>
      </x:c>
      <x:c r="T207" s="15" t="str"/>
      <x:c r="U207" s="15" t="str"/>
      <x:c r="V207" s="15" t="str"/>
      <x:c r="W207" s="15" t="str"/>
      <x:c r="X207" s="16" t="str"/>
      <x:c r="Y207" s="15" t="str"/>
      <x:c r="Z207" s="13" t="str">
        <x:f>IF(J207&lt;&gt;"적용","산정제외",IF(OR(Q207="실패",R207="실패"),"실패",IF(AND(P207="구현",T207&lt;&gt;"",U207&lt;&gt;"",V207&lt;&gt;"",W207&lt;&gt;"",ISNUMBER(X207),Y207="",OR(S207="수동",Q207="통과"),OR(S207="자동",R207="통과")),"통과","미검증")))</x:f>
        <x:v>미검증</x:v>
      </x:c>
      <x:c r="AA207" s="13" t="str">
        <x:v>WCA-048, WCA-050</x:v>
      </x:c>
      <x:c r="AB207" s="13" t="str">
        <x:v>S01~S08 / 해당 기능의 모든 화면·상태
관련 검토 (동등성 주장 아님)</x:v>
      </x:c>
    </x:row>
    <x:row r="208" ht="37.5" customHeight="1">
      <x:c r="A208" s="14" t="str">
        <x:v>KWA-029</x:v>
      </x:c>
      <x:c r="B208" s="14" t="str">
        <x:v>KWCAG 2.2</x:v>
      </x:c>
      <x:c r="C208" s="14" t="str">
        <x:v>KWCAG 2.2</x:v>
      </x:c>
      <x:c r="D208" s="14" t="str">
        <x:v>레이블 제공</x:v>
      </x:c>
      <x:c r="E208" s="14" t="str">
        <x:v>입력 의미 연결</x:v>
      </x:c>
      <x:c r="F208" s="14" t="str">
        <x:v>SRC-004</x:v>
      </x:c>
      <x:c r="G208" s="14" t="str">
        <x:v>7.3.2</x:v>
      </x:c>
      <x:c r="H208" s="14" t="str">
        <x:v>국내 검사기준</x:v>
      </x:c>
      <x:c r="I208" s="14" t="str">
        <x:v>MUST(안)</x:v>
      </x:c>
      <x:c r="J208" s="14" t="str">
        <x:v>적용</x:v>
      </x:c>
      <x:c r="K208" s="14" t="str">
        <x:v>현재 샘플의 회사 필수 기준으로 채택 제안</x:v>
      </x:c>
      <x:c r="L208" s="14" t="str">
        <x:v>label/htmlFor, fieldset/legend, required 안내·도움말 연결</x:v>
      </x:c>
      <x:c r="M208" s="14" t="str">
        <x:v>자동 레이블 검사 + 낭독 순서 수동 확인</x:v>
      </x:c>
      <x:c r="N208" s="14" t="str">
        <x:v>개발·QA</x:v>
      </x:c>
      <x:c r="O208" s="14" t="str">
        <x:v>P1</x:v>
      </x:c>
      <x:c r="P208" s="15" t="str">
        <x:v>계획</x:v>
      </x:c>
      <x:c r="Q208" s="15" t="str">
        <x:v>미실행</x:v>
      </x:c>
      <x:c r="R208" s="15" t="str">
        <x:v>미실행</x:v>
      </x:c>
      <x:c r="S208" s="15" t="str">
        <x:v>자동+수동</x:v>
      </x:c>
      <x:c r="T208" s="15" t="str"/>
      <x:c r="U208" s="15" t="str"/>
      <x:c r="V208" s="15" t="str"/>
      <x:c r="W208" s="15" t="str"/>
      <x:c r="X208" s="16" t="str"/>
      <x:c r="Y208" s="15" t="str"/>
      <x:c r="Z208" s="14" t="str">
        <x:f>IF(J208&lt;&gt;"적용","산정제외",IF(OR(Q208="실패",R208="실패"),"실패",IF(AND(P208="구현",T208&lt;&gt;"",U208&lt;&gt;"",V208&lt;&gt;"",W208&lt;&gt;"",ISNUMBER(X208),Y208="",OR(S208="수동",Q208="통과"),OR(S208="자동",R208="통과")),"통과","미검증")))</x:f>
        <x:v>미검증</x:v>
      </x:c>
      <x:c r="AA208" s="14" t="str">
        <x:v>WCA-049</x:v>
      </x:c>
      <x:c r="AB208" s="14" t="str">
        <x:v>S01~S08 / 해당 기능의 모든 화면·상태
관련 검토 (동등성 주장 아님)</x:v>
      </x:c>
    </x:row>
    <x:row r="209" ht="37.5" customHeight="1">
      <x:c r="A209" s="13" t="str">
        <x:v>KWA-030</x:v>
      </x:c>
      <x:c r="B209" s="13" t="str">
        <x:v>KWCAG 2.2</x:v>
      </x:c>
      <x:c r="C209" s="13" t="str">
        <x:v>KWCAG 2.2</x:v>
      </x:c>
      <x:c r="D209" s="13" t="str">
        <x:v>접근 가능한 인증</x:v>
      </x:c>
      <x:c r="E209" s="13" t="str">
        <x:v>인지부담 완화 인증</x:v>
      </x:c>
      <x:c r="F209" s="13" t="str">
        <x:v>SRC-004</x:v>
      </x:c>
      <x:c r="G209" s="13" t="str">
        <x:v>7.3.3</x:v>
      </x:c>
      <x:c r="H209" s="13" t="str">
        <x:v>국내 검사기준</x:v>
      </x:c>
      <x:c r="I209" s="13" t="str">
        <x:v>MUST(안)</x:v>
      </x:c>
      <x:c r="J209" s="13" t="str">
        <x:v>적용</x:v>
      </x:c>
      <x:c r="K209" s="13" t="str">
        <x:v>보안 완화를 뜻하지 않음. 인증수단 전체와 오류복구 경로 포함</x:v>
      </x:c>
      <x:c r="L209" s="13" t="str">
        <x:v>자동완성·붙여넣기·암호관리자 허용, 퍼즐형 인증을 강제하지 않음</x:v>
      </x:c>
      <x:c r="M209" s="13" t="str">
        <x:v>로그인 전체 경로를 암호관리자·키보드·낭독으로 시험</x:v>
      </x:c>
      <x:c r="N209" s="13" t="str">
        <x:v>개발·QA</x:v>
      </x:c>
      <x:c r="O209" s="13" t="str">
        <x:v>P1</x:v>
      </x:c>
      <x:c r="P209" s="15" t="str">
        <x:v>계획</x:v>
      </x:c>
      <x:c r="Q209" s="15" t="str">
        <x:v>미실행</x:v>
      </x:c>
      <x:c r="R209" s="15" t="str">
        <x:v>미실행</x:v>
      </x:c>
      <x:c r="S209" s="15" t="str">
        <x:v>수동</x:v>
      </x:c>
      <x:c r="T209" s="15" t="str"/>
      <x:c r="U209" s="15" t="str"/>
      <x:c r="V209" s="15" t="str"/>
      <x:c r="W209" s="15" t="str"/>
      <x:c r="X209" s="16" t="str"/>
      <x:c r="Y209" s="15" t="str"/>
      <x:c r="Z209" s="13" t="str">
        <x:f>IF(J209&lt;&gt;"적용","산정제외",IF(OR(Q209="실패",R209="실패"),"실패",IF(AND(P209="구현",T209&lt;&gt;"",U209&lt;&gt;"",V209&lt;&gt;"",W209&lt;&gt;"",ISNUMBER(X209),Y209="",OR(S209="수동",Q209="통과"),OR(S209="자동",R209="통과")),"통과","미검증")))</x:f>
        <x:v>미검증</x:v>
      </x:c>
      <x:c r="AA209" s="13" t="str">
        <x:v>WCA-053</x:v>
      </x:c>
      <x:c r="AB209" s="13" t="str">
        <x:v>S01~S08 / 해당 기능의 모든 화면·상태
관련 검토 (동등성 주장 아님)</x:v>
      </x:c>
    </x:row>
    <x:row r="210" ht="37.5" customHeight="1">
      <x:c r="A210" s="14" t="str">
        <x:v>KWA-031</x:v>
      </x:c>
      <x:c r="B210" s="14" t="str">
        <x:v>KWCAG 2.2</x:v>
      </x:c>
      <x:c r="C210" s="14" t="str">
        <x:v>KWCAG 2.2</x:v>
      </x:c>
      <x:c r="D210" s="14" t="str">
        <x:v>반복 입력 정보</x:v>
      </x:c>
      <x:c r="E210" s="14" t="str">
        <x:v>중복기입 완화</x:v>
      </x:c>
      <x:c r="F210" s="14" t="str">
        <x:v>SRC-004</x:v>
      </x:c>
      <x:c r="G210" s="14" t="str">
        <x:v>7.3.4</x:v>
      </x:c>
      <x:c r="H210" s="14" t="str">
        <x:v>국내 검사기준</x:v>
      </x:c>
      <x:c r="I210" s="14" t="str">
        <x:v>MUST(안)</x:v>
      </x:c>
      <x:c r="J210" s="14" t="str">
        <x:v>적용</x:v>
      </x:c>
      <x:c r="K210" s="14" t="str">
        <x:v>현재 샘플의 회사 필수 기준으로 채택 제안</x:v>
      </x:c>
      <x:c r="L210" s="14" t="str">
        <x:v>등록 단계 사이 입력값 보존, 기존 개인정보 선택·불러오기 제공</x:v>
      </x:c>
      <x:c r="M210" s="14" t="str">
        <x:v>단계 왕복·검토화면 수정 시 재입력 여부 시험</x:v>
      </x:c>
      <x:c r="N210" s="14" t="str">
        <x:v>개발·QA</x:v>
      </x:c>
      <x:c r="O210" s="14" t="str">
        <x:v>P1</x:v>
      </x:c>
      <x:c r="P210" s="15" t="str">
        <x:v>계획</x:v>
      </x:c>
      <x:c r="Q210" s="15" t="str">
        <x:v>미실행</x:v>
      </x:c>
      <x:c r="R210" s="15" t="str">
        <x:v>미실행</x:v>
      </x:c>
      <x:c r="S210" s="15" t="str">
        <x:v>수동</x:v>
      </x:c>
      <x:c r="T210" s="15" t="str"/>
      <x:c r="U210" s="15" t="str"/>
      <x:c r="V210" s="15" t="str"/>
      <x:c r="W210" s="15" t="str"/>
      <x:c r="X210" s="16" t="str"/>
      <x:c r="Y210" s="15" t="str"/>
      <x:c r="Z210" s="14" t="str">
        <x:f>IF(J210&lt;&gt;"적용","산정제외",IF(OR(Q210="실패",R210="실패"),"실패",IF(AND(P210="구현",T210&lt;&gt;"",U210&lt;&gt;"",V210&lt;&gt;"",W210&lt;&gt;"",ISNUMBER(X210),Y210="",OR(S210="수동",Q210="통과"),OR(S210="자동",R210="통과")),"통과","미검증")))</x:f>
        <x:v>미검증</x:v>
      </x:c>
      <x:c r="AA210" s="14" t="str">
        <x:v>WCA-052</x:v>
      </x:c>
      <x:c r="AB210" s="14" t="str">
        <x:v>S01~S08 / 해당 기능의 모든 화면·상태
관련 검토 (동등성 주장 아님)</x:v>
      </x:c>
    </x:row>
    <x:row r="211" ht="37.5" customHeight="1">
      <x:c r="A211" s="13" t="str">
        <x:v>KWA-032</x:v>
      </x:c>
      <x:c r="B211" s="13" t="str">
        <x:v>KWCAG 2.2</x:v>
      </x:c>
      <x:c r="C211" s="13" t="str">
        <x:v>KWCAG 2.2</x:v>
      </x:c>
      <x:c r="D211" s="13" t="str">
        <x:v>마크업 오류 방지</x:v>
      </x:c>
      <x:c r="E211" s="13" t="str">
        <x:v>구조 오류 방지</x:v>
      </x:c>
      <x:c r="F211" s="13" t="str">
        <x:v>SRC-004</x:v>
      </x:c>
      <x:c r="G211" s="13" t="str">
        <x:v>8.1.1</x:v>
      </x:c>
      <x:c r="H211" s="13" t="str">
        <x:v>국내 검사기준</x:v>
      </x:c>
      <x:c r="I211" s="13" t="str">
        <x:v>MUST(안)</x:v>
      </x:c>
      <x:c r="J211" s="13" t="str">
        <x:v>적용</x:v>
      </x:c>
      <x:c r="K211" s="13" t="str">
        <x:v>WCAG2.2는 4.1.1 삭제. KWCAG 검사와 회사 코드품질 항목은 유지</x:v>
      </x:c>
      <x:c r="L211" s="13" t="str">
        <x:v>중복 id, 잘못된 중첩, label 참조 오류를 CI로 점검</x:v>
      </x:c>
      <x:c r="M211" s="13" t="str">
        <x:v>HTML validator + DOM id/reference 검사</x:v>
      </x:c>
      <x:c r="N211" s="13" t="str">
        <x:v>개발·QA</x:v>
      </x:c>
      <x:c r="O211" s="13" t="str">
        <x:v>P1</x:v>
      </x:c>
      <x:c r="P211" s="15" t="str">
        <x:v>계획</x:v>
      </x:c>
      <x:c r="Q211" s="15" t="str">
        <x:v>미실행</x:v>
      </x:c>
      <x:c r="R211" s="15" t="str">
        <x:v>미실행</x:v>
      </x:c>
      <x:c r="S211" s="15" t="str">
        <x:v>수동</x:v>
      </x:c>
      <x:c r="T211" s="15" t="str"/>
      <x:c r="U211" s="15" t="str"/>
      <x:c r="V211" s="15" t="str"/>
      <x:c r="W211" s="15" t="str"/>
      <x:c r="X211" s="16" t="str"/>
      <x:c r="Y211" s="15" t="str"/>
      <x:c r="Z211" s="13" t="str">
        <x:f>IF(J211&lt;&gt;"적용","산정제외",IF(OR(Q211="실패",R211="실패"),"실패",IF(AND(P211="구현",T211&lt;&gt;"",U211&lt;&gt;"",V211&lt;&gt;"",W211&lt;&gt;"",ISNUMBER(X211),Y211="",OR(S211="수동",Q211="통과"),OR(S211="자동",R211="통과")),"통과","미검증")))</x:f>
        <x:v>미검증</x:v>
      </x:c>
      <x:c r="AA211" s="13" t="str"/>
      <x:c r="AB211" s="13" t="str">
        <x:v>S01~S08 / 해당 기능의 모든 화면·상태
관련 검토 (동등성 주장 아님)</x:v>
      </x:c>
    </x:row>
    <x:row r="212" ht="37.5" customHeight="1">
      <x:c r="A212" s="14" t="str">
        <x:v>KWA-033</x:v>
      </x:c>
      <x:c r="B212" s="14" t="str">
        <x:v>KWCAG 2.2</x:v>
      </x:c>
      <x:c r="C212" s="14" t="str">
        <x:v>KWCAG 2.2</x:v>
      </x:c>
      <x:c r="D212" s="14" t="str">
        <x:v>웹 애플리케이션 접근성 준수</x:v>
      </x:c>
      <x:c r="E212" s="14" t="str">
        <x:v>보조기술 호환</x:v>
      </x:c>
      <x:c r="F212" s="14" t="str">
        <x:v>SRC-004</x:v>
      </x:c>
      <x:c r="G212" s="14" t="str">
        <x:v>8.2.1</x:v>
      </x:c>
      <x:c r="H212" s="14" t="str">
        <x:v>국내 검사기준</x:v>
      </x:c>
      <x:c r="I212" s="14" t="str">
        <x:v>MUST(안)</x:v>
      </x:c>
      <x:c r="J212" s="14" t="str">
        <x:v>적용</x:v>
      </x:c>
      <x:c r="K212" s="14" t="str">
        <x:v>현재 샘플의 회사 필수 기준으로 채택 제안</x:v>
      </x:c>
      <x:c r="L212" s="14" t="str">
        <x:v>네이티브 HTML 우선, 커스텀 위젯은 역할·상태·키보드·초점 함께 구현</x:v>
      </x:c>
      <x:c r="M212" s="14" t="str">
        <x:v>axe 자동 + 실제 화면낭독기/브라우저 수동 조합시험</x:v>
      </x:c>
      <x:c r="N212" s="14" t="str">
        <x:v>개발·QA</x:v>
      </x:c>
      <x:c r="O212" s="14" t="str">
        <x:v>P1</x:v>
      </x:c>
      <x:c r="P212" s="15" t="str">
        <x:v>계획</x:v>
      </x:c>
      <x:c r="Q212" s="15" t="str">
        <x:v>미실행</x:v>
      </x:c>
      <x:c r="R212" s="15" t="str">
        <x:v>미실행</x:v>
      </x:c>
      <x:c r="S212" s="15" t="str">
        <x:v>자동+수동</x:v>
      </x:c>
      <x:c r="T212" s="15" t="str"/>
      <x:c r="U212" s="15" t="str"/>
      <x:c r="V212" s="15" t="str"/>
      <x:c r="W212" s="15" t="str"/>
      <x:c r="X212" s="16" t="str"/>
      <x:c r="Y212" s="15" t="str"/>
      <x:c r="Z212" s="14" t="str">
        <x:f>IF(J212&lt;&gt;"적용","산정제외",IF(OR(Q212="실패",R212="실패"),"실패",IF(AND(P212="구현",T212&lt;&gt;"",U212&lt;&gt;"",V212&lt;&gt;"",W212&lt;&gt;"",ISNUMBER(X212),Y212="",OR(S212="수동",Q212="통과"),OR(S212="자동",R212="통과")),"통과","미검증")))</x:f>
        <x:v>미검증</x:v>
      </x:c>
      <x:c r="AA212" s="14" t="str">
        <x:v>WCA-054, WCA-055</x:v>
      </x:c>
      <x:c r="AB212" s="14" t="str">
        <x:v>S01~S08 / 해당 기능의 모든 화면·상태
관련 검토 (동등성 주장 아님)</x:v>
      </x:c>
    </x:row>
    <x:row r="213" ht="24" customHeight="1">
      <x:c r="A213" s="13" t="str">
        <x:v>WCA-001</x:v>
      </x:c>
      <x:c r="B213" s="13" t="str">
        <x:v>WCAG 2.2 A·AA</x:v>
      </x:c>
      <x:c r="C213" s="13" t="str">
        <x:v>WCAG 2.2</x:v>
      </x:c>
      <x:c r="D213" s="13" t="str">
        <x:v>비텍스트 정보</x:v>
      </x:c>
      <x:c r="E213" s="13" t="str">
        <x:v>이미지 대안·아이콘 이름·장식 제외</x:v>
      </x:c>
      <x:c r="F213" s="13" t="str">
        <x:v>SRC-005</x:v>
      </x:c>
      <x:c r="G213" s="13" t="str">
        <x:v>1.1.1</x:v>
      </x:c>
      <x:c r="H213" s="13" t="str">
        <x:v>A</x:v>
      </x:c>
      <x:c r="I213" s="13" t="str">
        <x:v>MUST(안)</x:v>
      </x:c>
      <x:c r="J213" s="13" t="str">
        <x:v>적용</x:v>
      </x:c>
      <x:c r="K213" s="13" t="str">
        <x:v>현재 샘플의 회사 필수 기준으로 채택 제안</x:v>
      </x:c>
      <x:c r="L213" s="13" t="str">
        <x:v>첨부 썸네일 설명, 장식 빈 alt, 요약 차트의 데이터 표</x:v>
      </x:c>
      <x:c r="M213" s="13" t="str">
        <x:v>자동+수동</x:v>
      </x:c>
      <x:c r="N213" s="13" t="str">
        <x:v>개발·QA</x:v>
      </x:c>
      <x:c r="O213" s="13" t="str">
        <x:v>P1</x:v>
      </x:c>
      <x:c r="P213" s="15" t="str">
        <x:v>계획</x:v>
      </x:c>
      <x:c r="Q213" s="15" t="str">
        <x:v>미실행</x:v>
      </x:c>
      <x:c r="R213" s="15" t="str">
        <x:v>미실행</x:v>
      </x:c>
      <x:c r="S213" s="15" t="str">
        <x:v>자동+수동</x:v>
      </x:c>
      <x:c r="T213" s="15" t="str"/>
      <x:c r="U213" s="15" t="str"/>
      <x:c r="V213" s="15" t="str"/>
      <x:c r="W213" s="15" t="str"/>
      <x:c r="X213" s="16" t="str"/>
      <x:c r="Y213" s="15" t="str"/>
      <x:c r="Z213" s="13" t="str">
        <x:f>IF(J213&lt;&gt;"적용","산정제외",IF(OR(Q213="실패",R213="실패"),"실패",IF(AND(P213="구현",T213&lt;&gt;"",U213&lt;&gt;"",V213&lt;&gt;"",W213&lt;&gt;"",ISNUMBER(X213),Y213="",OR(S213="수동",Q213="통과"),OR(S213="자동",R213="통과")),"통과","미검증")))</x:f>
        <x:v>미검증</x:v>
      </x:c>
      <x:c r="AA213" s="13" t="str"/>
      <x:c r="AB213" s="13" t="str">
        <x:v>S01~S08 / 해당 기능의 모든 화면·상태</x:v>
      </x:c>
    </x:row>
    <x:row r="214" ht="37.5" customHeight="1">
      <x:c r="A214" s="14" t="str">
        <x:v>WCA-002</x:v>
      </x:c>
      <x:c r="B214" s="14" t="str">
        <x:v>WCAG 2.2 A·AA</x:v>
      </x:c>
      <x:c r="C214" s="14" t="str">
        <x:v>WCAG 2.2</x:v>
      </x:c>
      <x:c r="D214" s="14" t="str">
        <x:v>녹음·무음영상 대안</x:v>
      </x:c>
      <x:c r="E214" s="14" t="str">
        <x:v>단일매체 정보 대안</x:v>
      </x:c>
      <x:c r="F214" s="14" t="str">
        <x:v>SRC-005</x:v>
      </x:c>
      <x:c r="G214" s="14" t="str">
        <x:v>1.2.1</x:v>
      </x:c>
      <x:c r="H214" s="14" t="str">
        <x:v>A</x:v>
      </x:c>
      <x:c r="I214" s="14" t="str">
        <x:v>MUST(안)</x:v>
      </x:c>
      <x:c r="J214" s="14" t="str">
        <x:v>조건부</x:v>
      </x:c>
      <x:c r="K214" s="14" t="str">
        <x:v>현재 음성·녹화영상·라이브 콘텐츠 없음. 기능 추가 시 재판정</x:v>
      </x:c>
      <x:c r="L214" s="14" t="str">
        <x:v>음성·무음영상 추가 시 등가 대본/설명</x:v>
      </x:c>
      <x:c r="M214" s="14" t="str">
        <x:v>기능 존재 확인 후 수동검토</x:v>
      </x:c>
      <x:c r="N214" s="14" t="str">
        <x:v>개발·QA</x:v>
      </x:c>
      <x:c r="O214" s="14" t="str">
        <x:v>P1</x:v>
      </x:c>
      <x:c r="P214" s="15" t="str">
        <x:v>계획</x:v>
      </x:c>
      <x:c r="Q214" s="15" t="str">
        <x:v>미실행</x:v>
      </x:c>
      <x:c r="R214" s="15" t="str">
        <x:v>미실행</x:v>
      </x:c>
      <x:c r="S214" s="15" t="str">
        <x:v>수동</x:v>
      </x:c>
      <x:c r="T214" s="15" t="str"/>
      <x:c r="U214" s="15" t="str"/>
      <x:c r="V214" s="15" t="str"/>
      <x:c r="W214" s="15" t="str"/>
      <x:c r="X214" s="16" t="str"/>
      <x:c r="Y214" s="15" t="str"/>
      <x:c r="Z214" s="14" t="str">
        <x:f>IF(J214&lt;&gt;"적용","산정제외",IF(OR(Q214="실패",R214="실패"),"실패",IF(AND(P214="구현",T214&lt;&gt;"",U214&lt;&gt;"",V214&lt;&gt;"",W214&lt;&gt;"",ISNUMBER(X214),Y214="",OR(S214="수동",Q214="통과"),OR(S214="자동",R214="통과")),"통과","미검증")))</x:f>
        <x:v>산정제외</x:v>
      </x:c>
      <x:c r="AA214" s="14" t="str"/>
      <x:c r="AB214" s="14" t="str">
        <x:v>S01~S08 / 해당 기능의 모든 화면·상태</x:v>
      </x:c>
    </x:row>
    <x:row r="215" ht="37.5" customHeight="1">
      <x:c r="A215" s="13" t="str">
        <x:v>WCA-003</x:v>
      </x:c>
      <x:c r="B215" s="13" t="str">
        <x:v>WCAG 2.2 A·AA</x:v>
      </x:c>
      <x:c r="C215" s="13" t="str">
        <x:v>WCAG 2.2</x:v>
      </x:c>
      <x:c r="D215" s="13" t="str">
        <x:v>녹화영상 자막</x:v>
      </x:c>
      <x:c r="E215" s="13" t="str">
        <x:v>사전녹화 자막</x:v>
      </x:c>
      <x:c r="F215" s="13" t="str">
        <x:v>SRC-005</x:v>
      </x:c>
      <x:c r="G215" s="13" t="str">
        <x:v>1.2.2</x:v>
      </x:c>
      <x:c r="H215" s="13" t="str">
        <x:v>A</x:v>
      </x:c>
      <x:c r="I215" s="13" t="str">
        <x:v>MUST(안)</x:v>
      </x:c>
      <x:c r="J215" s="13" t="str">
        <x:v>조건부</x:v>
      </x:c>
      <x:c r="K215" s="13" t="str">
        <x:v>현재 음성·녹화영상·라이브 콘텐츠 없음. 기능 추가 시 재판정</x:v>
      </x:c>
      <x:c r="L215" s="13" t="str">
        <x:v>영상 추가 시 말·중요 소리의 동기화 자막</x:v>
      </x:c>
      <x:c r="M215" s="13" t="str">
        <x:v>기능 존재 확인 후 수동검토</x:v>
      </x:c>
      <x:c r="N215" s="13" t="str">
        <x:v>개발·QA</x:v>
      </x:c>
      <x:c r="O215" s="13" t="str">
        <x:v>P1</x:v>
      </x:c>
      <x:c r="P215" s="15" t="str">
        <x:v>계획</x:v>
      </x:c>
      <x:c r="Q215" s="15" t="str">
        <x:v>미실행</x:v>
      </x:c>
      <x:c r="R215" s="15" t="str">
        <x:v>미실행</x:v>
      </x:c>
      <x:c r="S215" s="15" t="str">
        <x:v>수동</x:v>
      </x:c>
      <x:c r="T215" s="15" t="str"/>
      <x:c r="U215" s="15" t="str"/>
      <x:c r="V215" s="15" t="str"/>
      <x:c r="W215" s="15" t="str"/>
      <x:c r="X215" s="16" t="str"/>
      <x:c r="Y215" s="15" t="str"/>
      <x:c r="Z215" s="13" t="str">
        <x:f>IF(J215&lt;&gt;"적용","산정제외",IF(OR(Q215="실패",R215="실패"),"실패",IF(AND(P215="구현",T215&lt;&gt;"",U215&lt;&gt;"",V215&lt;&gt;"",W215&lt;&gt;"",ISNUMBER(X215),Y215="",OR(S215="수동",Q215="통과"),OR(S215="자동",R215="통과")),"통과","미검증")))</x:f>
        <x:v>산정제외</x:v>
      </x:c>
      <x:c r="AA215" s="13" t="str"/>
      <x:c r="AB215" s="13" t="str">
        <x:v>S01~S08 / 해당 기능의 모든 화면·상태</x:v>
      </x:c>
    </x:row>
    <x:row r="216" ht="37.5" customHeight="1">
      <x:c r="A216" s="14" t="str">
        <x:v>WCA-004</x:v>
      </x:c>
      <x:c r="B216" s="14" t="str">
        <x:v>WCAG 2.2 A·AA</x:v>
      </x:c>
      <x:c r="C216" s="14" t="str">
        <x:v>WCAG 2.2</x:v>
      </x:c>
      <x:c r="D216" s="14" t="str">
        <x:v>녹화 시각정보 대안</x:v>
      </x:c>
      <x:c r="E216" s="14" t="str">
        <x:v>시각정보 설명 또는 매체대안</x:v>
      </x:c>
      <x:c r="F216" s="14" t="str">
        <x:v>SRC-005</x:v>
      </x:c>
      <x:c r="G216" s="14" t="str">
        <x:v>1.2.3</x:v>
      </x:c>
      <x:c r="H216" s="14" t="str">
        <x:v>A</x:v>
      </x:c>
      <x:c r="I216" s="14" t="str">
        <x:v>MUST(안)</x:v>
      </x:c>
      <x:c r="J216" s="14" t="str">
        <x:v>조건부</x:v>
      </x:c>
      <x:c r="K216" s="14" t="str">
        <x:v>현재 음성·녹화영상·라이브 콘텐츠 없음. 기능 추가 시 재판정</x:v>
      </x:c>
      <x:c r="L216" s="14" t="str">
        <x:v>영상 추가 시 화면행동 설명·등가 대안</x:v>
      </x:c>
      <x:c r="M216" s="14" t="str">
        <x:v>기능 존재 확인 후 수동검토</x:v>
      </x:c>
      <x:c r="N216" s="14" t="str">
        <x:v>개발·QA</x:v>
      </x:c>
      <x:c r="O216" s="14" t="str">
        <x:v>P1</x:v>
      </x:c>
      <x:c r="P216" s="15" t="str">
        <x:v>계획</x:v>
      </x:c>
      <x:c r="Q216" s="15" t="str">
        <x:v>미실행</x:v>
      </x:c>
      <x:c r="R216" s="15" t="str">
        <x:v>미실행</x:v>
      </x:c>
      <x:c r="S216" s="15" t="str">
        <x:v>수동</x:v>
      </x:c>
      <x:c r="T216" s="15" t="str"/>
      <x:c r="U216" s="15" t="str"/>
      <x:c r="V216" s="15" t="str"/>
      <x:c r="W216" s="15" t="str"/>
      <x:c r="X216" s="16" t="str"/>
      <x:c r="Y216" s="15" t="str"/>
      <x:c r="Z216" s="14" t="str">
        <x:f>IF(J216&lt;&gt;"적용","산정제외",IF(OR(Q216="실패",R216="실패"),"실패",IF(AND(P216="구현",T216&lt;&gt;"",U216&lt;&gt;"",V216&lt;&gt;"",W216&lt;&gt;"",ISNUMBER(X216),Y216="",OR(S216="수동",Q216="통과"),OR(S216="자동",R216="통과")),"통과","미검증")))</x:f>
        <x:v>산정제외</x:v>
      </x:c>
      <x:c r="AA216" s="14" t="str"/>
      <x:c r="AB216" s="14" t="str">
        <x:v>S01~S08 / 해당 기능의 모든 화면·상태</x:v>
      </x:c>
    </x:row>
    <x:row r="217" ht="37.5" customHeight="1">
      <x:c r="A217" s="13" t="str">
        <x:v>WCA-005</x:v>
      </x:c>
      <x:c r="B217" s="13" t="str">
        <x:v>WCAG 2.2 A·AA</x:v>
      </x:c>
      <x:c r="C217" s="13" t="str">
        <x:v>WCAG 2.2</x:v>
      </x:c>
      <x:c r="D217" s="13" t="str">
        <x:v>실시간 자막</x:v>
      </x:c>
      <x:c r="E217" s="13" t="str">
        <x:v>라이브 동기자막</x:v>
      </x:c>
      <x:c r="F217" s="13" t="str">
        <x:v>SRC-005</x:v>
      </x:c>
      <x:c r="G217" s="13" t="str">
        <x:v>1.2.4</x:v>
      </x:c>
      <x:c r="H217" s="13" t="str">
        <x:v>AA</x:v>
      </x:c>
      <x:c r="I217" s="13" t="str">
        <x:v>MUST(안)</x:v>
      </x:c>
      <x:c r="J217" s="13" t="str">
        <x:v>조건부</x:v>
      </x:c>
      <x:c r="K217" s="13" t="str">
        <x:v>현재 음성·녹화영상·라이브 콘텐츠 없음. 기능 추가 시 재판정</x:v>
      </x:c>
      <x:c r="L217" s="13" t="str">
        <x:v>실시간 중계 추가 시 전문 자막 프로세스</x:v>
      </x:c>
      <x:c r="M217" s="13" t="str">
        <x:v>기능 존재 확인 후 수동검토</x:v>
      </x:c>
      <x:c r="N217" s="13" t="str">
        <x:v>개발·QA</x:v>
      </x:c>
      <x:c r="O217" s="13" t="str">
        <x:v>P1</x:v>
      </x:c>
      <x:c r="P217" s="15" t="str">
        <x:v>계획</x:v>
      </x:c>
      <x:c r="Q217" s="15" t="str">
        <x:v>미실행</x:v>
      </x:c>
      <x:c r="R217" s="15" t="str">
        <x:v>미실행</x:v>
      </x:c>
      <x:c r="S217" s="15" t="str">
        <x:v>수동</x:v>
      </x:c>
      <x:c r="T217" s="15" t="str"/>
      <x:c r="U217" s="15" t="str"/>
      <x:c r="V217" s="15" t="str"/>
      <x:c r="W217" s="15" t="str"/>
      <x:c r="X217" s="16" t="str"/>
      <x:c r="Y217" s="15" t="str"/>
      <x:c r="Z217" s="13" t="str">
        <x:f>IF(J217&lt;&gt;"적용","산정제외",IF(OR(Q217="실패",R217="실패"),"실패",IF(AND(P217="구현",T217&lt;&gt;"",U217&lt;&gt;"",V217&lt;&gt;"",W217&lt;&gt;"",ISNUMBER(X217),Y217="",OR(S217="수동",Q217="통과"),OR(S217="자동",R217="통과")),"통과","미검증")))</x:f>
        <x:v>산정제외</x:v>
      </x:c>
      <x:c r="AA217" s="13" t="str"/>
      <x:c r="AB217" s="13" t="str">
        <x:v>S01~S08 / 해당 기능의 모든 화면·상태</x:v>
      </x:c>
    </x:row>
    <x:row r="218" ht="37.5" customHeight="1">
      <x:c r="A218" s="14" t="str">
        <x:v>WCA-006</x:v>
      </x:c>
      <x:c r="B218" s="14" t="str">
        <x:v>WCAG 2.2 A·AA</x:v>
      </x:c>
      <x:c r="C218" s="14" t="str">
        <x:v>WCAG 2.2</x:v>
      </x:c>
      <x:c r="D218" s="14" t="str">
        <x:v>녹화영상 음성해설</x:v>
      </x:c>
      <x:c r="E218" s="14" t="str">
        <x:v>시각정보 음성해설</x:v>
      </x:c>
      <x:c r="F218" s="14" t="str">
        <x:v>SRC-005</x:v>
      </x:c>
      <x:c r="G218" s="14" t="str">
        <x:v>1.2.5</x:v>
      </x:c>
      <x:c r="H218" s="14" t="str">
        <x:v>AA</x:v>
      </x:c>
      <x:c r="I218" s="14" t="str">
        <x:v>MUST(안)</x:v>
      </x:c>
      <x:c r="J218" s="14" t="str">
        <x:v>조건부</x:v>
      </x:c>
      <x:c r="K218" s="14" t="str">
        <x:v>현재 음성·녹화영상·라이브 콘텐츠 없음. 기능 추가 시 재판정</x:v>
      </x:c>
      <x:c r="L218" s="14" t="str">
        <x:v>영상 추가 시 기본 오디오로 전달되지 않는 정보 해설</x:v>
      </x:c>
      <x:c r="M218" s="14" t="str">
        <x:v>기능 존재 확인 후 수동검토</x:v>
      </x:c>
      <x:c r="N218" s="14" t="str">
        <x:v>개발·QA</x:v>
      </x:c>
      <x:c r="O218" s="14" t="str">
        <x:v>P1</x:v>
      </x:c>
      <x:c r="P218" s="15" t="str">
        <x:v>계획</x:v>
      </x:c>
      <x:c r="Q218" s="15" t="str">
        <x:v>미실행</x:v>
      </x:c>
      <x:c r="R218" s="15" t="str">
        <x:v>미실행</x:v>
      </x:c>
      <x:c r="S218" s="15" t="str">
        <x:v>수동</x:v>
      </x:c>
      <x:c r="T218" s="15" t="str"/>
      <x:c r="U218" s="15" t="str"/>
      <x:c r="V218" s="15" t="str"/>
      <x:c r="W218" s="15" t="str"/>
      <x:c r="X218" s="16" t="str"/>
      <x:c r="Y218" s="15" t="str"/>
      <x:c r="Z218" s="14" t="str">
        <x:f>IF(J218&lt;&gt;"적용","산정제외",IF(OR(Q218="실패",R218="실패"),"실패",IF(AND(P218="구현",T218&lt;&gt;"",U218&lt;&gt;"",V218&lt;&gt;"",W218&lt;&gt;"",ISNUMBER(X218),Y218="",OR(S218="수동",Q218="통과"),OR(S218="자동",R218="통과")),"통과","미검증")))</x:f>
        <x:v>산정제외</x:v>
      </x:c>
      <x:c r="AA218" s="14" t="str"/>
      <x:c r="AB218" s="14" t="str">
        <x:v>S01~S08 / 해당 기능의 모든 화면·상태</x:v>
      </x:c>
    </x:row>
    <x:row r="219" ht="24" customHeight="1">
      <x:c r="A219" s="13" t="str">
        <x:v>WCA-007</x:v>
      </x:c>
      <x:c r="B219" s="13" t="str">
        <x:v>WCAG 2.2 A·AA</x:v>
      </x:c>
      <x:c r="C219" s="13" t="str">
        <x:v>WCAG 2.2</x:v>
      </x:c>
      <x:c r="D219" s="13" t="str">
        <x:v>의미와 관계</x:v>
      </x:c>
      <x:c r="E219" s="13" t="str">
        <x:v>구조 관계 프로그램화</x:v>
      </x:c>
      <x:c r="F219" s="13" t="str">
        <x:v>SRC-005</x:v>
      </x:c>
      <x:c r="G219" s="13" t="str">
        <x:v>1.3.1</x:v>
      </x:c>
      <x:c r="H219" s="13" t="str">
        <x:v>A</x:v>
      </x:c>
      <x:c r="I219" s="13" t="str">
        <x:v>MUST(안)</x:v>
      </x:c>
      <x:c r="J219" s="13" t="str">
        <x:v>적용</x:v>
      </x:c>
      <x:c r="K219" s="13" t="str">
        <x:v>현재 샘플의 회사 필수 기준으로 채택 제안</x:v>
      </x:c>
      <x:c r="L219" s="13" t="str">
        <x:v>table/th/scope, fieldset/legend, 제목구조</x:v>
      </x:c>
      <x:c r="M219" s="13" t="str">
        <x:v>자동+수동</x:v>
      </x:c>
      <x:c r="N219" s="13" t="str">
        <x:v>개발·QA</x:v>
      </x:c>
      <x:c r="O219" s="13" t="str">
        <x:v>P1</x:v>
      </x:c>
      <x:c r="P219" s="15" t="str">
        <x:v>계획</x:v>
      </x:c>
      <x:c r="Q219" s="15" t="str">
        <x:v>미실행</x:v>
      </x:c>
      <x:c r="R219" s="15" t="str">
        <x:v>미실행</x:v>
      </x:c>
      <x:c r="S219" s="15" t="str">
        <x:v>자동+수동</x:v>
      </x:c>
      <x:c r="T219" s="15" t="str"/>
      <x:c r="U219" s="15" t="str"/>
      <x:c r="V219" s="15" t="str"/>
      <x:c r="W219" s="15" t="str"/>
      <x:c r="X219" s="16" t="str"/>
      <x:c r="Y219" s="15" t="str"/>
      <x:c r="Z219" s="13" t="str">
        <x:f>IF(J219&lt;&gt;"적용","산정제외",IF(OR(Q219="실패",R219="실패"),"실패",IF(AND(P219="구현",T219&lt;&gt;"",U219&lt;&gt;"",V219&lt;&gt;"",W219&lt;&gt;"",ISNUMBER(X219),Y219="",OR(S219="수동",Q219="통과"),OR(S219="자동",R219="통과")),"통과","미검증")))</x:f>
        <x:v>미검증</x:v>
      </x:c>
      <x:c r="AA219" s="13" t="str"/>
      <x:c r="AB219" s="13" t="str">
        <x:v>S01~S08 / 해당 기능의 모든 화면·상태</x:v>
      </x:c>
    </x:row>
    <x:row r="220" ht="24" customHeight="1">
      <x:c r="A220" s="14" t="str">
        <x:v>WCA-008</x:v>
      </x:c>
      <x:c r="B220" s="14" t="str">
        <x:v>WCAG 2.2 A·AA</x:v>
      </x:c>
      <x:c r="C220" s="14" t="str">
        <x:v>WCAG 2.2</x:v>
      </x:c>
      <x:c r="D220" s="14" t="str">
        <x:v>읽기 순서</x:v>
      </x:c>
      <x:c r="E220" s="14" t="str">
        <x:v>의미 유지 순서</x:v>
      </x:c>
      <x:c r="F220" s="14" t="str">
        <x:v>SRC-005</x:v>
      </x:c>
      <x:c r="G220" s="14" t="str">
        <x:v>1.3.2</x:v>
      </x:c>
      <x:c r="H220" s="14" t="str">
        <x:v>A</x:v>
      </x:c>
      <x:c r="I220" s="14" t="str">
        <x:v>MUST(안)</x:v>
      </x:c>
      <x:c r="J220" s="14" t="str">
        <x:v>적용</x:v>
      </x:c>
      <x:c r="K220" s="14" t="str">
        <x:v>현재 샘플의 회사 필수 기준으로 채택 제안</x:v>
      </x:c>
      <x:c r="L220" s="14" t="str">
        <x:v>DOM과 시각순서 일치</x:v>
      </x:c>
      <x:c r="M220" s="14" t="str">
        <x:v>수동</x:v>
      </x:c>
      <x:c r="N220" s="14" t="str">
        <x:v>개발·QA</x:v>
      </x:c>
      <x:c r="O220" s="14" t="str">
        <x:v>P1</x:v>
      </x:c>
      <x:c r="P220" s="15" t="str">
        <x:v>계획</x:v>
      </x:c>
      <x:c r="Q220" s="15" t="str">
        <x:v>미실행</x:v>
      </x:c>
      <x:c r="R220" s="15" t="str">
        <x:v>미실행</x:v>
      </x:c>
      <x:c r="S220" s="15" t="str">
        <x:v>수동</x:v>
      </x:c>
      <x:c r="T220" s="15" t="str"/>
      <x:c r="U220" s="15" t="str"/>
      <x:c r="V220" s="15" t="str"/>
      <x:c r="W220" s="15" t="str"/>
      <x:c r="X220" s="16" t="str"/>
      <x:c r="Y220" s="15" t="str"/>
      <x:c r="Z220" s="14" t="str">
        <x:f>IF(J220&lt;&gt;"적용","산정제외",IF(OR(Q220="실패",R220="실패"),"실패",IF(AND(P220="구현",T220&lt;&gt;"",U220&lt;&gt;"",V220&lt;&gt;"",W220&lt;&gt;"",ISNUMBER(X220),Y220="",OR(S220="수동",Q220="통과"),OR(S220="자동",R220="통과")),"통과","미검증")))</x:f>
        <x:v>미검증</x:v>
      </x:c>
      <x:c r="AA220" s="14" t="str"/>
      <x:c r="AB220" s="14" t="str">
        <x:v>S01~S08 / 해당 기능의 모든 화면·상태</x:v>
      </x:c>
    </x:row>
    <x:row r="221" ht="24" customHeight="1">
      <x:c r="A221" s="13" t="str">
        <x:v>WCA-009</x:v>
      </x:c>
      <x:c r="B221" s="13" t="str">
        <x:v>WCAG 2.2 A·AA</x:v>
      </x:c>
      <x:c r="C221" s="13" t="str">
        <x:v>WCAG 2.2</x:v>
      </x:c>
      <x:c r="D221" s="13" t="str">
        <x:v>감각에 독립적인 지시</x:v>
      </x:c>
      <x:c r="E221" s="13" t="str">
        <x:v>감각 단서 보완</x:v>
      </x:c>
      <x:c r="F221" s="13" t="str">
        <x:v>SRC-005</x:v>
      </x:c>
      <x:c r="G221" s="13" t="str">
        <x:v>1.3.3</x:v>
      </x:c>
      <x:c r="H221" s="13" t="str">
        <x:v>A</x:v>
      </x:c>
      <x:c r="I221" s="13" t="str">
        <x:v>MUST(안)</x:v>
      </x:c>
      <x:c r="J221" s="13" t="str">
        <x:v>적용</x:v>
      </x:c>
      <x:c r="K221" s="13" t="str">
        <x:v>현재 샘플의 회사 필수 기준으로 채택 제안</x:v>
      </x:c>
      <x:c r="L221" s="13" t="str">
        <x:v>위치·색 대신 컨트롤 이름 병기</x:v>
      </x:c>
      <x:c r="M221" s="13" t="str">
        <x:v>수동</x:v>
      </x:c>
      <x:c r="N221" s="13" t="str">
        <x:v>개발·QA</x:v>
      </x:c>
      <x:c r="O221" s="13" t="str">
        <x:v>P1</x:v>
      </x:c>
      <x:c r="P221" s="15" t="str">
        <x:v>계획</x:v>
      </x:c>
      <x:c r="Q221" s="15" t="str">
        <x:v>미실행</x:v>
      </x:c>
      <x:c r="R221" s="15" t="str">
        <x:v>미실행</x:v>
      </x:c>
      <x:c r="S221" s="15" t="str">
        <x:v>수동</x:v>
      </x:c>
      <x:c r="T221" s="15" t="str"/>
      <x:c r="U221" s="15" t="str"/>
      <x:c r="V221" s="15" t="str"/>
      <x:c r="W221" s="15" t="str"/>
      <x:c r="X221" s="16" t="str"/>
      <x:c r="Y221" s="15" t="str"/>
      <x:c r="Z221" s="13" t="str">
        <x:f>IF(J221&lt;&gt;"적용","산정제외",IF(OR(Q221="실패",R221="실패"),"실패",IF(AND(P221="구현",T221&lt;&gt;"",U221&lt;&gt;"",V221&lt;&gt;"",W221&lt;&gt;"",ISNUMBER(X221),Y221="",OR(S221="수동",Q221="통과"),OR(S221="자동",R221="통과")),"통과","미검증")))</x:f>
        <x:v>미검증</x:v>
      </x:c>
      <x:c r="AA221" s="13" t="str"/>
      <x:c r="AB221" s="13" t="str">
        <x:v>S01~S08 / 해당 기능의 모든 화면·상태</x:v>
      </x:c>
    </x:row>
    <x:row r="222" ht="24" customHeight="1">
      <x:c r="A222" s="14" t="str">
        <x:v>WCA-010</x:v>
      </x:c>
      <x:c r="B222" s="14" t="str">
        <x:v>WCAG 2.2 A·AA</x:v>
      </x:c>
      <x:c r="C222" s="14" t="str">
        <x:v>WCAG 2.2</x:v>
      </x:c>
      <x:c r="D222" s="14" t="str">
        <x:v>화면 방향</x:v>
      </x:c>
      <x:c r="E222" s="14" t="str">
        <x:v>회전 제약 방지</x:v>
      </x:c>
      <x:c r="F222" s="14" t="str">
        <x:v>SRC-005</x:v>
      </x:c>
      <x:c r="G222" s="14" t="str">
        <x:v>1.3.4</x:v>
      </x:c>
      <x:c r="H222" s="14" t="str">
        <x:v>AA</x:v>
      </x:c>
      <x:c r="I222" s="14" t="str">
        <x:v>MUST(안)</x:v>
      </x:c>
      <x:c r="J222" s="14" t="str">
        <x:v>적용</x:v>
      </x:c>
      <x:c r="K222" s="14" t="str">
        <x:v>현재 샘플의 회사 필수 기준으로 채택 제안</x:v>
      </x:c>
      <x:c r="L222" s="14" t="str">
        <x:v>가로·세로 모두 등록·첨부 가능</x:v>
      </x:c>
      <x:c r="M222" s="14" t="str">
        <x:v>수동</x:v>
      </x:c>
      <x:c r="N222" s="14" t="str">
        <x:v>개발·QA</x:v>
      </x:c>
      <x:c r="O222" s="14" t="str">
        <x:v>P1</x:v>
      </x:c>
      <x:c r="P222" s="15" t="str">
        <x:v>계획</x:v>
      </x:c>
      <x:c r="Q222" s="15" t="str">
        <x:v>미실행</x:v>
      </x:c>
      <x:c r="R222" s="15" t="str">
        <x:v>미실행</x:v>
      </x:c>
      <x:c r="S222" s="15" t="str">
        <x:v>수동</x:v>
      </x:c>
      <x:c r="T222" s="15" t="str"/>
      <x:c r="U222" s="15" t="str"/>
      <x:c r="V222" s="15" t="str"/>
      <x:c r="W222" s="15" t="str"/>
      <x:c r="X222" s="16" t="str"/>
      <x:c r="Y222" s="15" t="str"/>
      <x:c r="Z222" s="14" t="str">
        <x:f>IF(J222&lt;&gt;"적용","산정제외",IF(OR(Q222="실패",R222="실패"),"실패",IF(AND(P222="구현",T222&lt;&gt;"",U222&lt;&gt;"",V222&lt;&gt;"",W222&lt;&gt;"",ISNUMBER(X222),Y222="",OR(S222="수동",Q222="통과"),OR(S222="자동",R222="통과")),"통과","미검증")))</x:f>
        <x:v>미검증</x:v>
      </x:c>
      <x:c r="AA222" s="14" t="str"/>
      <x:c r="AB222" s="14" t="str">
        <x:v>S01~S08 / 해당 기능의 모든 화면·상태</x:v>
      </x:c>
    </x:row>
    <x:row r="223" ht="24" customHeight="1">
      <x:c r="A223" s="13" t="str">
        <x:v>WCA-011</x:v>
      </x:c>
      <x:c r="B223" s="13" t="str">
        <x:v>WCAG 2.2 A·AA</x:v>
      </x:c>
      <x:c r="C223" s="13" t="str">
        <x:v>WCAG 2.2</x:v>
      </x:c>
      <x:c r="D223" s="13" t="str">
        <x:v>입력 목적</x:v>
      </x:c>
      <x:c r="E223" s="13" t="str">
        <x:v>개인정보 입력목적 식별</x:v>
      </x:c>
      <x:c r="F223" s="13" t="str">
        <x:v>SRC-005</x:v>
      </x:c>
      <x:c r="G223" s="13" t="str">
        <x:v>1.3.5</x:v>
      </x:c>
      <x:c r="H223" s="13" t="str">
        <x:v>AA</x:v>
      </x:c>
      <x:c r="I223" s="13" t="str">
        <x:v>MUST(안)</x:v>
      </x:c>
      <x:c r="J223" s="13" t="str">
        <x:v>적용</x:v>
      </x:c>
      <x:c r="K223" s="13" t="str">
        <x:v>현재 샘플의 회사 필수 기준으로 채택 제안</x:v>
      </x:c>
      <x:c r="L223" s="13" t="str">
        <x:v>이름·이메일 등 해당 필드 autocomplete 토큰</x:v>
      </x:c>
      <x:c r="M223" s="13" t="str">
        <x:v>자동+수동</x:v>
      </x:c>
      <x:c r="N223" s="13" t="str">
        <x:v>개발·QA</x:v>
      </x:c>
      <x:c r="O223" s="13" t="str">
        <x:v>P1</x:v>
      </x:c>
      <x:c r="P223" s="15" t="str">
        <x:v>계획</x:v>
      </x:c>
      <x:c r="Q223" s="15" t="str">
        <x:v>미실행</x:v>
      </x:c>
      <x:c r="R223" s="15" t="str">
        <x:v>미실행</x:v>
      </x:c>
      <x:c r="S223" s="15" t="str">
        <x:v>자동+수동</x:v>
      </x:c>
      <x:c r="T223" s="15" t="str"/>
      <x:c r="U223" s="15" t="str"/>
      <x:c r="V223" s="15" t="str"/>
      <x:c r="W223" s="15" t="str"/>
      <x:c r="X223" s="16" t="str"/>
      <x:c r="Y223" s="15" t="str"/>
      <x:c r="Z223" s="13" t="str">
        <x:f>IF(J223&lt;&gt;"적용","산정제외",IF(OR(Q223="실패",R223="실패"),"실패",IF(AND(P223="구현",T223&lt;&gt;"",U223&lt;&gt;"",V223&lt;&gt;"",W223&lt;&gt;"",ISNUMBER(X223),Y223="",OR(S223="수동",Q223="통과"),OR(S223="자동",R223="통과")),"통과","미검증")))</x:f>
        <x:v>미검증</x:v>
      </x:c>
      <x:c r="AA223" s="13" t="str"/>
      <x:c r="AB223" s="13" t="str">
        <x:v>S01~S08 / 해당 기능의 모든 화면·상태</x:v>
      </x:c>
    </x:row>
    <x:row r="224" ht="24" customHeight="1">
      <x:c r="A224" s="14" t="str">
        <x:v>WCA-012</x:v>
      </x:c>
      <x:c r="B224" s="14" t="str">
        <x:v>WCAG 2.2 A·AA</x:v>
      </x:c>
      <x:c r="C224" s="14" t="str">
        <x:v>WCAG 2.2</x:v>
      </x:c>
      <x:c r="D224" s="14" t="str">
        <x:v>색상 대안</x:v>
      </x:c>
      <x:c r="E224" s="14" t="str">
        <x:v>색 단독정보 방지</x:v>
      </x:c>
      <x:c r="F224" s="14" t="str">
        <x:v>SRC-005</x:v>
      </x:c>
      <x:c r="G224" s="14" t="str">
        <x:v>1.4.1</x:v>
      </x:c>
      <x:c r="H224" s="14" t="str">
        <x:v>A</x:v>
      </x:c>
      <x:c r="I224" s="14" t="str">
        <x:v>MUST(안)</x:v>
      </x:c>
      <x:c r="J224" s="14" t="str">
        <x:v>적용</x:v>
      </x:c>
      <x:c r="K224" s="14" t="str">
        <x:v>현재 샘플의 회사 필수 기준으로 채택 제안</x:v>
      </x:c>
      <x:c r="L224" s="14" t="str">
        <x:v>상태·오류·필수여부에 텍스트 추가</x:v>
      </x:c>
      <x:c r="M224" s="14" t="str">
        <x:v>수동</x:v>
      </x:c>
      <x:c r="N224" s="14" t="str">
        <x:v>개발·QA</x:v>
      </x:c>
      <x:c r="O224" s="14" t="str">
        <x:v>P1</x:v>
      </x:c>
      <x:c r="P224" s="15" t="str">
        <x:v>계획</x:v>
      </x:c>
      <x:c r="Q224" s="15" t="str">
        <x:v>미실행</x:v>
      </x:c>
      <x:c r="R224" s="15" t="str">
        <x:v>미실행</x:v>
      </x:c>
      <x:c r="S224" s="15" t="str">
        <x:v>수동</x:v>
      </x:c>
      <x:c r="T224" s="15" t="str"/>
      <x:c r="U224" s="15" t="str"/>
      <x:c r="V224" s="15" t="str"/>
      <x:c r="W224" s="15" t="str"/>
      <x:c r="X224" s="16" t="str"/>
      <x:c r="Y224" s="15" t="str"/>
      <x:c r="Z224" s="14" t="str">
        <x:f>IF(J224&lt;&gt;"적용","산정제외",IF(OR(Q224="실패",R224="실패"),"실패",IF(AND(P224="구현",T224&lt;&gt;"",U224&lt;&gt;"",V224&lt;&gt;"",W224&lt;&gt;"",ISNUMBER(X224),Y224="",OR(S224="수동",Q224="통과"),OR(S224="자동",R224="통과")),"통과","미검증")))</x:f>
        <x:v>미검증</x:v>
      </x:c>
      <x:c r="AA224" s="14" t="str"/>
      <x:c r="AB224" s="14" t="str">
        <x:v>S01~S08 / 해당 기능의 모든 화면·상태</x:v>
      </x:c>
    </x:row>
    <x:row r="225" ht="24" customHeight="1">
      <x:c r="A225" s="13" t="str">
        <x:v>WCA-013</x:v>
      </x:c>
      <x:c r="B225" s="13" t="str">
        <x:v>WCAG 2.2 A·AA</x:v>
      </x:c>
      <x:c r="C225" s="13" t="str">
        <x:v>WCAG 2.2</x:v>
      </x:c>
      <x:c r="D225" s="13" t="str">
        <x:v>자동음성 제어</x:v>
      </x:c>
      <x:c r="E225" s="13" t="str">
        <x:v>자동음성 통제</x:v>
      </x:c>
      <x:c r="F225" s="13" t="str">
        <x:v>SRC-005</x:v>
      </x:c>
      <x:c r="G225" s="13" t="str">
        <x:v>1.4.2</x:v>
      </x:c>
      <x:c r="H225" s="13" t="str">
        <x:v>A</x:v>
      </x:c>
      <x:c r="I225" s="13" t="str">
        <x:v>MUST(안)</x:v>
      </x:c>
      <x:c r="J225" s="13" t="str">
        <x:v>적용</x:v>
      </x:c>
      <x:c r="K225" s="13" t="str">
        <x:v>현재 샘플의 회사 필수 기준으로 채택 제안</x:v>
      </x:c>
      <x:c r="L225" s="13" t="str">
        <x:v>샘플 자동음성 사용 안 함</x:v>
      </x:c>
      <x:c r="M225" s="13" t="str">
        <x:v>수동</x:v>
      </x:c>
      <x:c r="N225" s="13" t="str">
        <x:v>개발·QA</x:v>
      </x:c>
      <x:c r="O225" s="13" t="str">
        <x:v>P1</x:v>
      </x:c>
      <x:c r="P225" s="15" t="str">
        <x:v>계획</x:v>
      </x:c>
      <x:c r="Q225" s="15" t="str">
        <x:v>미실행</x:v>
      </x:c>
      <x:c r="R225" s="15" t="str">
        <x:v>미실행</x:v>
      </x:c>
      <x:c r="S225" s="15" t="str">
        <x:v>수동</x:v>
      </x:c>
      <x:c r="T225" s="15" t="str"/>
      <x:c r="U225" s="15" t="str"/>
      <x:c r="V225" s="15" t="str"/>
      <x:c r="W225" s="15" t="str"/>
      <x:c r="X225" s="16" t="str"/>
      <x:c r="Y225" s="15" t="str"/>
      <x:c r="Z225" s="13" t="str">
        <x:f>IF(J225&lt;&gt;"적용","산정제외",IF(OR(Q225="실패",R225="실패"),"실패",IF(AND(P225="구현",T225&lt;&gt;"",U225&lt;&gt;"",V225&lt;&gt;"",W225&lt;&gt;"",ISNUMBER(X225),Y225="",OR(S225="수동",Q225="통과"),OR(S225="자동",R225="통과")),"통과","미검증")))</x:f>
        <x:v>미검증</x:v>
      </x:c>
      <x:c r="AA225" s="13" t="str"/>
      <x:c r="AB225" s="13" t="str">
        <x:v>S01~S08 / 해당 기능의 모든 화면·상태</x:v>
      </x:c>
    </x:row>
    <x:row r="226" ht="24" customHeight="1">
      <x:c r="A226" s="14" t="str">
        <x:v>WCA-014</x:v>
      </x:c>
      <x:c r="B226" s="14" t="str">
        <x:v>WCAG 2.2 A·AA</x:v>
      </x:c>
      <x:c r="C226" s="14" t="str">
        <x:v>WCAG 2.2</x:v>
      </x:c>
      <x:c r="D226" s="14" t="str">
        <x:v>문자 대비</x:v>
      </x:c>
      <x:c r="E226" s="14" t="str">
        <x:v>최소 문자대비</x:v>
      </x:c>
      <x:c r="F226" s="14" t="str">
        <x:v>SRC-005</x:v>
      </x:c>
      <x:c r="G226" s="14" t="str">
        <x:v>1.4.3</x:v>
      </x:c>
      <x:c r="H226" s="14" t="str">
        <x:v>AA</x:v>
      </x:c>
      <x:c r="I226" s="14" t="str">
        <x:v>MUST(안)</x:v>
      </x:c>
      <x:c r="J226" s="14" t="str">
        <x:v>적용</x:v>
      </x:c>
      <x:c r="K226" s="14" t="str">
        <x:v>현재 샘플의 회사 필수 기준으로 채택 제안</x:v>
      </x:c>
      <x:c r="L226" s="14" t="str">
        <x:v>일반4.5:1, 큰 글자3:1, 예외개별검토</x:v>
      </x:c>
      <x:c r="M226" s="14" t="str">
        <x:v>자동+수동</x:v>
      </x:c>
      <x:c r="N226" s="14" t="str">
        <x:v>개발·QA</x:v>
      </x:c>
      <x:c r="O226" s="14" t="str">
        <x:v>P1</x:v>
      </x:c>
      <x:c r="P226" s="15" t="str">
        <x:v>계획</x:v>
      </x:c>
      <x:c r="Q226" s="15" t="str">
        <x:v>미실행</x:v>
      </x:c>
      <x:c r="R226" s="15" t="str">
        <x:v>미실행</x:v>
      </x:c>
      <x:c r="S226" s="15" t="str">
        <x:v>자동+수동</x:v>
      </x:c>
      <x:c r="T226" s="15" t="str"/>
      <x:c r="U226" s="15" t="str"/>
      <x:c r="V226" s="15" t="str"/>
      <x:c r="W226" s="15" t="str"/>
      <x:c r="X226" s="16" t="str"/>
      <x:c r="Y226" s="15" t="str"/>
      <x:c r="Z226" s="14" t="str">
        <x:f>IF(J226&lt;&gt;"적용","산정제외",IF(OR(Q226="실패",R226="실패"),"실패",IF(AND(P226="구현",T226&lt;&gt;"",U226&lt;&gt;"",V226&lt;&gt;"",W226&lt;&gt;"",ISNUMBER(X226),Y226="",OR(S226="수동",Q226="통과"),OR(S226="자동",R226="통과")),"통과","미검증")))</x:f>
        <x:v>미검증</x:v>
      </x:c>
      <x:c r="AA226" s="14" t="str"/>
      <x:c r="AB226" s="14" t="str">
        <x:v>S01~S08 / 해당 기능의 모든 화면·상태</x:v>
      </x:c>
    </x:row>
    <x:row r="227" ht="24" customHeight="1">
      <x:c r="A227" s="13" t="str">
        <x:v>WCA-015</x:v>
      </x:c>
      <x:c r="B227" s="13" t="str">
        <x:v>WCAG 2.2 A·AA</x:v>
      </x:c>
      <x:c r="C227" s="13" t="str">
        <x:v>WCAG 2.2</x:v>
      </x:c>
      <x:c r="D227" s="13" t="str">
        <x:v>글자 확대</x:v>
      </x:c>
      <x:c r="E227" s="13" t="str">
        <x:v>200% 글자 확대</x:v>
      </x:c>
      <x:c r="F227" s="13" t="str">
        <x:v>SRC-005</x:v>
      </x:c>
      <x:c r="G227" s="13" t="str">
        <x:v>1.4.4</x:v>
      </x:c>
      <x:c r="H227" s="13" t="str">
        <x:v>AA</x:v>
      </x:c>
      <x:c r="I227" s="13" t="str">
        <x:v>MUST(안)</x:v>
      </x:c>
      <x:c r="J227" s="13" t="str">
        <x:v>적용</x:v>
      </x:c>
      <x:c r="K227" s="13" t="str">
        <x:v>현재 샘플의 회사 필수 기준으로 채택 제안</x:v>
      </x:c>
      <x:c r="L227" s="13" t="str">
        <x:v>텍스트만 확대 시 입력·도움말 잘림 금지</x:v>
      </x:c>
      <x:c r="M227" s="13" t="str">
        <x:v>수동</x:v>
      </x:c>
      <x:c r="N227" s="13" t="str">
        <x:v>개발·QA</x:v>
      </x:c>
      <x:c r="O227" s="13" t="str">
        <x:v>P1</x:v>
      </x:c>
      <x:c r="P227" s="15" t="str">
        <x:v>계획</x:v>
      </x:c>
      <x:c r="Q227" s="15" t="str">
        <x:v>미실행</x:v>
      </x:c>
      <x:c r="R227" s="15" t="str">
        <x:v>미실행</x:v>
      </x:c>
      <x:c r="S227" s="15" t="str">
        <x:v>수동</x:v>
      </x:c>
      <x:c r="T227" s="15" t="str"/>
      <x:c r="U227" s="15" t="str"/>
      <x:c r="V227" s="15" t="str"/>
      <x:c r="W227" s="15" t="str"/>
      <x:c r="X227" s="16" t="str"/>
      <x:c r="Y227" s="15" t="str"/>
      <x:c r="Z227" s="13" t="str">
        <x:f>IF(J227&lt;&gt;"적용","산정제외",IF(OR(Q227="실패",R227="실패"),"실패",IF(AND(P227="구현",T227&lt;&gt;"",U227&lt;&gt;"",V227&lt;&gt;"",W227&lt;&gt;"",ISNUMBER(X227),Y227="",OR(S227="수동",Q227="통과"),OR(S227="자동",R227="통과")),"통과","미검증")))</x:f>
        <x:v>미검증</x:v>
      </x:c>
      <x:c r="AA227" s="13" t="str"/>
      <x:c r="AB227" s="13" t="str">
        <x:v>S01~S08 / 해당 기능의 모든 화면·상태</x:v>
      </x:c>
    </x:row>
    <x:row r="228" ht="24" customHeight="1">
      <x:c r="A228" s="14" t="str">
        <x:v>WCA-016</x:v>
      </x:c>
      <x:c r="B228" s="14" t="str">
        <x:v>WCAG 2.2 A·AA</x:v>
      </x:c>
      <x:c r="C228" s="14" t="str">
        <x:v>WCAG 2.2</x:v>
      </x:c>
      <x:c r="D228" s="14" t="str">
        <x:v>이미지 속 글자</x:v>
      </x:c>
      <x:c r="E228" s="14" t="str">
        <x:v>실제 텍스트 사용</x:v>
      </x:c>
      <x:c r="F228" s="14" t="str">
        <x:v>SRC-005</x:v>
      </x:c>
      <x:c r="G228" s="14" t="str">
        <x:v>1.4.5</x:v>
      </x:c>
      <x:c r="H228" s="14" t="str">
        <x:v>AA</x:v>
      </x:c>
      <x:c r="I228" s="14" t="str">
        <x:v>MUST(안)</x:v>
      </x:c>
      <x:c r="J228" s="14" t="str">
        <x:v>적용</x:v>
      </x:c>
      <x:c r="K228" s="14" t="str">
        <x:v>현재 샘플의 회사 필수 기준으로 채택 제안</x:v>
      </x:c>
      <x:c r="L228" s="14" t="str">
        <x:v>버튼·안내·통계를 이미지 텍스트로 제작하지 않음</x:v>
      </x:c>
      <x:c r="M228" s="14" t="str">
        <x:v>수동</x:v>
      </x:c>
      <x:c r="N228" s="14" t="str">
        <x:v>개발·QA</x:v>
      </x:c>
      <x:c r="O228" s="14" t="str">
        <x:v>P1</x:v>
      </x:c>
      <x:c r="P228" s="15" t="str">
        <x:v>계획</x:v>
      </x:c>
      <x:c r="Q228" s="15" t="str">
        <x:v>미실행</x:v>
      </x:c>
      <x:c r="R228" s="15" t="str">
        <x:v>미실행</x:v>
      </x:c>
      <x:c r="S228" s="15" t="str">
        <x:v>수동</x:v>
      </x:c>
      <x:c r="T228" s="15" t="str"/>
      <x:c r="U228" s="15" t="str"/>
      <x:c r="V228" s="15" t="str"/>
      <x:c r="W228" s="15" t="str"/>
      <x:c r="X228" s="16" t="str"/>
      <x:c r="Y228" s="15" t="str"/>
      <x:c r="Z228" s="14" t="str">
        <x:f>IF(J228&lt;&gt;"적용","산정제외",IF(OR(Q228="실패",R228="실패"),"실패",IF(AND(P228="구현",T228&lt;&gt;"",U228&lt;&gt;"",V228&lt;&gt;"",W228&lt;&gt;"",ISNUMBER(X228),Y228="",OR(S228="수동",Q228="통과"),OR(S228="자동",R228="통과")),"통과","미검증")))</x:f>
        <x:v>미검증</x:v>
      </x:c>
      <x:c r="AA228" s="14" t="str"/>
      <x:c r="AB228" s="14" t="str">
        <x:v>S01~S08 / 해당 기능의 모든 화면·상태</x:v>
      </x:c>
    </x:row>
    <x:row r="229" ht="24" customHeight="1">
      <x:c r="A229" s="13" t="str">
        <x:v>WCA-017</x:v>
      </x:c>
      <x:c r="B229" s="13" t="str">
        <x:v>WCAG 2.2 A·AA</x:v>
      </x:c>
      <x:c r="C229" s="13" t="str">
        <x:v>WCAG 2.2</x:v>
      </x:c>
      <x:c r="D229" s="13" t="str">
        <x:v>재배치</x:v>
      </x:c>
      <x:c r="E229" s="13" t="str">
        <x:v>좁은화면 재배치</x:v>
      </x:c>
      <x:c r="F229" s="13" t="str">
        <x:v>SRC-005</x:v>
      </x:c>
      <x:c r="G229" s="13" t="str">
        <x:v>1.4.10</x:v>
      </x:c>
      <x:c r="H229" s="13" t="str">
        <x:v>AA</x:v>
      </x:c>
      <x:c r="I229" s="13" t="str">
        <x:v>MUST(안)</x:v>
      </x:c>
      <x:c r="J229" s="13" t="str">
        <x:v>적용</x:v>
      </x:c>
      <x:c r="K229" s="13" t="str">
        <x:v>현재 샘플의 회사 필수 기준으로 채택 제안</x:v>
      </x:c>
      <x:c r="L229" s="13" t="str">
        <x:v>320 CSS px 폭 또는 1280폭400% 확대에서 업무 완결</x:v>
      </x:c>
      <x:c r="M229" s="13" t="str">
        <x:v>수동</x:v>
      </x:c>
      <x:c r="N229" s="13" t="str">
        <x:v>개발·QA</x:v>
      </x:c>
      <x:c r="O229" s="13" t="str">
        <x:v>P1</x:v>
      </x:c>
      <x:c r="P229" s="15" t="str">
        <x:v>계획</x:v>
      </x:c>
      <x:c r="Q229" s="15" t="str">
        <x:v>미실행</x:v>
      </x:c>
      <x:c r="R229" s="15" t="str">
        <x:v>미실행</x:v>
      </x:c>
      <x:c r="S229" s="15" t="str">
        <x:v>수동</x:v>
      </x:c>
      <x:c r="T229" s="15" t="str"/>
      <x:c r="U229" s="15" t="str"/>
      <x:c r="V229" s="15" t="str"/>
      <x:c r="W229" s="15" t="str"/>
      <x:c r="X229" s="16" t="str"/>
      <x:c r="Y229" s="15" t="str"/>
      <x:c r="Z229" s="13" t="str">
        <x:f>IF(J229&lt;&gt;"적용","산정제외",IF(OR(Q229="실패",R229="실패"),"실패",IF(AND(P229="구현",T229&lt;&gt;"",U229&lt;&gt;"",V229&lt;&gt;"",W229&lt;&gt;"",ISNUMBER(X229),Y229="",OR(S229="수동",Q229="통과"),OR(S229="자동",R229="통과")),"통과","미검증")))</x:f>
        <x:v>미검증</x:v>
      </x:c>
      <x:c r="AA229" s="13" t="str"/>
      <x:c r="AB229" s="13" t="str">
        <x:v>S01~S08 / 해당 기능의 모든 화면·상태</x:v>
      </x:c>
    </x:row>
    <x:row r="230" ht="24" customHeight="1">
      <x:c r="A230" s="14" t="str">
        <x:v>WCA-018</x:v>
      </x:c>
      <x:c r="B230" s="14" t="str">
        <x:v>WCAG 2.2 A·AA</x:v>
      </x:c>
      <x:c r="C230" s="14" t="str">
        <x:v>WCAG 2.2</x:v>
      </x:c>
      <x:c r="D230" s="14" t="str">
        <x:v>제어·도형 대비</x:v>
      </x:c>
      <x:c r="E230" s="14" t="str">
        <x:v>필수 시각정보 대비</x:v>
      </x:c>
      <x:c r="F230" s="14" t="str">
        <x:v>SRC-005</x:v>
      </x:c>
      <x:c r="G230" s="14" t="str">
        <x:v>1.4.11</x:v>
      </x:c>
      <x:c r="H230" s="14" t="str">
        <x:v>AA</x:v>
      </x:c>
      <x:c r="I230" s="14" t="str">
        <x:v>MUST(안)</x:v>
      </x:c>
      <x:c r="J230" s="14" t="str">
        <x:v>적용</x:v>
      </x:c>
      <x:c r="K230" s="14" t="str">
        <x:v>현재 샘플의 회사 필수 기준으로 채택 제안</x:v>
      </x:c>
      <x:c r="L230" s="14" t="str">
        <x:v>입력경계·선택상태·필수 그래픽3:1 확보</x:v>
      </x:c>
      <x:c r="M230" s="14" t="str">
        <x:v>자동+수동</x:v>
      </x:c>
      <x:c r="N230" s="14" t="str">
        <x:v>개발·QA</x:v>
      </x:c>
      <x:c r="O230" s="14" t="str">
        <x:v>P1</x:v>
      </x:c>
      <x:c r="P230" s="15" t="str">
        <x:v>계획</x:v>
      </x:c>
      <x:c r="Q230" s="15" t="str">
        <x:v>미실행</x:v>
      </x:c>
      <x:c r="R230" s="15" t="str">
        <x:v>미실행</x:v>
      </x:c>
      <x:c r="S230" s="15" t="str">
        <x:v>자동+수동</x:v>
      </x:c>
      <x:c r="T230" s="15" t="str"/>
      <x:c r="U230" s="15" t="str"/>
      <x:c r="V230" s="15" t="str"/>
      <x:c r="W230" s="15" t="str"/>
      <x:c r="X230" s="16" t="str"/>
      <x:c r="Y230" s="15" t="str"/>
      <x:c r="Z230" s="14" t="str">
        <x:f>IF(J230&lt;&gt;"적용","산정제외",IF(OR(Q230="실패",R230="실패"),"실패",IF(AND(P230="구현",T230&lt;&gt;"",U230&lt;&gt;"",V230&lt;&gt;"",W230&lt;&gt;"",ISNUMBER(X230),Y230="",OR(S230="수동",Q230="통과"),OR(S230="자동",R230="통과")),"통과","미검증")))</x:f>
        <x:v>미검증</x:v>
      </x:c>
      <x:c r="AA230" s="14" t="str"/>
      <x:c r="AB230" s="14" t="str">
        <x:v>S01~S08 / 해당 기능의 모든 화면·상태</x:v>
      </x:c>
    </x:row>
    <x:row r="231" ht="24" customHeight="1">
      <x:c r="A231" s="13" t="str">
        <x:v>WCA-019</x:v>
      </x:c>
      <x:c r="B231" s="13" t="str">
        <x:v>WCAG 2.2 A·AA</x:v>
      </x:c>
      <x:c r="C231" s="13" t="str">
        <x:v>WCAG 2.2</x:v>
      </x:c>
      <x:c r="D231" s="13" t="str">
        <x:v>문자 간격</x:v>
      </x:c>
      <x:c r="E231" s="13" t="str">
        <x:v>사용자 간격설정 보존</x:v>
      </x:c>
      <x:c r="F231" s="13" t="str">
        <x:v>SRC-005</x:v>
      </x:c>
      <x:c r="G231" s="13" t="str">
        <x:v>1.4.12</x:v>
      </x:c>
      <x:c r="H231" s="13" t="str">
        <x:v>AA</x:v>
      </x:c>
      <x:c r="I231" s="13" t="str">
        <x:v>MUST(안)</x:v>
      </x:c>
      <x:c r="J231" s="13" t="str">
        <x:v>적용</x:v>
      </x:c>
      <x:c r="K231" s="13" t="str">
        <x:v>현재 샘플의 회사 필수 기준으로 채택 제안</x:v>
      </x:c>
      <x:c r="L231" s="13" t="str">
        <x:v>행1.5·문단2·문자0.12·단어0.16배 적용 후 잘림 점검</x:v>
      </x:c>
      <x:c r="M231" s="13" t="str">
        <x:v>수동</x:v>
      </x:c>
      <x:c r="N231" s="13" t="str">
        <x:v>개발·QA</x:v>
      </x:c>
      <x:c r="O231" s="13" t="str">
        <x:v>P1</x:v>
      </x:c>
      <x:c r="P231" s="15" t="str">
        <x:v>계획</x:v>
      </x:c>
      <x:c r="Q231" s="15" t="str">
        <x:v>미실행</x:v>
      </x:c>
      <x:c r="R231" s="15" t="str">
        <x:v>미실행</x:v>
      </x:c>
      <x:c r="S231" s="15" t="str">
        <x:v>수동</x:v>
      </x:c>
      <x:c r="T231" s="15" t="str"/>
      <x:c r="U231" s="15" t="str"/>
      <x:c r="V231" s="15" t="str"/>
      <x:c r="W231" s="15" t="str"/>
      <x:c r="X231" s="16" t="str"/>
      <x:c r="Y231" s="15" t="str"/>
      <x:c r="Z231" s="13" t="str">
        <x:f>IF(J231&lt;&gt;"적용","산정제외",IF(OR(Q231="실패",R231="실패"),"실패",IF(AND(P231="구현",T231&lt;&gt;"",U231&lt;&gt;"",V231&lt;&gt;"",W231&lt;&gt;"",ISNUMBER(X231),Y231="",OR(S231="수동",Q231="통과"),OR(S231="자동",R231="통과")),"통과","미검증")))</x:f>
        <x:v>미검증</x:v>
      </x:c>
      <x:c r="AA231" s="13" t="str"/>
      <x:c r="AB231" s="13" t="str">
        <x:v>S01~S08 / 해당 기능의 모든 화면·상태</x:v>
      </x:c>
    </x:row>
    <x:row r="232" ht="24" customHeight="1">
      <x:c r="A232" s="14" t="str">
        <x:v>WCA-020</x:v>
      </x:c>
      <x:c r="B232" s="14" t="str">
        <x:v>WCAG 2.2 A·AA</x:v>
      </x:c>
      <x:c r="C232" s="14" t="str">
        <x:v>WCAG 2.2</x:v>
      </x:c>
      <x:c r="D232" s="14" t="str">
        <x:v>추가 콘텐츠 유지</x:v>
      </x:c>
      <x:c r="E232" s="14" t="str">
        <x:v>호버·초점 정보 제어</x:v>
      </x:c>
      <x:c r="F232" s="14" t="str">
        <x:v>SRC-005</x:v>
      </x:c>
      <x:c r="G232" s="14" t="str">
        <x:v>1.4.13</x:v>
      </x:c>
      <x:c r="H232" s="14" t="str">
        <x:v>AA</x:v>
      </x:c>
      <x:c r="I232" s="14" t="str">
        <x:v>MUST(안)</x:v>
      </x:c>
      <x:c r="J232" s="14" t="str">
        <x:v>적용</x:v>
      </x:c>
      <x:c r="K232" s="14" t="str">
        <x:v>현재 샘플의 회사 필수 기준으로 채택 제안</x:v>
      </x:c>
      <x:c r="L232" s="14" t="str">
        <x:v>툴팁 닫기·포인터이동·유지조건 구현</x:v>
      </x:c>
      <x:c r="M232" s="14" t="str">
        <x:v>자동+수동</x:v>
      </x:c>
      <x:c r="N232" s="14" t="str">
        <x:v>개발·QA</x:v>
      </x:c>
      <x:c r="O232" s="14" t="str">
        <x:v>P1</x:v>
      </x:c>
      <x:c r="P232" s="15" t="str">
        <x:v>계획</x:v>
      </x:c>
      <x:c r="Q232" s="15" t="str">
        <x:v>미실행</x:v>
      </x:c>
      <x:c r="R232" s="15" t="str">
        <x:v>미실행</x:v>
      </x:c>
      <x:c r="S232" s="15" t="str">
        <x:v>자동+수동</x:v>
      </x:c>
      <x:c r="T232" s="15" t="str"/>
      <x:c r="U232" s="15" t="str"/>
      <x:c r="V232" s="15" t="str"/>
      <x:c r="W232" s="15" t="str"/>
      <x:c r="X232" s="16" t="str"/>
      <x:c r="Y232" s="15" t="str"/>
      <x:c r="Z232" s="14" t="str">
        <x:f>IF(J232&lt;&gt;"적용","산정제외",IF(OR(Q232="실패",R232="실패"),"실패",IF(AND(P232="구현",T232&lt;&gt;"",U232&lt;&gt;"",V232&lt;&gt;"",W232&lt;&gt;"",ISNUMBER(X232),Y232="",OR(S232="수동",Q232="통과"),OR(S232="자동",R232="통과")),"통과","미검증")))</x:f>
        <x:v>미검증</x:v>
      </x:c>
      <x:c r="AA232" s="14" t="str"/>
      <x:c r="AB232" s="14" t="str">
        <x:v>S01~S08 / 해당 기능의 모든 화면·상태</x:v>
      </x:c>
    </x:row>
    <x:row r="233" ht="24" customHeight="1">
      <x:c r="A233" s="13" t="str">
        <x:v>WCA-021</x:v>
      </x:c>
      <x:c r="B233" s="13" t="str">
        <x:v>WCAG 2.2 A·AA</x:v>
      </x:c>
      <x:c r="C233" s="13" t="str">
        <x:v>WCAG 2.2</x:v>
      </x:c>
      <x:c r="D233" s="13" t="str">
        <x:v>키보드 전기능</x:v>
      </x:c>
      <x:c r="E233" s="13" t="str">
        <x:v>키보드 작업 완료</x:v>
      </x:c>
      <x:c r="F233" s="13" t="str">
        <x:v>SRC-005</x:v>
      </x:c>
      <x:c r="G233" s="13" t="str">
        <x:v>2.1.1</x:v>
      </x:c>
      <x:c r="H233" s="13" t="str">
        <x:v>A</x:v>
      </x:c>
      <x:c r="I233" s="13" t="str">
        <x:v>MUST(안)</x:v>
      </x:c>
      <x:c r="J233" s="13" t="str">
        <x:v>적용</x:v>
      </x:c>
      <x:c r="K233" s="13" t="str">
        <x:v>현재 샘플의 회사 필수 기준으로 채택 제안</x:v>
      </x:c>
      <x:c r="L233" s="13" t="str">
        <x:v>검색부터 등록·관리까지 키보드 접근</x:v>
      </x:c>
      <x:c r="M233" s="13" t="str">
        <x:v>자동+수동</x:v>
      </x:c>
      <x:c r="N233" s="13" t="str">
        <x:v>개발·QA</x:v>
      </x:c>
      <x:c r="O233" s="13" t="str">
        <x:v>P1</x:v>
      </x:c>
      <x:c r="P233" s="15" t="str">
        <x:v>계획</x:v>
      </x:c>
      <x:c r="Q233" s="15" t="str">
        <x:v>미실행</x:v>
      </x:c>
      <x:c r="R233" s="15" t="str">
        <x:v>미실행</x:v>
      </x:c>
      <x:c r="S233" s="15" t="str">
        <x:v>자동+수동</x:v>
      </x:c>
      <x:c r="T233" s="15" t="str"/>
      <x:c r="U233" s="15" t="str"/>
      <x:c r="V233" s="15" t="str"/>
      <x:c r="W233" s="15" t="str"/>
      <x:c r="X233" s="16" t="str"/>
      <x:c r="Y233" s="15" t="str"/>
      <x:c r="Z233" s="13" t="str">
        <x:f>IF(J233&lt;&gt;"적용","산정제외",IF(OR(Q233="실패",R233="실패"),"실패",IF(AND(P233="구현",T233&lt;&gt;"",U233&lt;&gt;"",V233&lt;&gt;"",W233&lt;&gt;"",ISNUMBER(X233),Y233="",OR(S233="수동",Q233="통과"),OR(S233="자동",R233="통과")),"통과","미검증")))</x:f>
        <x:v>미검증</x:v>
      </x:c>
      <x:c r="AA233" s="13" t="str"/>
      <x:c r="AB233" s="13" t="str">
        <x:v>S01~S08 / 해당 기능의 모든 화면·상태</x:v>
      </x:c>
    </x:row>
    <x:row r="234" ht="24" customHeight="1">
      <x:c r="A234" s="14" t="str">
        <x:v>WCA-022</x:v>
      </x:c>
      <x:c r="B234" s="14" t="str">
        <x:v>WCAG 2.2 A·AA</x:v>
      </x:c>
      <x:c r="C234" s="14" t="str">
        <x:v>WCAG 2.2</x:v>
      </x:c>
      <x:c r="D234" s="14" t="str">
        <x:v>키보드 탈출</x:v>
      </x:c>
      <x:c r="E234" s="14" t="str">
        <x:v>초점갇힘 방지</x:v>
      </x:c>
      <x:c r="F234" s="14" t="str">
        <x:v>SRC-005</x:v>
      </x:c>
      <x:c r="G234" s="14" t="str">
        <x:v>2.1.2</x:v>
      </x:c>
      <x:c r="H234" s="14" t="str">
        <x:v>A</x:v>
      </x:c>
      <x:c r="I234" s="14" t="str">
        <x:v>MUST(안)</x:v>
      </x:c>
      <x:c r="J234" s="14" t="str">
        <x:v>적용</x:v>
      </x:c>
      <x:c r="K234" s="14" t="str">
        <x:v>현재 샘플의 회사 필수 기준으로 채택 제안</x:v>
      </x:c>
      <x:c r="L234" s="14" t="str">
        <x:v>모달 Escape와 닫기, 종료 후 원위치 복귀</x:v>
      </x:c>
      <x:c r="M234" s="14" t="str">
        <x:v>자동+수동</x:v>
      </x:c>
      <x:c r="N234" s="14" t="str">
        <x:v>개발·QA</x:v>
      </x:c>
      <x:c r="O234" s="14" t="str">
        <x:v>P1</x:v>
      </x:c>
      <x:c r="P234" s="15" t="str">
        <x:v>계획</x:v>
      </x:c>
      <x:c r="Q234" s="15" t="str">
        <x:v>미실행</x:v>
      </x:c>
      <x:c r="R234" s="15" t="str">
        <x:v>미실행</x:v>
      </x:c>
      <x:c r="S234" s="15" t="str">
        <x:v>자동+수동</x:v>
      </x:c>
      <x:c r="T234" s="15" t="str"/>
      <x:c r="U234" s="15" t="str"/>
      <x:c r="V234" s="15" t="str"/>
      <x:c r="W234" s="15" t="str"/>
      <x:c r="X234" s="16" t="str"/>
      <x:c r="Y234" s="15" t="str"/>
      <x:c r="Z234" s="14" t="str">
        <x:f>IF(J234&lt;&gt;"적용","산정제외",IF(OR(Q234="실패",R234="실패"),"실패",IF(AND(P234="구현",T234&lt;&gt;"",U234&lt;&gt;"",V234&lt;&gt;"",W234&lt;&gt;"",ISNUMBER(X234),Y234="",OR(S234="수동",Q234="통과"),OR(S234="자동",R234="통과")),"통과","미검증")))</x:f>
        <x:v>미검증</x:v>
      </x:c>
      <x:c r="AA234" s="14" t="str"/>
      <x:c r="AB234" s="14" t="str">
        <x:v>S01~S08 / 해당 기능의 모든 화면·상태</x:v>
      </x:c>
    </x:row>
    <x:row r="235" ht="24" customHeight="1">
      <x:c r="A235" s="13" t="str">
        <x:v>WCA-023</x:v>
      </x:c>
      <x:c r="B235" s="13" t="str">
        <x:v>WCAG 2.2 A·AA</x:v>
      </x:c>
      <x:c r="C235" s="13" t="str">
        <x:v>WCAG 2.2</x:v>
      </x:c>
      <x:c r="D235" s="13" t="str">
        <x:v>문자 단축키 통제</x:v>
      </x:c>
      <x:c r="E235" s="13" t="str">
        <x:v>문자단축키 해제수단</x:v>
      </x:c>
      <x:c r="F235" s="13" t="str">
        <x:v>SRC-005</x:v>
      </x:c>
      <x:c r="G235" s="13" t="str">
        <x:v>2.1.4</x:v>
      </x:c>
      <x:c r="H235" s="13" t="str">
        <x:v>A</x:v>
      </x:c>
      <x:c r="I235" s="13" t="str">
        <x:v>MUST(안)</x:v>
      </x:c>
      <x:c r="J235" s="13" t="str">
        <x:v>조건부</x:v>
      </x:c>
      <x:c r="K235" s="13" t="str">
        <x:v>현재 단일문자 전역단축키 없음</x:v>
      </x:c>
      <x:c r="L235" s="13" t="str">
        <x:v>전역 단일문자 단축키 미사용</x:v>
      </x:c>
      <x:c r="M235" s="13" t="str">
        <x:v>기능 존재 확인 후 수동검토</x:v>
      </x:c>
      <x:c r="N235" s="13" t="str">
        <x:v>개발·QA</x:v>
      </x:c>
      <x:c r="O235" s="13" t="str">
        <x:v>P1</x:v>
      </x:c>
      <x:c r="P235" s="15" t="str">
        <x:v>계획</x:v>
      </x:c>
      <x:c r="Q235" s="15" t="str">
        <x:v>미실행</x:v>
      </x:c>
      <x:c r="R235" s="15" t="str">
        <x:v>미실행</x:v>
      </x:c>
      <x:c r="S235" s="15" t="str">
        <x:v>수동</x:v>
      </x:c>
      <x:c r="T235" s="15" t="str"/>
      <x:c r="U235" s="15" t="str"/>
      <x:c r="V235" s="15" t="str"/>
      <x:c r="W235" s="15" t="str"/>
      <x:c r="X235" s="16" t="str"/>
      <x:c r="Y235" s="15" t="str"/>
      <x:c r="Z235" s="13" t="str">
        <x:f>IF(J235&lt;&gt;"적용","산정제외",IF(OR(Q235="실패",R235="실패"),"실패",IF(AND(P235="구현",T235&lt;&gt;"",U235&lt;&gt;"",V235&lt;&gt;"",W235&lt;&gt;"",ISNUMBER(X235),Y235="",OR(S235="수동",Q235="통과"),OR(S235="자동",R235="통과")),"통과","미검증")))</x:f>
        <x:v>산정제외</x:v>
      </x:c>
      <x:c r="AA235" s="13" t="str"/>
      <x:c r="AB235" s="13" t="str">
        <x:v>S01~S08 / 해당 기능의 모든 화면·상태</x:v>
      </x:c>
    </x:row>
    <x:row r="236" ht="24" customHeight="1">
      <x:c r="A236" s="14" t="str">
        <x:v>WCA-024</x:v>
      </x:c>
      <x:c r="B236" s="14" t="str">
        <x:v>WCAG 2.2 A·AA</x:v>
      </x:c>
      <x:c r="C236" s="14" t="str">
        <x:v>WCAG 2.2</x:v>
      </x:c>
      <x:c r="D236" s="14" t="str">
        <x:v>제한시간 조절</x:v>
      </x:c>
      <x:c r="E236" s="14" t="str">
        <x:v>시간제한 대응</x:v>
      </x:c>
      <x:c r="F236" s="14" t="str">
        <x:v>SRC-005</x:v>
      </x:c>
      <x:c r="G236" s="14" t="str">
        <x:v>2.2.1</x:v>
      </x:c>
      <x:c r="H236" s="14" t="str">
        <x:v>A</x:v>
      </x:c>
      <x:c r="I236" s="14" t="str">
        <x:v>MUST(안)</x:v>
      </x:c>
      <x:c r="J236" s="14" t="str">
        <x:v>적용</x:v>
      </x:c>
      <x:c r="K236" s="14" t="str">
        <x:v>현재 샘플의 회사 필수 기준으로 채택 제안</x:v>
      </x:c>
      <x:c r="L236" s="14" t="str">
        <x:v>세션 경고·연장·입력복구와 예외 근거</x:v>
      </x:c>
      <x:c r="M236" s="14" t="str">
        <x:v>자동+수동</x:v>
      </x:c>
      <x:c r="N236" s="14" t="str">
        <x:v>개발·QA</x:v>
      </x:c>
      <x:c r="O236" s="14" t="str">
        <x:v>P1</x:v>
      </x:c>
      <x:c r="P236" s="15" t="str">
        <x:v>계획</x:v>
      </x:c>
      <x:c r="Q236" s="15" t="str">
        <x:v>미실행</x:v>
      </x:c>
      <x:c r="R236" s="15" t="str">
        <x:v>미실행</x:v>
      </x:c>
      <x:c r="S236" s="15" t="str">
        <x:v>자동+수동</x:v>
      </x:c>
      <x:c r="T236" s="15" t="str"/>
      <x:c r="U236" s="15" t="str"/>
      <x:c r="V236" s="15" t="str"/>
      <x:c r="W236" s="15" t="str"/>
      <x:c r="X236" s="16" t="str"/>
      <x:c r="Y236" s="15" t="str"/>
      <x:c r="Z236" s="14" t="str">
        <x:f>IF(J236&lt;&gt;"적용","산정제외",IF(OR(Q236="실패",R236="실패"),"실패",IF(AND(P236="구현",T236&lt;&gt;"",U236&lt;&gt;"",V236&lt;&gt;"",W236&lt;&gt;"",ISNUMBER(X236),Y236="",OR(S236="수동",Q236="통과"),OR(S236="자동",R236="통과")),"통과","미검증")))</x:f>
        <x:v>미검증</x:v>
      </x:c>
      <x:c r="AA236" s="14" t="str"/>
      <x:c r="AB236" s="14" t="str">
        <x:v>S01~S08 / 해당 기능의 모든 화면·상태</x:v>
      </x:c>
    </x:row>
    <x:row r="237" ht="24" customHeight="1">
      <x:c r="A237" s="13" t="str">
        <x:v>WCA-025</x:v>
      </x:c>
      <x:c r="B237" s="13" t="str">
        <x:v>WCAG 2.2 A·AA</x:v>
      </x:c>
      <x:c r="C237" s="13" t="str">
        <x:v>WCAG 2.2</x:v>
      </x:c>
      <x:c r="D237" s="13" t="str">
        <x:v>움직임·갱신 제어</x:v>
      </x:c>
      <x:c r="E237" s="13" t="str">
        <x:v>자동변경 제어</x:v>
      </x:c>
      <x:c r="F237" s="13" t="str">
        <x:v>SRC-005</x:v>
      </x:c>
      <x:c r="G237" s="13" t="str">
        <x:v>2.2.2</x:v>
      </x:c>
      <x:c r="H237" s="13" t="str">
        <x:v>A</x:v>
      </x:c>
      <x:c r="I237" s="13" t="str">
        <x:v>MUST(안)</x:v>
      </x:c>
      <x:c r="J237" s="13" t="str">
        <x:v>적용</x:v>
      </x:c>
      <x:c r="K237" s="13" t="str">
        <x:v>현재 샘플의 회사 필수 기준으로 채택 제안</x:v>
      </x:c>
      <x:c r="L237" s="13" t="str">
        <x:v>회전 배너 배제, 자동갱신 제어</x:v>
      </x:c>
      <x:c r="M237" s="13" t="str">
        <x:v>수동</x:v>
      </x:c>
      <x:c r="N237" s="13" t="str">
        <x:v>개발·QA</x:v>
      </x:c>
      <x:c r="O237" s="13" t="str">
        <x:v>P1</x:v>
      </x:c>
      <x:c r="P237" s="15" t="str">
        <x:v>계획</x:v>
      </x:c>
      <x:c r="Q237" s="15" t="str">
        <x:v>미실행</x:v>
      </x:c>
      <x:c r="R237" s="15" t="str">
        <x:v>미실행</x:v>
      </x:c>
      <x:c r="S237" s="15" t="str">
        <x:v>수동</x:v>
      </x:c>
      <x:c r="T237" s="15" t="str"/>
      <x:c r="U237" s="15" t="str"/>
      <x:c r="V237" s="15" t="str"/>
      <x:c r="W237" s="15" t="str"/>
      <x:c r="X237" s="16" t="str"/>
      <x:c r="Y237" s="15" t="str"/>
      <x:c r="Z237" s="13" t="str">
        <x:f>IF(J237&lt;&gt;"적용","산정제외",IF(OR(Q237="실패",R237="실패"),"실패",IF(AND(P237="구현",T237&lt;&gt;"",U237&lt;&gt;"",V237&lt;&gt;"",W237&lt;&gt;"",ISNUMBER(X237),Y237="",OR(S237="수동",Q237="통과"),OR(S237="자동",R237="통과")),"통과","미검증")))</x:f>
        <x:v>미검증</x:v>
      </x:c>
      <x:c r="AA237" s="13" t="str"/>
      <x:c r="AB237" s="13" t="str">
        <x:v>S01~S08 / 해당 기능의 모든 화면·상태</x:v>
      </x:c>
    </x:row>
    <x:row r="238" ht="24" customHeight="1">
      <x:c r="A238" s="14" t="str">
        <x:v>WCA-026</x:v>
      </x:c>
      <x:c r="B238" s="14" t="str">
        <x:v>WCAG 2.2 A·AA</x:v>
      </x:c>
      <x:c r="C238" s="14" t="str">
        <x:v>WCAG 2.2</x:v>
      </x:c>
      <x:c r="D238" s="14" t="str">
        <x:v>섬광 안전</x:v>
      </x:c>
      <x:c r="E238" s="14" t="str">
        <x:v>섬광 제한</x:v>
      </x:c>
      <x:c r="F238" s="14" t="str">
        <x:v>SRC-005</x:v>
      </x:c>
      <x:c r="G238" s="14" t="str">
        <x:v>2.3.1</x:v>
      </x:c>
      <x:c r="H238" s="14" t="str">
        <x:v>A</x:v>
      </x:c>
      <x:c r="I238" s="14" t="str">
        <x:v>MUST(안)</x:v>
      </x:c>
      <x:c r="J238" s="14" t="str">
        <x:v>적용</x:v>
      </x:c>
      <x:c r="K238" s="14" t="str">
        <x:v>현재 샘플의 회사 필수 기준으로 채택 제안</x:v>
      </x:c>
      <x:c r="L238" s="14" t="str">
        <x:v>깜빡이는 경고·효과 배제</x:v>
      </x:c>
      <x:c r="M238" s="14" t="str">
        <x:v>수동</x:v>
      </x:c>
      <x:c r="N238" s="14" t="str">
        <x:v>개발·QA</x:v>
      </x:c>
      <x:c r="O238" s="14" t="str">
        <x:v>P1</x:v>
      </x:c>
      <x:c r="P238" s="15" t="str">
        <x:v>계획</x:v>
      </x:c>
      <x:c r="Q238" s="15" t="str">
        <x:v>미실행</x:v>
      </x:c>
      <x:c r="R238" s="15" t="str">
        <x:v>미실행</x:v>
      </x:c>
      <x:c r="S238" s="15" t="str">
        <x:v>수동</x:v>
      </x:c>
      <x:c r="T238" s="15" t="str"/>
      <x:c r="U238" s="15" t="str"/>
      <x:c r="V238" s="15" t="str"/>
      <x:c r="W238" s="15" t="str"/>
      <x:c r="X238" s="16" t="str"/>
      <x:c r="Y238" s="15" t="str"/>
      <x:c r="Z238" s="14" t="str">
        <x:f>IF(J238&lt;&gt;"적용","산정제외",IF(OR(Q238="실패",R238="실패"),"실패",IF(AND(P238="구현",T238&lt;&gt;"",U238&lt;&gt;"",V238&lt;&gt;"",W238&lt;&gt;"",ISNUMBER(X238),Y238="",OR(S238="수동",Q238="통과"),OR(S238="자동",R238="통과")),"통과","미검증")))</x:f>
        <x:v>미검증</x:v>
      </x:c>
      <x:c r="AA238" s="14" t="str"/>
      <x:c r="AB238" s="14" t="str">
        <x:v>S01~S08 / 해당 기능의 모든 화면·상태</x:v>
      </x:c>
    </x:row>
    <x:row r="239" ht="24" customHeight="1">
      <x:c r="A239" s="13" t="str">
        <x:v>WCA-027</x:v>
      </x:c>
      <x:c r="B239" s="13" t="str">
        <x:v>WCAG 2.2 A·AA</x:v>
      </x:c>
      <x:c r="C239" s="13" t="str">
        <x:v>WCAG 2.2</x:v>
      </x:c>
      <x:c r="D239" s="13" t="str">
        <x:v>반복영역 생략</x:v>
      </x:c>
      <x:c r="E239" s="13" t="str">
        <x:v>본문 바로가기</x:v>
      </x:c>
      <x:c r="F239" s="13" t="str">
        <x:v>SRC-005</x:v>
      </x:c>
      <x:c r="G239" s="13" t="str">
        <x:v>2.4.1</x:v>
      </x:c>
      <x:c r="H239" s="13" t="str">
        <x:v>A</x:v>
      </x:c>
      <x:c r="I239" s="13" t="str">
        <x:v>MUST(안)</x:v>
      </x:c>
      <x:c r="J239" s="13" t="str">
        <x:v>적용</x:v>
      </x:c>
      <x:c r="K239" s="13" t="str">
        <x:v>현재 샘플의 회사 필수 기준으로 채택 제안</x:v>
      </x:c>
      <x:c r="L239" s="13" t="str">
        <x:v>첫 초점 skip link와 main 연결</x:v>
      </x:c>
      <x:c r="M239" s="13" t="str">
        <x:v>자동+수동</x:v>
      </x:c>
      <x:c r="N239" s="13" t="str">
        <x:v>개발·QA</x:v>
      </x:c>
      <x:c r="O239" s="13" t="str">
        <x:v>P1</x:v>
      </x:c>
      <x:c r="P239" s="15" t="str">
        <x:v>계획</x:v>
      </x:c>
      <x:c r="Q239" s="15" t="str">
        <x:v>미실행</x:v>
      </x:c>
      <x:c r="R239" s="15" t="str">
        <x:v>미실행</x:v>
      </x:c>
      <x:c r="S239" s="15" t="str">
        <x:v>자동+수동</x:v>
      </x:c>
      <x:c r="T239" s="15" t="str"/>
      <x:c r="U239" s="15" t="str"/>
      <x:c r="V239" s="15" t="str"/>
      <x:c r="W239" s="15" t="str"/>
      <x:c r="X239" s="16" t="str"/>
      <x:c r="Y239" s="15" t="str"/>
      <x:c r="Z239" s="13" t="str">
        <x:f>IF(J239&lt;&gt;"적용","산정제외",IF(OR(Q239="실패",R239="실패"),"실패",IF(AND(P239="구현",T239&lt;&gt;"",U239&lt;&gt;"",V239&lt;&gt;"",W239&lt;&gt;"",ISNUMBER(X239),Y239="",OR(S239="수동",Q239="통과"),OR(S239="자동",R239="통과")),"통과","미검증")))</x:f>
        <x:v>미검증</x:v>
      </x:c>
      <x:c r="AA239" s="13" t="str"/>
      <x:c r="AB239" s="13" t="str">
        <x:v>S01~S08 / 해당 기능의 모든 화면·상태</x:v>
      </x:c>
    </x:row>
    <x:row r="240" ht="24" customHeight="1">
      <x:c r="A240" s="14" t="str">
        <x:v>WCA-028</x:v>
      </x:c>
      <x:c r="B240" s="14" t="str">
        <x:v>WCAG 2.2 A·AA</x:v>
      </x:c>
      <x:c r="C240" s="14" t="str">
        <x:v>WCAG 2.2</x:v>
      </x:c>
      <x:c r="D240" s="14" t="str">
        <x:v>페이지 제목</x:v>
      </x:c>
      <x:c r="E240" s="14" t="str">
        <x:v>페이지 목적 식별</x:v>
      </x:c>
      <x:c r="F240" s="14" t="str">
        <x:v>SRC-005</x:v>
      </x:c>
      <x:c r="G240" s="14" t="str">
        <x:v>2.4.2</x:v>
      </x:c>
      <x:c r="H240" s="14" t="str">
        <x:v>A</x:v>
      </x:c>
      <x:c r="I240" s="14" t="str">
        <x:v>MUST(안)</x:v>
      </x:c>
      <x:c r="J240" s="14" t="str">
        <x:v>적용</x:v>
      </x:c>
      <x:c r="K240" s="14" t="str">
        <x:v>현재 샘플의 회사 필수 기준으로 채택 제안</x:v>
      </x:c>
      <x:c r="L240" s="14" t="str">
        <x:v>요청명·화면명 포함 document.title</x:v>
      </x:c>
      <x:c r="M240" s="14" t="str">
        <x:v>자동+수동</x:v>
      </x:c>
      <x:c r="N240" s="14" t="str">
        <x:v>개발·QA</x:v>
      </x:c>
      <x:c r="O240" s="14" t="str">
        <x:v>P1</x:v>
      </x:c>
      <x:c r="P240" s="15" t="str">
        <x:v>계획</x:v>
      </x:c>
      <x:c r="Q240" s="15" t="str">
        <x:v>미실행</x:v>
      </x:c>
      <x:c r="R240" s="15" t="str">
        <x:v>미실행</x:v>
      </x:c>
      <x:c r="S240" s="15" t="str">
        <x:v>자동+수동</x:v>
      </x:c>
      <x:c r="T240" s="15" t="str"/>
      <x:c r="U240" s="15" t="str"/>
      <x:c r="V240" s="15" t="str"/>
      <x:c r="W240" s="15" t="str"/>
      <x:c r="X240" s="16" t="str"/>
      <x:c r="Y240" s="15" t="str"/>
      <x:c r="Z240" s="14" t="str">
        <x:f>IF(J240&lt;&gt;"적용","산정제외",IF(OR(Q240="실패",R240="실패"),"실패",IF(AND(P240="구현",T240&lt;&gt;"",U240&lt;&gt;"",V240&lt;&gt;"",W240&lt;&gt;"",ISNUMBER(X240),Y240="",OR(S240="수동",Q240="통과"),OR(S240="자동",R240="통과")),"통과","미검증")))</x:f>
        <x:v>미검증</x:v>
      </x:c>
      <x:c r="AA240" s="14" t="str"/>
      <x:c r="AB240" s="14" t="str">
        <x:v>S01~S08 / 해당 기능의 모든 화면·상태</x:v>
      </x:c>
    </x:row>
    <x:row r="241" ht="24" customHeight="1">
      <x:c r="A241" s="13" t="str">
        <x:v>WCA-029</x:v>
      </x:c>
      <x:c r="B241" s="13" t="str">
        <x:v>WCAG 2.2 A·AA</x:v>
      </x:c>
      <x:c r="C241" s="13" t="str">
        <x:v>WCAG 2.2</x:v>
      </x:c>
      <x:c r="D241" s="13" t="str">
        <x:v>초점 순서</x:v>
      </x:c>
      <x:c r="E241" s="13" t="str">
        <x:v>논리적 초점</x:v>
      </x:c>
      <x:c r="F241" s="13" t="str">
        <x:v>SRC-005</x:v>
      </x:c>
      <x:c r="G241" s="13" t="str">
        <x:v>2.4.3</x:v>
      </x:c>
      <x:c r="H241" s="13" t="str">
        <x:v>A</x:v>
      </x:c>
      <x:c r="I241" s="13" t="str">
        <x:v>MUST(안)</x:v>
      </x:c>
      <x:c r="J241" s="13" t="str">
        <x:v>적용</x:v>
      </x:c>
      <x:c r="K241" s="13" t="str">
        <x:v>현재 샘플의 회사 필수 기준으로 채택 제안</x:v>
      </x:c>
      <x:c r="L241" s="13" t="str">
        <x:v>양수 tabindex 금지, 전환·모달 순서 관리</x:v>
      </x:c>
      <x:c r="M241" s="13" t="str">
        <x:v>자동+수동</x:v>
      </x:c>
      <x:c r="N241" s="13" t="str">
        <x:v>개발·QA</x:v>
      </x:c>
      <x:c r="O241" s="13" t="str">
        <x:v>P1</x:v>
      </x:c>
      <x:c r="P241" s="15" t="str">
        <x:v>계획</x:v>
      </x:c>
      <x:c r="Q241" s="15" t="str">
        <x:v>미실행</x:v>
      </x:c>
      <x:c r="R241" s="15" t="str">
        <x:v>미실행</x:v>
      </x:c>
      <x:c r="S241" s="15" t="str">
        <x:v>자동+수동</x:v>
      </x:c>
      <x:c r="T241" s="15" t="str"/>
      <x:c r="U241" s="15" t="str"/>
      <x:c r="V241" s="15" t="str"/>
      <x:c r="W241" s="15" t="str"/>
      <x:c r="X241" s="16" t="str"/>
      <x:c r="Y241" s="15" t="str"/>
      <x:c r="Z241" s="13" t="str">
        <x:f>IF(J241&lt;&gt;"적용","산정제외",IF(OR(Q241="실패",R241="실패"),"실패",IF(AND(P241="구현",T241&lt;&gt;"",U241&lt;&gt;"",V241&lt;&gt;"",W241&lt;&gt;"",ISNUMBER(X241),Y241="",OR(S241="수동",Q241="통과"),OR(S241="자동",R241="통과")),"통과","미검증")))</x:f>
        <x:v>미검증</x:v>
      </x:c>
      <x:c r="AA241" s="13" t="str"/>
      <x:c r="AB241" s="13" t="str">
        <x:v>S01~S08 / 해당 기능의 모든 화면·상태</x:v>
      </x:c>
    </x:row>
    <x:row r="242" ht="24" customHeight="1">
      <x:c r="A242" s="14" t="str">
        <x:v>WCA-030</x:v>
      </x:c>
      <x:c r="B242" s="14" t="str">
        <x:v>WCAG 2.2 A·AA</x:v>
      </x:c>
      <x:c r="C242" s="14" t="str">
        <x:v>WCAG 2.2</x:v>
      </x:c>
      <x:c r="D242" s="14" t="str">
        <x:v>링크 목적</x:v>
      </x:c>
      <x:c r="E242" s="14" t="str">
        <x:v>링크 목적 전달</x:v>
      </x:c>
      <x:c r="F242" s="14" t="str">
        <x:v>SRC-005</x:v>
      </x:c>
      <x:c r="G242" s="14" t="str">
        <x:v>2.4.4</x:v>
      </x:c>
      <x:c r="H242" s="14" t="str">
        <x:v>A</x:v>
      </x:c>
      <x:c r="I242" s="14" t="str">
        <x:v>MUST(안)</x:v>
      </x:c>
      <x:c r="J242" s="14" t="str">
        <x:v>적용</x:v>
      </x:c>
      <x:c r="K242" s="14" t="str">
        <x:v>현재 샘플의 회사 필수 기준으로 채택 제안</x:v>
      </x:c>
      <x:c r="L242" s="14" t="str">
        <x:v>문맥에서 요청 식별 가능한 상세 링크</x:v>
      </x:c>
      <x:c r="M242" s="14" t="str">
        <x:v>수동</x:v>
      </x:c>
      <x:c r="N242" s="14" t="str">
        <x:v>개발·QA</x:v>
      </x:c>
      <x:c r="O242" s="14" t="str">
        <x:v>P1</x:v>
      </x:c>
      <x:c r="P242" s="15" t="str">
        <x:v>계획</x:v>
      </x:c>
      <x:c r="Q242" s="15" t="str">
        <x:v>미실행</x:v>
      </x:c>
      <x:c r="R242" s="15" t="str">
        <x:v>미실행</x:v>
      </x:c>
      <x:c r="S242" s="15" t="str">
        <x:v>수동</x:v>
      </x:c>
      <x:c r="T242" s="15" t="str"/>
      <x:c r="U242" s="15" t="str"/>
      <x:c r="V242" s="15" t="str"/>
      <x:c r="W242" s="15" t="str"/>
      <x:c r="X242" s="16" t="str"/>
      <x:c r="Y242" s="15" t="str"/>
      <x:c r="Z242" s="14" t="str">
        <x:f>IF(J242&lt;&gt;"적용","산정제외",IF(OR(Q242="실패",R242="실패"),"실패",IF(AND(P242="구현",T242&lt;&gt;"",U242&lt;&gt;"",V242&lt;&gt;"",W242&lt;&gt;"",ISNUMBER(X242),Y242="",OR(S242="수동",Q242="통과"),OR(S242="자동",R242="통과")),"통과","미검증")))</x:f>
        <x:v>미검증</x:v>
      </x:c>
      <x:c r="AA242" s="14" t="str"/>
      <x:c r="AB242" s="14" t="str">
        <x:v>S01~S08 / 해당 기능의 모든 화면·상태</x:v>
      </x:c>
    </x:row>
    <x:row r="243" ht="24" customHeight="1">
      <x:c r="A243" s="13" t="str">
        <x:v>WCA-031</x:v>
      </x:c>
      <x:c r="B243" s="13" t="str">
        <x:v>WCAG 2.2 A·AA</x:v>
      </x:c>
      <x:c r="C243" s="13" t="str">
        <x:v>WCAG 2.2</x:v>
      </x:c>
      <x:c r="D243" s="13" t="str">
        <x:v>찾는 방법 다양화</x:v>
      </x:c>
      <x:c r="E243" s="13" t="str">
        <x:v>복수 탐색수단</x:v>
      </x:c>
      <x:c r="F243" s="13" t="str">
        <x:v>SRC-005</x:v>
      </x:c>
      <x:c r="G243" s="13" t="str">
        <x:v>2.4.5</x:v>
      </x:c>
      <x:c r="H243" s="13" t="str">
        <x:v>AA</x:v>
      </x:c>
      <x:c r="I243" s="13" t="str">
        <x:v>MUST(안)</x:v>
      </x:c>
      <x:c r="J243" s="13" t="str">
        <x:v>적용</x:v>
      </x:c>
      <x:c r="K243" s="13" t="str">
        <x:v>현재 샘플의 회사 필수 기준으로 채택 제안</x:v>
      </x:c>
      <x:c r="L243" s="13" t="str">
        <x:v>메뉴와 검색·목록 등 두 경로 제공</x:v>
      </x:c>
      <x:c r="M243" s="13" t="str">
        <x:v>수동</x:v>
      </x:c>
      <x:c r="N243" s="13" t="str">
        <x:v>개발·QA</x:v>
      </x:c>
      <x:c r="O243" s="13" t="str">
        <x:v>P1</x:v>
      </x:c>
      <x:c r="P243" s="15" t="str">
        <x:v>계획</x:v>
      </x:c>
      <x:c r="Q243" s="15" t="str">
        <x:v>미실행</x:v>
      </x:c>
      <x:c r="R243" s="15" t="str">
        <x:v>미실행</x:v>
      </x:c>
      <x:c r="S243" s="15" t="str">
        <x:v>수동</x:v>
      </x:c>
      <x:c r="T243" s="15" t="str"/>
      <x:c r="U243" s="15" t="str"/>
      <x:c r="V243" s="15" t="str"/>
      <x:c r="W243" s="15" t="str"/>
      <x:c r="X243" s="16" t="str"/>
      <x:c r="Y243" s="15" t="str"/>
      <x:c r="Z243" s="13" t="str">
        <x:f>IF(J243&lt;&gt;"적용","산정제외",IF(OR(Q243="실패",R243="실패"),"실패",IF(AND(P243="구현",T243&lt;&gt;"",U243&lt;&gt;"",V243&lt;&gt;"",W243&lt;&gt;"",ISNUMBER(X243),Y243="",OR(S243="수동",Q243="통과"),OR(S243="자동",R243="통과")),"통과","미검증")))</x:f>
        <x:v>미검증</x:v>
      </x:c>
      <x:c r="AA243" s="13" t="str"/>
      <x:c r="AB243" s="13" t="str">
        <x:v>S01~S08 / 해당 기능의 모든 화면·상태</x:v>
      </x:c>
    </x:row>
    <x:row r="244" ht="24" customHeight="1">
      <x:c r="A244" s="14" t="str">
        <x:v>WCA-032</x:v>
      </x:c>
      <x:c r="B244" s="14" t="str">
        <x:v>WCAG 2.2 A·AA</x:v>
      </x:c>
      <x:c r="C244" s="14" t="str">
        <x:v>WCAG 2.2</x:v>
      </x:c>
      <x:c r="D244" s="14" t="str">
        <x:v>제목·레이블 설명</x:v>
      </x:c>
      <x:c r="E244" s="14" t="str">
        <x:v>목적 드러나는 제목</x:v>
      </x:c>
      <x:c r="F244" s="14" t="str">
        <x:v>SRC-005</x:v>
      </x:c>
      <x:c r="G244" s="14" t="str">
        <x:v>2.4.6</x:v>
      </x:c>
      <x:c r="H244" s="14" t="str">
        <x:v>AA</x:v>
      </x:c>
      <x:c r="I244" s="14" t="str">
        <x:v>MUST(안)</x:v>
      </x:c>
      <x:c r="J244" s="14" t="str">
        <x:v>적용</x:v>
      </x:c>
      <x:c r="K244" s="14" t="str">
        <x:v>현재 샘플의 회사 필수 기준으로 채택 제안</x:v>
      </x:c>
      <x:c r="L244" s="14" t="str">
        <x:v>“요청 제목”, “처리 상태” 등 명시</x:v>
      </x:c>
      <x:c r="M244" s="14" t="str">
        <x:v>수동</x:v>
      </x:c>
      <x:c r="N244" s="14" t="str">
        <x:v>개발·QA</x:v>
      </x:c>
      <x:c r="O244" s="14" t="str">
        <x:v>P1</x:v>
      </x:c>
      <x:c r="P244" s="15" t="str">
        <x:v>계획</x:v>
      </x:c>
      <x:c r="Q244" s="15" t="str">
        <x:v>미실행</x:v>
      </x:c>
      <x:c r="R244" s="15" t="str">
        <x:v>미실행</x:v>
      </x:c>
      <x:c r="S244" s="15" t="str">
        <x:v>수동</x:v>
      </x:c>
      <x:c r="T244" s="15" t="str"/>
      <x:c r="U244" s="15" t="str"/>
      <x:c r="V244" s="15" t="str"/>
      <x:c r="W244" s="15" t="str"/>
      <x:c r="X244" s="16" t="str"/>
      <x:c r="Y244" s="15" t="str"/>
      <x:c r="Z244" s="14" t="str">
        <x:f>IF(J244&lt;&gt;"적용","산정제외",IF(OR(Q244="실패",R244="실패"),"실패",IF(AND(P244="구현",T244&lt;&gt;"",U244&lt;&gt;"",V244&lt;&gt;"",W244&lt;&gt;"",ISNUMBER(X244),Y244="",OR(S244="수동",Q244="통과"),OR(S244="자동",R244="통과")),"통과","미검증")))</x:f>
        <x:v>미검증</x:v>
      </x:c>
      <x:c r="AA244" s="14" t="str"/>
      <x:c r="AB244" s="14" t="str">
        <x:v>S01~S08 / 해당 기능의 모든 화면·상태</x:v>
      </x:c>
    </x:row>
    <x:row r="245" ht="24" customHeight="1">
      <x:c r="A245" s="13" t="str">
        <x:v>WCA-033</x:v>
      </x:c>
      <x:c r="B245" s="13" t="str">
        <x:v>WCAG 2.2 A·AA</x:v>
      </x:c>
      <x:c r="C245" s="13" t="str">
        <x:v>WCAG 2.2</x:v>
      </x:c>
      <x:c r="D245" s="13" t="str">
        <x:v>초점 가시성</x:v>
      </x:c>
      <x:c r="E245" s="13" t="str">
        <x:v>초점 표시</x:v>
      </x:c>
      <x:c r="F245" s="13" t="str">
        <x:v>SRC-005</x:v>
      </x:c>
      <x:c r="G245" s="13" t="str">
        <x:v>2.4.7</x:v>
      </x:c>
      <x:c r="H245" s="13" t="str">
        <x:v>AA</x:v>
      </x:c>
      <x:c r="I245" s="13" t="str">
        <x:v>MUST(안)</x:v>
      </x:c>
      <x:c r="J245" s="13" t="str">
        <x:v>적용</x:v>
      </x:c>
      <x:c r="K245" s="13" t="str">
        <x:v>현재 샘플의 회사 필수 기준으로 채택 제안</x:v>
      </x:c>
      <x:c r="L245" s="13" t="str">
        <x:v>모든 인터랙티브 요소 focus-visible 스타일</x:v>
      </x:c>
      <x:c r="M245" s="13" t="str">
        <x:v>자동+수동</x:v>
      </x:c>
      <x:c r="N245" s="13" t="str">
        <x:v>개발·QA</x:v>
      </x:c>
      <x:c r="O245" s="13" t="str">
        <x:v>P1</x:v>
      </x:c>
      <x:c r="P245" s="15" t="str">
        <x:v>계획</x:v>
      </x:c>
      <x:c r="Q245" s="15" t="str">
        <x:v>미실행</x:v>
      </x:c>
      <x:c r="R245" s="15" t="str">
        <x:v>미실행</x:v>
      </x:c>
      <x:c r="S245" s="15" t="str">
        <x:v>자동+수동</x:v>
      </x:c>
      <x:c r="T245" s="15" t="str"/>
      <x:c r="U245" s="15" t="str"/>
      <x:c r="V245" s="15" t="str"/>
      <x:c r="W245" s="15" t="str"/>
      <x:c r="X245" s="16" t="str"/>
      <x:c r="Y245" s="15" t="str"/>
      <x:c r="Z245" s="13" t="str">
        <x:f>IF(J245&lt;&gt;"적용","산정제외",IF(OR(Q245="실패",R245="실패"),"실패",IF(AND(P245="구현",T245&lt;&gt;"",U245&lt;&gt;"",V245&lt;&gt;"",W245&lt;&gt;"",ISNUMBER(X245),Y245="",OR(S245="수동",Q245="통과"),OR(S245="자동",R245="통과")),"통과","미검증")))</x:f>
        <x:v>미검증</x:v>
      </x:c>
      <x:c r="AA245" s="13" t="str"/>
      <x:c r="AB245" s="13" t="str">
        <x:v>S01~S08 / 해당 기능의 모든 화면·상태</x:v>
      </x:c>
    </x:row>
    <x:row r="246" ht="24" customHeight="1">
      <x:c r="A246" s="14" t="str">
        <x:v>WCA-034</x:v>
      </x:c>
      <x:c r="B246" s="14" t="str">
        <x:v>WCAG 2.2 A·AA</x:v>
      </x:c>
      <x:c r="C246" s="14" t="str">
        <x:v>WCAG 2.2</x:v>
      </x:c>
      <x:c r="D246" s="14" t="str">
        <x:v>초점 가림 방지</x:v>
      </x:c>
      <x:c r="E246" s="14" t="str">
        <x:v>초점 완전가림 방지</x:v>
      </x:c>
      <x:c r="F246" s="14" t="str">
        <x:v>SRC-005</x:v>
      </x:c>
      <x:c r="G246" s="14" t="str">
        <x:v>2.4.11</x:v>
      </x:c>
      <x:c r="H246" s="14" t="str">
        <x:v>AA</x:v>
      </x:c>
      <x:c r="I246" s="14" t="str">
        <x:v>MUST(안)</x:v>
      </x:c>
      <x:c r="J246" s="14" t="str">
        <x:v>적용</x:v>
      </x:c>
      <x:c r="K246" s="14" t="str">
        <x:v>현재 샘플의 회사 필수 기준으로 채택 제안</x:v>
      </x:c>
      <x:c r="L246" s="14" t="str">
        <x:v>고정헤더·하단바·알림이 초점요소 완전히 가리지 않음</x:v>
      </x:c>
      <x:c r="M246" s="14" t="str">
        <x:v>수동</x:v>
      </x:c>
      <x:c r="N246" s="14" t="str">
        <x:v>개발·QA</x:v>
      </x:c>
      <x:c r="O246" s="14" t="str">
        <x:v>P1</x:v>
      </x:c>
      <x:c r="P246" s="15" t="str">
        <x:v>계획</x:v>
      </x:c>
      <x:c r="Q246" s="15" t="str">
        <x:v>미실행</x:v>
      </x:c>
      <x:c r="R246" s="15" t="str">
        <x:v>미실행</x:v>
      </x:c>
      <x:c r="S246" s="15" t="str">
        <x:v>수동</x:v>
      </x:c>
      <x:c r="T246" s="15" t="str"/>
      <x:c r="U246" s="15" t="str"/>
      <x:c r="V246" s="15" t="str"/>
      <x:c r="W246" s="15" t="str"/>
      <x:c r="X246" s="16" t="str"/>
      <x:c r="Y246" s="15" t="str"/>
      <x:c r="Z246" s="14" t="str">
        <x:f>IF(J246&lt;&gt;"적용","산정제외",IF(OR(Q246="실패",R246="실패"),"실패",IF(AND(P246="구현",T246&lt;&gt;"",U246&lt;&gt;"",V246&lt;&gt;"",W246&lt;&gt;"",ISNUMBER(X246),Y246="",OR(S246="수동",Q246="통과"),OR(S246="자동",R246="통과")),"통과","미검증")))</x:f>
        <x:v>미검증</x:v>
      </x:c>
      <x:c r="AA246" s="14" t="str"/>
      <x:c r="AB246" s="14" t="str">
        <x:v>S01~S08 / 해당 기능의 모든 화면·상태</x:v>
      </x:c>
    </x:row>
    <x:row r="247" ht="24" customHeight="1">
      <x:c r="A247" s="13" t="str">
        <x:v>WCA-035</x:v>
      </x:c>
      <x:c r="B247" s="13" t="str">
        <x:v>WCAG 2.2 A·AA</x:v>
      </x:c>
      <x:c r="C247" s="13" t="str">
        <x:v>WCAG 2.2</x:v>
      </x:c>
      <x:c r="D247" s="13" t="str">
        <x:v>복잡 제스처 대체</x:v>
      </x:c>
      <x:c r="E247" s="13" t="str">
        <x:v>단일포인터 대안</x:v>
      </x:c>
      <x:c r="F247" s="13" t="str">
        <x:v>SRC-005</x:v>
      </x:c>
      <x:c r="G247" s="13" t="str">
        <x:v>2.5.1</x:v>
      </x:c>
      <x:c r="H247" s="13" t="str">
        <x:v>A</x:v>
      </x:c>
      <x:c r="I247" s="13" t="str">
        <x:v>MUST(안)</x:v>
      </x:c>
      <x:c r="J247" s="13" t="str">
        <x:v>적용</x:v>
      </x:c>
      <x:c r="K247" s="13" t="str">
        <x:v>현재 샘플의 회사 필수 기준으로 채택 제안</x:v>
      </x:c>
      <x:c r="L247" s="13" t="str">
        <x:v>스와이프·핀치 대신 명시 버튼 제공</x:v>
      </x:c>
      <x:c r="M247" s="13" t="str">
        <x:v>자동+수동</x:v>
      </x:c>
      <x:c r="N247" s="13" t="str">
        <x:v>개발·QA</x:v>
      </x:c>
      <x:c r="O247" s="13" t="str">
        <x:v>P1</x:v>
      </x:c>
      <x:c r="P247" s="15" t="str">
        <x:v>계획</x:v>
      </x:c>
      <x:c r="Q247" s="15" t="str">
        <x:v>미실행</x:v>
      </x:c>
      <x:c r="R247" s="15" t="str">
        <x:v>미실행</x:v>
      </x:c>
      <x:c r="S247" s="15" t="str">
        <x:v>자동+수동</x:v>
      </x:c>
      <x:c r="T247" s="15" t="str"/>
      <x:c r="U247" s="15" t="str"/>
      <x:c r="V247" s="15" t="str"/>
      <x:c r="W247" s="15" t="str"/>
      <x:c r="X247" s="16" t="str"/>
      <x:c r="Y247" s="15" t="str"/>
      <x:c r="Z247" s="13" t="str">
        <x:f>IF(J247&lt;&gt;"적용","산정제외",IF(OR(Q247="실패",R247="실패"),"실패",IF(AND(P247="구현",T247&lt;&gt;"",U247&lt;&gt;"",V247&lt;&gt;"",W247&lt;&gt;"",ISNUMBER(X247),Y247="",OR(S247="수동",Q247="통과"),OR(S247="자동",R247="통과")),"통과","미검증")))</x:f>
        <x:v>미검증</x:v>
      </x:c>
      <x:c r="AA247" s="13" t="str"/>
      <x:c r="AB247" s="13" t="str">
        <x:v>S01~S08 / 해당 기능의 모든 화면·상태</x:v>
      </x:c>
    </x:row>
    <x:row r="248" ht="24" customHeight="1">
      <x:c r="A248" s="14" t="str">
        <x:v>WCA-036</x:v>
      </x:c>
      <x:c r="B248" s="14" t="str">
        <x:v>WCAG 2.2 A·AA</x:v>
      </x:c>
      <x:c r="C248" s="14" t="str">
        <x:v>WCAG 2.2</x:v>
      </x:c>
      <x:c r="D248" s="14" t="str">
        <x:v>포인터 취소</x:v>
      </x:c>
      <x:c r="E248" s="14" t="str">
        <x:v>누름 취소지원</x:v>
      </x:c>
      <x:c r="F248" s="14" t="str">
        <x:v>SRC-005</x:v>
      </x:c>
      <x:c r="G248" s="14" t="str">
        <x:v>2.5.2</x:v>
      </x:c>
      <x:c r="H248" s="14" t="str">
        <x:v>A</x:v>
      </x:c>
      <x:c r="I248" s="14" t="str">
        <x:v>MUST(안)</x:v>
      </x:c>
      <x:c r="J248" s="14" t="str">
        <x:v>적용</x:v>
      </x:c>
      <x:c r="K248" s="14" t="str">
        <x:v>현재 샘플의 회사 필수 기준으로 채택 제안</x:v>
      </x:c>
      <x:c r="L248" s="14" t="str">
        <x:v>pointerdown 실행 금지, click 기반 확정</x:v>
      </x:c>
      <x:c r="M248" s="14" t="str">
        <x:v>수동</x:v>
      </x:c>
      <x:c r="N248" s="14" t="str">
        <x:v>개발·QA</x:v>
      </x:c>
      <x:c r="O248" s="14" t="str">
        <x:v>P1</x:v>
      </x:c>
      <x:c r="P248" s="15" t="str">
        <x:v>계획</x:v>
      </x:c>
      <x:c r="Q248" s="15" t="str">
        <x:v>미실행</x:v>
      </x:c>
      <x:c r="R248" s="15" t="str">
        <x:v>미실행</x:v>
      </x:c>
      <x:c r="S248" s="15" t="str">
        <x:v>수동</x:v>
      </x:c>
      <x:c r="T248" s="15" t="str"/>
      <x:c r="U248" s="15" t="str"/>
      <x:c r="V248" s="15" t="str"/>
      <x:c r="W248" s="15" t="str"/>
      <x:c r="X248" s="16" t="str"/>
      <x:c r="Y248" s="15" t="str"/>
      <x:c r="Z248" s="14" t="str">
        <x:f>IF(J248&lt;&gt;"적용","산정제외",IF(OR(Q248="실패",R248="실패"),"실패",IF(AND(P248="구현",T248&lt;&gt;"",U248&lt;&gt;"",V248&lt;&gt;"",W248&lt;&gt;"",ISNUMBER(X248),Y248="",OR(S248="수동",Q248="통과"),OR(S248="자동",R248="통과")),"통과","미검증")))</x:f>
        <x:v>미검증</x:v>
      </x:c>
      <x:c r="AA248" s="14" t="str"/>
      <x:c r="AB248" s="14" t="str">
        <x:v>S01~S08 / 해당 기능의 모든 화면·상태</x:v>
      </x:c>
    </x:row>
    <x:row r="249" ht="24" customHeight="1">
      <x:c r="A249" s="13" t="str">
        <x:v>WCA-037</x:v>
      </x:c>
      <x:c r="B249" s="13" t="str">
        <x:v>WCAG 2.2 A·AA</x:v>
      </x:c>
      <x:c r="C249" s="13" t="str">
        <x:v>WCAG 2.2</x:v>
      </x:c>
      <x:c r="D249" s="13" t="str">
        <x:v>표시문구와 접근명</x:v>
      </x:c>
      <x:c r="E249" s="13" t="str">
        <x:v>보이는 이름 포함</x:v>
      </x:c>
      <x:c r="F249" s="13" t="str">
        <x:v>SRC-005</x:v>
      </x:c>
      <x:c r="G249" s="13" t="str">
        <x:v>2.5.3</x:v>
      </x:c>
      <x:c r="H249" s="13" t="str">
        <x:v>A</x:v>
      </x:c>
      <x:c r="I249" s="13" t="str">
        <x:v>MUST(안)</x:v>
      </x:c>
      <x:c r="J249" s="13" t="str">
        <x:v>적용</x:v>
      </x:c>
      <x:c r="K249" s="13" t="str">
        <x:v>현재 샘플의 회사 필수 기준으로 채택 제안</x:v>
      </x:c>
      <x:c r="L249" s="13" t="str">
        <x:v>표시문구가 접근가능 이름에 포함</x:v>
      </x:c>
      <x:c r="M249" s="13" t="str">
        <x:v>자동+수동</x:v>
      </x:c>
      <x:c r="N249" s="13" t="str">
        <x:v>개발·QA</x:v>
      </x:c>
      <x:c r="O249" s="13" t="str">
        <x:v>P1</x:v>
      </x:c>
      <x:c r="P249" s="15" t="str">
        <x:v>계획</x:v>
      </x:c>
      <x:c r="Q249" s="15" t="str">
        <x:v>미실행</x:v>
      </x:c>
      <x:c r="R249" s="15" t="str">
        <x:v>미실행</x:v>
      </x:c>
      <x:c r="S249" s="15" t="str">
        <x:v>자동+수동</x:v>
      </x:c>
      <x:c r="T249" s="15" t="str"/>
      <x:c r="U249" s="15" t="str"/>
      <x:c r="V249" s="15" t="str"/>
      <x:c r="W249" s="15" t="str"/>
      <x:c r="X249" s="16" t="str"/>
      <x:c r="Y249" s="15" t="str"/>
      <x:c r="Z249" s="13" t="str">
        <x:f>IF(J249&lt;&gt;"적용","산정제외",IF(OR(Q249="실패",R249="실패"),"실패",IF(AND(P249="구현",T249&lt;&gt;"",U249&lt;&gt;"",V249&lt;&gt;"",W249&lt;&gt;"",ISNUMBER(X249),Y249="",OR(S249="수동",Q249="통과"),OR(S249="자동",R249="통과")),"통과","미검증")))</x:f>
        <x:v>미검증</x:v>
      </x:c>
      <x:c r="AA249" s="13" t="str"/>
      <x:c r="AB249" s="13" t="str">
        <x:v>S01~S08 / 해당 기능의 모든 화면·상태</x:v>
      </x:c>
    </x:row>
    <x:row r="250" ht="24" customHeight="1">
      <x:c r="A250" s="14" t="str">
        <x:v>WCA-038</x:v>
      </x:c>
      <x:c r="B250" s="14" t="str">
        <x:v>WCAG 2.2 A·AA</x:v>
      </x:c>
      <x:c r="C250" s="14" t="str">
        <x:v>WCAG 2.2</x:v>
      </x:c>
      <x:c r="D250" s="14" t="str">
        <x:v>동작센서 대체</x:v>
      </x:c>
      <x:c r="E250" s="14" t="str">
        <x:v>모션 대안·해제</x:v>
      </x:c>
      <x:c r="F250" s="14" t="str">
        <x:v>SRC-005</x:v>
      </x:c>
      <x:c r="G250" s="14" t="str">
        <x:v>2.5.4</x:v>
      </x:c>
      <x:c r="H250" s="14" t="str">
        <x:v>A</x:v>
      </x:c>
      <x:c r="I250" s="14" t="str">
        <x:v>MUST(안)</x:v>
      </x:c>
      <x:c r="J250" s="14" t="str">
        <x:v>조건부</x:v>
      </x:c>
      <x:c r="K250" s="14" t="str">
        <x:v>현재 모션센서 기능 없음</x:v>
      </x:c>
      <x:c r="L250" s="14" t="str">
        <x:v>흔들기·기울이기 미사용</x:v>
      </x:c>
      <x:c r="M250" s="14" t="str">
        <x:v>기능 존재 확인 후 수동검토</x:v>
      </x:c>
      <x:c r="N250" s="14" t="str">
        <x:v>개발·QA</x:v>
      </x:c>
      <x:c r="O250" s="14" t="str">
        <x:v>P1</x:v>
      </x:c>
      <x:c r="P250" s="15" t="str">
        <x:v>계획</x:v>
      </x:c>
      <x:c r="Q250" s="15" t="str">
        <x:v>미실행</x:v>
      </x:c>
      <x:c r="R250" s="15" t="str">
        <x:v>미실행</x:v>
      </x:c>
      <x:c r="S250" s="15" t="str">
        <x:v>수동</x:v>
      </x:c>
      <x:c r="T250" s="15" t="str"/>
      <x:c r="U250" s="15" t="str"/>
      <x:c r="V250" s="15" t="str"/>
      <x:c r="W250" s="15" t="str"/>
      <x:c r="X250" s="16" t="str"/>
      <x:c r="Y250" s="15" t="str"/>
      <x:c r="Z250" s="14" t="str">
        <x:f>IF(J250&lt;&gt;"적용","산정제외",IF(OR(Q250="실패",R250="실패"),"실패",IF(AND(P250="구현",T250&lt;&gt;"",U250&lt;&gt;"",V250&lt;&gt;"",W250&lt;&gt;"",ISNUMBER(X250),Y250="",OR(S250="수동",Q250="통과"),OR(S250="자동",R250="통과")),"통과","미검증")))</x:f>
        <x:v>산정제외</x:v>
      </x:c>
      <x:c r="AA250" s="14" t="str"/>
      <x:c r="AB250" s="14" t="str">
        <x:v>S01~S08 / 해당 기능의 모든 화면·상태</x:v>
      </x:c>
    </x:row>
    <x:row r="251" ht="24" customHeight="1">
      <x:c r="A251" s="13" t="str">
        <x:v>WCA-039</x:v>
      </x:c>
      <x:c r="B251" s="13" t="str">
        <x:v>WCAG 2.2 A·AA</x:v>
      </x:c>
      <x:c r="C251" s="13" t="str">
        <x:v>WCAG 2.2</x:v>
      </x:c>
      <x:c r="D251" s="13" t="str">
        <x:v>끌기 대체</x:v>
      </x:c>
      <x:c r="E251" s="13" t="str">
        <x:v>드래그 없는 대안</x:v>
      </x:c>
      <x:c r="F251" s="13" t="str">
        <x:v>SRC-005</x:v>
      </x:c>
      <x:c r="G251" s="13" t="str">
        <x:v>2.5.7</x:v>
      </x:c>
      <x:c r="H251" s="13" t="str">
        <x:v>AA</x:v>
      </x:c>
      <x:c r="I251" s="13" t="str">
        <x:v>MUST(안)</x:v>
      </x:c>
      <x:c r="J251" s="13" t="str">
        <x:v>적용</x:v>
      </x:c>
      <x:c r="K251" s="13" t="str">
        <x:v>현재 샘플의 회사 필수 기준으로 채택 제안</x:v>
      </x:c>
      <x:c r="L251" s="13" t="str">
        <x:v>첨부 파일선택 버튼·순서변경 위아래 버튼</x:v>
      </x:c>
      <x:c r="M251" s="13" t="str">
        <x:v>자동+수동</x:v>
      </x:c>
      <x:c r="N251" s="13" t="str">
        <x:v>개발·QA</x:v>
      </x:c>
      <x:c r="O251" s="13" t="str">
        <x:v>P1</x:v>
      </x:c>
      <x:c r="P251" s="15" t="str">
        <x:v>계획</x:v>
      </x:c>
      <x:c r="Q251" s="15" t="str">
        <x:v>미실행</x:v>
      </x:c>
      <x:c r="R251" s="15" t="str">
        <x:v>미실행</x:v>
      </x:c>
      <x:c r="S251" s="15" t="str">
        <x:v>자동+수동</x:v>
      </x:c>
      <x:c r="T251" s="15" t="str"/>
      <x:c r="U251" s="15" t="str"/>
      <x:c r="V251" s="15" t="str"/>
      <x:c r="W251" s="15" t="str"/>
      <x:c r="X251" s="16" t="str"/>
      <x:c r="Y251" s="15" t="str"/>
      <x:c r="Z251" s="13" t="str">
        <x:f>IF(J251&lt;&gt;"적용","산정제외",IF(OR(Q251="실패",R251="실패"),"실패",IF(AND(P251="구현",T251&lt;&gt;"",U251&lt;&gt;"",V251&lt;&gt;"",W251&lt;&gt;"",ISNUMBER(X251),Y251="",OR(S251="수동",Q251="통과"),OR(S251="자동",R251="통과")),"통과","미검증")))</x:f>
        <x:v>미검증</x:v>
      </x:c>
      <x:c r="AA251" s="13" t="str"/>
      <x:c r="AB251" s="13" t="str">
        <x:v>S01~S08 / 해당 기능의 모든 화면·상태</x:v>
      </x:c>
    </x:row>
    <x:row r="252" ht="37.5" customHeight="1">
      <x:c r="A252" s="14" t="str">
        <x:v>WCA-040</x:v>
      </x:c>
      <x:c r="B252" s="14" t="str">
        <x:v>WCAG 2.2 A·AA</x:v>
      </x:c>
      <x:c r="C252" s="14" t="str">
        <x:v>WCAG 2.2</x:v>
      </x:c>
      <x:c r="D252" s="14" t="str">
        <x:v>포인터 대상 크기</x:v>
      </x:c>
      <x:c r="E252" s="14" t="str">
        <x:v>24 CSS px 또는 예외</x:v>
      </x:c>
      <x:c r="F252" s="14" t="str">
        <x:v>SRC-005</x:v>
      </x:c>
      <x:c r="G252" s="14" t="str">
        <x:v>2.5.8</x:v>
      </x:c>
      <x:c r="H252" s="14" t="str">
        <x:v>AA</x:v>
      </x:c>
      <x:c r="I252" s="14" t="str">
        <x:v>MUST(안)</x:v>
      </x:c>
      <x:c r="J252" s="14" t="str">
        <x:v>적용</x:v>
      </x:c>
      <x:c r="K252" s="14" t="str">
        <x:v>현재 샘플의 회사 필수 기준으로 채택 제안</x:v>
      </x:c>
      <x:c r="L252" s="14" t="str">
        <x:v>각 타깃24×24 이상 또는 규정 예외 증빙, 주요 버튼44~48 회사목표</x:v>
      </x:c>
      <x:c r="M252" s="14" t="str">
        <x:v>자동+수동</x:v>
      </x:c>
      <x:c r="N252" s="14" t="str">
        <x:v>개발·QA</x:v>
      </x:c>
      <x:c r="O252" s="14" t="str">
        <x:v>P1</x:v>
      </x:c>
      <x:c r="P252" s="15" t="str">
        <x:v>계획</x:v>
      </x:c>
      <x:c r="Q252" s="15" t="str">
        <x:v>미실행</x:v>
      </x:c>
      <x:c r="R252" s="15" t="str">
        <x:v>미실행</x:v>
      </x:c>
      <x:c r="S252" s="15" t="str">
        <x:v>자동+수동</x:v>
      </x:c>
      <x:c r="T252" s="15" t="str"/>
      <x:c r="U252" s="15" t="str"/>
      <x:c r="V252" s="15" t="str"/>
      <x:c r="W252" s="15" t="str"/>
      <x:c r="X252" s="16" t="str"/>
      <x:c r="Y252" s="15" t="str"/>
      <x:c r="Z252" s="14" t="str">
        <x:f>IF(J252&lt;&gt;"적용","산정제외",IF(OR(Q252="실패",R252="실패"),"실패",IF(AND(P252="구현",T252&lt;&gt;"",U252&lt;&gt;"",V252&lt;&gt;"",W252&lt;&gt;"",ISNUMBER(X252),Y252="",OR(S252="수동",Q252="통과"),OR(S252="자동",R252="통과")),"통과","미검증")))</x:f>
        <x:v>미검증</x:v>
      </x:c>
      <x:c r="AA252" s="14" t="str"/>
      <x:c r="AB252" s="14" t="str">
        <x:v>S01~S08 / 해당 기능의 모든 화면·상태</x:v>
      </x:c>
    </x:row>
    <x:row r="253" ht="37.5" customHeight="1">
      <x:c r="A253" s="13" t="str">
        <x:v>WCA-041</x:v>
      </x:c>
      <x:c r="B253" s="13" t="str">
        <x:v>WCAG 2.2 A·AA</x:v>
      </x:c>
      <x:c r="C253" s="13" t="str">
        <x:v>WCAG 2.2</x:v>
      </x:c>
      <x:c r="D253" s="13" t="str">
        <x:v>페이지 언어</x:v>
      </x:c>
      <x:c r="E253" s="13" t="str">
        <x:v>주언어 명시</x:v>
      </x:c>
      <x:c r="F253" s="13" t="str">
        <x:v>SRC-005</x:v>
      </x:c>
      <x:c r="G253" s="13" t="str">
        <x:v>3.1.1</x:v>
      </x:c>
      <x:c r="H253" s="13" t="str">
        <x:v>A</x:v>
      </x:c>
      <x:c r="I253" s="13" t="str">
        <x:v>MUST(안)</x:v>
      </x:c>
      <x:c r="J253" s="13" t="str">
        <x:v>적용</x:v>
      </x:c>
      <x:c r="K253" s="13" t="str">
        <x:v>현재 샘플의 회사 필수 기준으로 채택 제안</x:v>
      </x:c>
      <x:c r="L253" s="13" t="str">
        <x:v>html lang="ko"</x:v>
      </x:c>
      <x:c r="M253" s="13" t="str">
        <x:v>문서 lang 속성 자동 검사 + 실제 주언어와 선언값의 일치 수동 확인</x:v>
      </x:c>
      <x:c r="N253" s="13" t="str">
        <x:v>개발·QA</x:v>
      </x:c>
      <x:c r="O253" s="13" t="str">
        <x:v>P1</x:v>
      </x:c>
      <x:c r="P253" s="15" t="str">
        <x:v>계획</x:v>
      </x:c>
      <x:c r="Q253" s="15" t="str">
        <x:v>미실행</x:v>
      </x:c>
      <x:c r="R253" s="15" t="str">
        <x:v>미실행</x:v>
      </x:c>
      <x:c r="S253" s="15" t="str">
        <x:v>자동+수동</x:v>
      </x:c>
      <x:c r="T253" s="15" t="str"/>
      <x:c r="U253" s="15" t="str"/>
      <x:c r="V253" s="15" t="str"/>
      <x:c r="W253" s="15" t="str"/>
      <x:c r="X253" s="16" t="str"/>
      <x:c r="Y253" s="15" t="str"/>
      <x:c r="Z253" s="13" t="str">
        <x:f>IF(J253&lt;&gt;"적용","산정제외",IF(OR(Q253="실패",R253="실패"),"실패",IF(AND(P253="구현",T253&lt;&gt;"",U253&lt;&gt;"",V253&lt;&gt;"",W253&lt;&gt;"",ISNUMBER(X253),Y253="",OR(S253="수동",Q253="통과"),OR(S253="자동",R253="통과")),"통과","미검증")))</x:f>
        <x:v>미검증</x:v>
      </x:c>
      <x:c r="AA253" s="13" t="str"/>
      <x:c r="AB253" s="13" t="str">
        <x:v>S01~S08 / 해당 기능의 모든 화면·상태</x:v>
      </x:c>
    </x:row>
    <x:row r="254" ht="24" customHeight="1">
      <x:c r="A254" s="14" t="str">
        <x:v>WCA-042</x:v>
      </x:c>
      <x:c r="B254" s="14" t="str">
        <x:v>WCAG 2.2 A·AA</x:v>
      </x:c>
      <x:c r="C254" s="14" t="str">
        <x:v>WCAG 2.2</x:v>
      </x:c>
      <x:c r="D254" s="14" t="str">
        <x:v>부분 언어</x:v>
      </x:c>
      <x:c r="E254" s="14" t="str">
        <x:v>언어변경 명시</x:v>
      </x:c>
      <x:c r="F254" s="14" t="str">
        <x:v>SRC-005</x:v>
      </x:c>
      <x:c r="G254" s="14" t="str">
        <x:v>3.1.2</x:v>
      </x:c>
      <x:c r="H254" s="14" t="str">
        <x:v>AA</x:v>
      </x:c>
      <x:c r="I254" s="14" t="str">
        <x:v>MUST(안)</x:v>
      </x:c>
      <x:c r="J254" s="14" t="str">
        <x:v>적용</x:v>
      </x:c>
      <x:c r="K254" s="14" t="str">
        <x:v>현재 샘플의 회사 필수 기준으로 채택 제안</x:v>
      </x:c>
      <x:c r="L254" s="14" t="str">
        <x:v>다른 언어의 문구에 lang, 고유명사 등 예외 구분</x:v>
      </x:c>
      <x:c r="M254" s="14" t="str">
        <x:v>수동</x:v>
      </x:c>
      <x:c r="N254" s="14" t="str">
        <x:v>개발·QA</x:v>
      </x:c>
      <x:c r="O254" s="14" t="str">
        <x:v>P1</x:v>
      </x:c>
      <x:c r="P254" s="15" t="str">
        <x:v>계획</x:v>
      </x:c>
      <x:c r="Q254" s="15" t="str">
        <x:v>미실행</x:v>
      </x:c>
      <x:c r="R254" s="15" t="str">
        <x:v>미실행</x:v>
      </x:c>
      <x:c r="S254" s="15" t="str">
        <x:v>수동</x:v>
      </x:c>
      <x:c r="T254" s="15" t="str"/>
      <x:c r="U254" s="15" t="str"/>
      <x:c r="V254" s="15" t="str"/>
      <x:c r="W254" s="15" t="str"/>
      <x:c r="X254" s="16" t="str"/>
      <x:c r="Y254" s="15" t="str"/>
      <x:c r="Z254" s="14" t="str">
        <x:f>IF(J254&lt;&gt;"적용","산정제외",IF(OR(Q254="실패",R254="실패"),"실패",IF(AND(P254="구현",T254&lt;&gt;"",U254&lt;&gt;"",V254&lt;&gt;"",W254&lt;&gt;"",ISNUMBER(X254),Y254="",OR(S254="수동",Q254="통과"),OR(S254="자동",R254="통과")),"통과","미검증")))</x:f>
        <x:v>미검증</x:v>
      </x:c>
      <x:c r="AA254" s="14" t="str"/>
      <x:c r="AB254" s="14" t="str">
        <x:v>S01~S08 / 해당 기능의 모든 화면·상태</x:v>
      </x:c>
    </x:row>
    <x:row r="255" ht="24" customHeight="1">
      <x:c r="A255" s="13" t="str">
        <x:v>WCA-043</x:v>
      </x:c>
      <x:c r="B255" s="13" t="str">
        <x:v>WCAG 2.2 A·AA</x:v>
      </x:c>
      <x:c r="C255" s="13" t="str">
        <x:v>WCAG 2.2</x:v>
      </x:c>
      <x:c r="D255" s="13" t="str">
        <x:v>초점 시 예측성</x:v>
      </x:c>
      <x:c r="E255" s="13" t="str">
        <x:v>초점 자동실행 방지</x:v>
      </x:c>
      <x:c r="F255" s="13" t="str">
        <x:v>SRC-005</x:v>
      </x:c>
      <x:c r="G255" s="13" t="str">
        <x:v>3.2.1</x:v>
      </x:c>
      <x:c r="H255" s="13" t="str">
        <x:v>A</x:v>
      </x:c>
      <x:c r="I255" s="13" t="str">
        <x:v>MUST(안)</x:v>
      </x:c>
      <x:c r="J255" s="13" t="str">
        <x:v>적용</x:v>
      </x:c>
      <x:c r="K255" s="13" t="str">
        <x:v>현재 샘플의 회사 필수 기준으로 채택 제안</x:v>
      </x:c>
      <x:c r="L255" s="13" t="str">
        <x:v>초점만으로 새 창·이동·제출 금지</x:v>
      </x:c>
      <x:c r="M255" s="13" t="str">
        <x:v>자동+수동</x:v>
      </x:c>
      <x:c r="N255" s="13" t="str">
        <x:v>개발·QA</x:v>
      </x:c>
      <x:c r="O255" s="13" t="str">
        <x:v>P1</x:v>
      </x:c>
      <x:c r="P255" s="15" t="str">
        <x:v>계획</x:v>
      </x:c>
      <x:c r="Q255" s="15" t="str">
        <x:v>미실행</x:v>
      </x:c>
      <x:c r="R255" s="15" t="str">
        <x:v>미실행</x:v>
      </x:c>
      <x:c r="S255" s="15" t="str">
        <x:v>자동+수동</x:v>
      </x:c>
      <x:c r="T255" s="15" t="str"/>
      <x:c r="U255" s="15" t="str"/>
      <x:c r="V255" s="15" t="str"/>
      <x:c r="W255" s="15" t="str"/>
      <x:c r="X255" s="16" t="str"/>
      <x:c r="Y255" s="15" t="str"/>
      <x:c r="Z255" s="13" t="str">
        <x:f>IF(J255&lt;&gt;"적용","산정제외",IF(OR(Q255="실패",R255="실패"),"실패",IF(AND(P255="구현",T255&lt;&gt;"",U255&lt;&gt;"",V255&lt;&gt;"",W255&lt;&gt;"",ISNUMBER(X255),Y255="",OR(S255="수동",Q255="통과"),OR(S255="자동",R255="통과")),"통과","미검증")))</x:f>
        <x:v>미검증</x:v>
      </x:c>
      <x:c r="AA255" s="13" t="str"/>
      <x:c r="AB255" s="13" t="str">
        <x:v>S01~S08 / 해당 기능의 모든 화면·상태</x:v>
      </x:c>
    </x:row>
    <x:row r="256" ht="24" customHeight="1">
      <x:c r="A256" s="14" t="str">
        <x:v>WCA-044</x:v>
      </x:c>
      <x:c r="B256" s="14" t="str">
        <x:v>WCAG 2.2 A·AA</x:v>
      </x:c>
      <x:c r="C256" s="14" t="str">
        <x:v>WCAG 2.2</x:v>
      </x:c>
      <x:c r="D256" s="14" t="str">
        <x:v>입력 시 예측성</x:v>
      </x:c>
      <x:c r="E256" s="14" t="str">
        <x:v>입력 맥락변화 예고</x:v>
      </x:c>
      <x:c r="F256" s="14" t="str">
        <x:v>SRC-005</x:v>
      </x:c>
      <x:c r="G256" s="14" t="str">
        <x:v>3.2.2</x:v>
      </x:c>
      <x:c r="H256" s="14" t="str">
        <x:v>A</x:v>
      </x:c>
      <x:c r="I256" s="14" t="str">
        <x:v>MUST(안)</x:v>
      </x:c>
      <x:c r="J256" s="14" t="str">
        <x:v>적용</x:v>
      </x:c>
      <x:c r="K256" s="14" t="str">
        <x:v>현재 샘플의 회사 필수 기준으로 채택 제안</x:v>
      </x:c>
      <x:c r="L256" s="14" t="str">
        <x:v>선택만으로 제출하지 않고 적용 버튼 사용</x:v>
      </x:c>
      <x:c r="M256" s="14" t="str">
        <x:v>자동+수동</x:v>
      </x:c>
      <x:c r="N256" s="14" t="str">
        <x:v>개발·QA</x:v>
      </x:c>
      <x:c r="O256" s="14" t="str">
        <x:v>P1</x:v>
      </x:c>
      <x:c r="P256" s="15" t="str">
        <x:v>계획</x:v>
      </x:c>
      <x:c r="Q256" s="15" t="str">
        <x:v>미실행</x:v>
      </x:c>
      <x:c r="R256" s="15" t="str">
        <x:v>미실행</x:v>
      </x:c>
      <x:c r="S256" s="15" t="str">
        <x:v>자동+수동</x:v>
      </x:c>
      <x:c r="T256" s="15" t="str"/>
      <x:c r="U256" s="15" t="str"/>
      <x:c r="V256" s="15" t="str"/>
      <x:c r="W256" s="15" t="str"/>
      <x:c r="X256" s="16" t="str"/>
      <x:c r="Y256" s="15" t="str"/>
      <x:c r="Z256" s="14" t="str">
        <x:f>IF(J256&lt;&gt;"적용","산정제외",IF(OR(Q256="실패",R256="실패"),"실패",IF(AND(P256="구현",T256&lt;&gt;"",U256&lt;&gt;"",V256&lt;&gt;"",W256&lt;&gt;"",ISNUMBER(X256),Y256="",OR(S256="수동",Q256="통과"),OR(S256="자동",R256="통과")),"통과","미검증")))</x:f>
        <x:v>미검증</x:v>
      </x:c>
      <x:c r="AA256" s="14" t="str"/>
      <x:c r="AB256" s="14" t="str">
        <x:v>S01~S08 / 해당 기능의 모든 화면·상태</x:v>
      </x:c>
    </x:row>
    <x:row r="257" ht="24" customHeight="1">
      <x:c r="A257" s="13" t="str">
        <x:v>WCA-045</x:v>
      </x:c>
      <x:c r="B257" s="13" t="str">
        <x:v>WCAG 2.2 A·AA</x:v>
      </x:c>
      <x:c r="C257" s="13" t="str">
        <x:v>WCAG 2.2</x:v>
      </x:c>
      <x:c r="D257" s="13" t="str">
        <x:v>메뉴 일관성</x:v>
      </x:c>
      <x:c r="E257" s="13" t="str">
        <x:v>내비 순서 유지</x:v>
      </x:c>
      <x:c r="F257" s="13" t="str">
        <x:v>SRC-005</x:v>
      </x:c>
      <x:c r="G257" s="13" t="str">
        <x:v>3.2.3</x:v>
      </x:c>
      <x:c r="H257" s="13" t="str">
        <x:v>AA</x:v>
      </x:c>
      <x:c r="I257" s="13" t="str">
        <x:v>MUST(안)</x:v>
      </x:c>
      <x:c r="J257" s="13" t="str">
        <x:v>적용</x:v>
      </x:c>
      <x:c r="K257" s="13" t="str">
        <x:v>현재 샘플의 회사 필수 기준으로 채택 제안</x:v>
      </x:c>
      <x:c r="L257" s="13" t="str">
        <x:v>페이지 공통 메뉴 순서 유지</x:v>
      </x:c>
      <x:c r="M257" s="13" t="str">
        <x:v>수동</x:v>
      </x:c>
      <x:c r="N257" s="13" t="str">
        <x:v>개발·QA</x:v>
      </x:c>
      <x:c r="O257" s="13" t="str">
        <x:v>P1</x:v>
      </x:c>
      <x:c r="P257" s="15" t="str">
        <x:v>계획</x:v>
      </x:c>
      <x:c r="Q257" s="15" t="str">
        <x:v>미실행</x:v>
      </x:c>
      <x:c r="R257" s="15" t="str">
        <x:v>미실행</x:v>
      </x:c>
      <x:c r="S257" s="15" t="str">
        <x:v>수동</x:v>
      </x:c>
      <x:c r="T257" s="15" t="str"/>
      <x:c r="U257" s="15" t="str"/>
      <x:c r="V257" s="15" t="str"/>
      <x:c r="W257" s="15" t="str"/>
      <x:c r="X257" s="16" t="str"/>
      <x:c r="Y257" s="15" t="str"/>
      <x:c r="Z257" s="13" t="str">
        <x:f>IF(J257&lt;&gt;"적용","산정제외",IF(OR(Q257="실패",R257="실패"),"실패",IF(AND(P257="구현",T257&lt;&gt;"",U257&lt;&gt;"",V257&lt;&gt;"",W257&lt;&gt;"",ISNUMBER(X257),Y257="",OR(S257="수동",Q257="통과"),OR(S257="자동",R257="통과")),"통과","미검증")))</x:f>
        <x:v>미검증</x:v>
      </x:c>
      <x:c r="AA257" s="13" t="str"/>
      <x:c r="AB257" s="13" t="str">
        <x:v>S01~S08 / 해당 기능의 모든 화면·상태</x:v>
      </x:c>
    </x:row>
    <x:row r="258" ht="24" customHeight="1">
      <x:c r="A258" s="14" t="str">
        <x:v>WCA-046</x:v>
      </x:c>
      <x:c r="B258" s="14" t="str">
        <x:v>WCAG 2.2 A·AA</x:v>
      </x:c>
      <x:c r="C258" s="14" t="str">
        <x:v>WCAG 2.2</x:v>
      </x:c>
      <x:c r="D258" s="14" t="str">
        <x:v>기능 이름 일관성</x:v>
      </x:c>
      <x:c r="E258" s="14" t="str">
        <x:v>동일기능 동일이름</x:v>
      </x:c>
      <x:c r="F258" s="14" t="str">
        <x:v>SRC-005</x:v>
      </x:c>
      <x:c r="G258" s="14" t="str">
        <x:v>3.2.4</x:v>
      </x:c>
      <x:c r="H258" s="14" t="str">
        <x:v>AA</x:v>
      </x:c>
      <x:c r="I258" s="14" t="str">
        <x:v>MUST(안)</x:v>
      </x:c>
      <x:c r="J258" s="14" t="str">
        <x:v>적용</x:v>
      </x:c>
      <x:c r="K258" s="14" t="str">
        <x:v>현재 샘플의 회사 필수 기준으로 채택 제안</x:v>
      </x:c>
      <x:c r="L258" s="14" t="str">
        <x:v>저장·취소·삭제 용어·아이콘 의미 통일</x:v>
      </x:c>
      <x:c r="M258" s="14" t="str">
        <x:v>수동</x:v>
      </x:c>
      <x:c r="N258" s="14" t="str">
        <x:v>개발·QA</x:v>
      </x:c>
      <x:c r="O258" s="14" t="str">
        <x:v>P1</x:v>
      </x:c>
      <x:c r="P258" s="15" t="str">
        <x:v>계획</x:v>
      </x:c>
      <x:c r="Q258" s="15" t="str">
        <x:v>미실행</x:v>
      </x:c>
      <x:c r="R258" s="15" t="str">
        <x:v>미실행</x:v>
      </x:c>
      <x:c r="S258" s="15" t="str">
        <x:v>수동</x:v>
      </x:c>
      <x:c r="T258" s="15" t="str"/>
      <x:c r="U258" s="15" t="str"/>
      <x:c r="V258" s="15" t="str"/>
      <x:c r="W258" s="15" t="str"/>
      <x:c r="X258" s="16" t="str"/>
      <x:c r="Y258" s="15" t="str"/>
      <x:c r="Z258" s="14" t="str">
        <x:f>IF(J258&lt;&gt;"적용","산정제외",IF(OR(Q258="실패",R258="실패"),"실패",IF(AND(P258="구현",T258&lt;&gt;"",U258&lt;&gt;"",V258&lt;&gt;"",W258&lt;&gt;"",ISNUMBER(X258),Y258="",OR(S258="수동",Q258="통과"),OR(S258="자동",R258="통과")),"통과","미검증")))</x:f>
        <x:v>미검증</x:v>
      </x:c>
      <x:c r="AA258" s="14" t="str"/>
      <x:c r="AB258" s="14" t="str">
        <x:v>S01~S08 / 해당 기능의 모든 화면·상태</x:v>
      </x:c>
    </x:row>
    <x:row r="259" ht="24" customHeight="1">
      <x:c r="A259" s="13" t="str">
        <x:v>WCA-047</x:v>
      </x:c>
      <x:c r="B259" s="13" t="str">
        <x:v>WCAG 2.2 A·AA</x:v>
      </x:c>
      <x:c r="C259" s="13" t="str">
        <x:v>WCAG 2.2</x:v>
      </x:c>
      <x:c r="D259" s="13" t="str">
        <x:v>도움 접근 일관성</x:v>
      </x:c>
      <x:c r="E259" s="13" t="str">
        <x:v>도움정보 동일순서</x:v>
      </x:c>
      <x:c r="F259" s="13" t="str">
        <x:v>SRC-005</x:v>
      </x:c>
      <x:c r="G259" s="13" t="str">
        <x:v>3.2.6</x:v>
      </x:c>
      <x:c r="H259" s="13" t="str">
        <x:v>A</x:v>
      </x:c>
      <x:c r="I259" s="13" t="str">
        <x:v>MUST(안)</x:v>
      </x:c>
      <x:c r="J259" s="13" t="str">
        <x:v>적용</x:v>
      </x:c>
      <x:c r="K259" s="13" t="str">
        <x:v>현재 샘플의 회사 필수 기준으로 채택 제안</x:v>
      </x:c>
      <x:c r="L259" s="13" t="str">
        <x:v>도움말 링크를 공통 위치·순서에 배치</x:v>
      </x:c>
      <x:c r="M259" s="13" t="str">
        <x:v>수동</x:v>
      </x:c>
      <x:c r="N259" s="13" t="str">
        <x:v>개발·QA</x:v>
      </x:c>
      <x:c r="O259" s="13" t="str">
        <x:v>P1</x:v>
      </x:c>
      <x:c r="P259" s="15" t="str">
        <x:v>계획</x:v>
      </x:c>
      <x:c r="Q259" s="15" t="str">
        <x:v>미실행</x:v>
      </x:c>
      <x:c r="R259" s="15" t="str">
        <x:v>미실행</x:v>
      </x:c>
      <x:c r="S259" s="15" t="str">
        <x:v>수동</x:v>
      </x:c>
      <x:c r="T259" s="15" t="str"/>
      <x:c r="U259" s="15" t="str"/>
      <x:c r="V259" s="15" t="str"/>
      <x:c r="W259" s="15" t="str"/>
      <x:c r="X259" s="16" t="str"/>
      <x:c r="Y259" s="15" t="str"/>
      <x:c r="Z259" s="13" t="str">
        <x:f>IF(J259&lt;&gt;"적용","산정제외",IF(OR(Q259="실패",R259="실패"),"실패",IF(AND(P259="구현",T259&lt;&gt;"",U259&lt;&gt;"",V259&lt;&gt;"",W259&lt;&gt;"",ISNUMBER(X259),Y259="",OR(S259="수동",Q259="통과"),OR(S259="자동",R259="통과")),"통과","미검증")))</x:f>
        <x:v>미검증</x:v>
      </x:c>
      <x:c r="AA259" s="13" t="str"/>
      <x:c r="AB259" s="13" t="str">
        <x:v>S01~S08 / 해당 기능의 모든 화면·상태</x:v>
      </x:c>
    </x:row>
    <x:row r="260" ht="24" customHeight="1">
      <x:c r="A260" s="14" t="str">
        <x:v>WCA-048</x:v>
      </x:c>
      <x:c r="B260" s="14" t="str">
        <x:v>WCAG 2.2 A·AA</x:v>
      </x:c>
      <x:c r="C260" s="14" t="str">
        <x:v>WCAG 2.2</x:v>
      </x:c>
      <x:c r="D260" s="14" t="str">
        <x:v>오류 식별</x:v>
      </x:c>
      <x:c r="E260" s="14" t="str">
        <x:v>오류항목·내용 설명</x:v>
      </x:c>
      <x:c r="F260" s="14" t="str">
        <x:v>SRC-005</x:v>
      </x:c>
      <x:c r="G260" s="14" t="str">
        <x:v>3.3.1</x:v>
      </x:c>
      <x:c r="H260" s="14" t="str">
        <x:v>A</x:v>
      </x:c>
      <x:c r="I260" s="14" t="str">
        <x:v>MUST(안)</x:v>
      </x:c>
      <x:c r="J260" s="14" t="str">
        <x:v>적용</x:v>
      </x:c>
      <x:c r="K260" s="14" t="str">
        <x:v>현재 샘플의 회사 필수 기준으로 채택 제안</x:v>
      </x:c>
      <x:c r="L260" s="14" t="str">
        <x:v>오류요약과 필드별 텍스트 제공</x:v>
      </x:c>
      <x:c r="M260" s="14" t="str">
        <x:v>자동+수동</x:v>
      </x:c>
      <x:c r="N260" s="14" t="str">
        <x:v>개발·QA</x:v>
      </x:c>
      <x:c r="O260" s="14" t="str">
        <x:v>P1</x:v>
      </x:c>
      <x:c r="P260" s="15" t="str">
        <x:v>계획</x:v>
      </x:c>
      <x:c r="Q260" s="15" t="str">
        <x:v>미실행</x:v>
      </x:c>
      <x:c r="R260" s="15" t="str">
        <x:v>미실행</x:v>
      </x:c>
      <x:c r="S260" s="15" t="str">
        <x:v>자동+수동</x:v>
      </x:c>
      <x:c r="T260" s="15" t="str"/>
      <x:c r="U260" s="15" t="str"/>
      <x:c r="V260" s="15" t="str"/>
      <x:c r="W260" s="15" t="str"/>
      <x:c r="X260" s="16" t="str"/>
      <x:c r="Y260" s="15" t="str"/>
      <x:c r="Z260" s="14" t="str">
        <x:f>IF(J260&lt;&gt;"적용","산정제외",IF(OR(Q260="실패",R260="실패"),"실패",IF(AND(P260="구현",T260&lt;&gt;"",U260&lt;&gt;"",V260&lt;&gt;"",W260&lt;&gt;"",ISNUMBER(X260),Y260="",OR(S260="수동",Q260="통과"),OR(S260="자동",R260="통과")),"통과","미검증")))</x:f>
        <x:v>미검증</x:v>
      </x:c>
      <x:c r="AA260" s="14" t="str"/>
      <x:c r="AB260" s="14" t="str">
        <x:v>S01~S08 / 해당 기능의 모든 화면·상태</x:v>
      </x:c>
    </x:row>
    <x:row r="261" ht="24" customHeight="1">
      <x:c r="A261" s="13" t="str">
        <x:v>WCA-049</x:v>
      </x:c>
      <x:c r="B261" s="13" t="str">
        <x:v>WCAG 2.2 A·AA</x:v>
      </x:c>
      <x:c r="C261" s="13" t="str">
        <x:v>WCAG 2.2</x:v>
      </x:c>
      <x:c r="D261" s="13" t="str">
        <x:v>입력 안내</x:v>
      </x:c>
      <x:c r="E261" s="13" t="str">
        <x:v>레이블·입력조건</x:v>
      </x:c>
      <x:c r="F261" s="13" t="str">
        <x:v>SRC-005</x:v>
      </x:c>
      <x:c r="G261" s="13" t="str">
        <x:v>3.3.2</x:v>
      </x:c>
      <x:c r="H261" s="13" t="str">
        <x:v>A</x:v>
      </x:c>
      <x:c r="I261" s="13" t="str">
        <x:v>MUST(안)</x:v>
      </x:c>
      <x:c r="J261" s="13" t="str">
        <x:v>적용</x:v>
      </x:c>
      <x:c r="K261" s="13" t="str">
        <x:v>현재 샘플의 회사 필수 기준으로 채택 제안</x:v>
      </x:c>
      <x:c r="L261" s="13" t="str">
        <x:v>label, 입력예, 필수, 파일 형식·용량 사전안내</x:v>
      </x:c>
      <x:c r="M261" s="13" t="str">
        <x:v>자동+수동</x:v>
      </x:c>
      <x:c r="N261" s="13" t="str">
        <x:v>개발·QA</x:v>
      </x:c>
      <x:c r="O261" s="13" t="str">
        <x:v>P1</x:v>
      </x:c>
      <x:c r="P261" s="15" t="str">
        <x:v>계획</x:v>
      </x:c>
      <x:c r="Q261" s="15" t="str">
        <x:v>미실행</x:v>
      </x:c>
      <x:c r="R261" s="15" t="str">
        <x:v>미실행</x:v>
      </x:c>
      <x:c r="S261" s="15" t="str">
        <x:v>자동+수동</x:v>
      </x:c>
      <x:c r="T261" s="15" t="str"/>
      <x:c r="U261" s="15" t="str"/>
      <x:c r="V261" s="15" t="str"/>
      <x:c r="W261" s="15" t="str"/>
      <x:c r="X261" s="16" t="str"/>
      <x:c r="Y261" s="15" t="str"/>
      <x:c r="Z261" s="13" t="str">
        <x:f>IF(J261&lt;&gt;"적용","산정제외",IF(OR(Q261="실패",R261="실패"),"실패",IF(AND(P261="구현",T261&lt;&gt;"",U261&lt;&gt;"",V261&lt;&gt;"",W261&lt;&gt;"",ISNUMBER(X261),Y261="",OR(S261="수동",Q261="통과"),OR(S261="자동",R261="통과")),"통과","미검증")))</x:f>
        <x:v>미검증</x:v>
      </x:c>
      <x:c r="AA261" s="13" t="str"/>
      <x:c r="AB261" s="13" t="str">
        <x:v>S01~S08 / 해당 기능의 모든 화면·상태</x:v>
      </x:c>
    </x:row>
    <x:row r="262" ht="24" customHeight="1">
      <x:c r="A262" s="14" t="str">
        <x:v>WCA-050</x:v>
      </x:c>
      <x:c r="B262" s="14" t="str">
        <x:v>WCAG 2.2 A·AA</x:v>
      </x:c>
      <x:c r="C262" s="14" t="str">
        <x:v>WCAG 2.2</x:v>
      </x:c>
      <x:c r="D262" s="14" t="str">
        <x:v>수정 제안</x:v>
      </x:c>
      <x:c r="E262" s="14" t="str">
        <x:v>알려진 수정방법 안내</x:v>
      </x:c>
      <x:c r="F262" s="14" t="str">
        <x:v>SRC-005</x:v>
      </x:c>
      <x:c r="G262" s="14" t="str">
        <x:v>3.3.3</x:v>
      </x:c>
      <x:c r="H262" s="14" t="str">
        <x:v>AA</x:v>
      </x:c>
      <x:c r="I262" s="14" t="str">
        <x:v>MUST(안)</x:v>
      </x:c>
      <x:c r="J262" s="14" t="str">
        <x:v>적용</x:v>
      </x:c>
      <x:c r="K262" s="14" t="str">
        <x:v>현재 샘플의 회사 필수 기준으로 채택 제안</x:v>
      </x:c>
      <x:c r="L262" s="14" t="str">
        <x:v>날짜 형식과 허용 확장자 등 구체적 조치 안내</x:v>
      </x:c>
      <x:c r="M262" s="14" t="str">
        <x:v>수동</x:v>
      </x:c>
      <x:c r="N262" s="14" t="str">
        <x:v>개발·QA</x:v>
      </x:c>
      <x:c r="O262" s="14" t="str">
        <x:v>P1</x:v>
      </x:c>
      <x:c r="P262" s="15" t="str">
        <x:v>계획</x:v>
      </x:c>
      <x:c r="Q262" s="15" t="str">
        <x:v>미실행</x:v>
      </x:c>
      <x:c r="R262" s="15" t="str">
        <x:v>미실행</x:v>
      </x:c>
      <x:c r="S262" s="15" t="str">
        <x:v>수동</x:v>
      </x:c>
      <x:c r="T262" s="15" t="str"/>
      <x:c r="U262" s="15" t="str"/>
      <x:c r="V262" s="15" t="str"/>
      <x:c r="W262" s="15" t="str"/>
      <x:c r="X262" s="16" t="str"/>
      <x:c r="Y262" s="15" t="str"/>
      <x:c r="Z262" s="14" t="str">
        <x:f>IF(J262&lt;&gt;"적용","산정제외",IF(OR(Q262="실패",R262="실패"),"실패",IF(AND(P262="구현",T262&lt;&gt;"",U262&lt;&gt;"",V262&lt;&gt;"",W262&lt;&gt;"",ISNUMBER(X262),Y262="",OR(S262="수동",Q262="통과"),OR(S262="자동",R262="통과")),"통과","미검증")))</x:f>
        <x:v>미검증</x:v>
      </x:c>
      <x:c r="AA262" s="14" t="str"/>
      <x:c r="AB262" s="14" t="str">
        <x:v>S01~S08 / 해당 기능의 모든 화면·상태</x:v>
      </x:c>
    </x:row>
    <x:row r="263" ht="24" customHeight="1">
      <x:c r="A263" s="13" t="str">
        <x:v>WCA-051</x:v>
      </x:c>
      <x:c r="B263" s="13" t="str">
        <x:v>WCAG 2.2 A·AA</x:v>
      </x:c>
      <x:c r="C263" s="13" t="str">
        <x:v>WCAG 2.2</x:v>
      </x:c>
      <x:c r="D263" s="13" t="str">
        <x:v>중요 변경 실수방지</x:v>
      </x:c>
      <x:c r="E263" s="13" t="str">
        <x:v>검토·정정·복구 수단</x:v>
      </x:c>
      <x:c r="F263" s="13" t="str">
        <x:v>SRC-005</x:v>
      </x:c>
      <x:c r="G263" s="13" t="str">
        <x:v>3.3.4</x:v>
      </x:c>
      <x:c r="H263" s="13" t="str">
        <x:v>AA</x:v>
      </x:c>
      <x:c r="I263" s="13" t="str">
        <x:v>MUST(안)</x:v>
      </x:c>
      <x:c r="J263" s="13" t="str">
        <x:v>적용</x:v>
      </x:c>
      <x:c r="K263" s="13" t="str">
        <x:v>현재 샘플의 회사 필수 기준으로 채택 제안</x:v>
      </x:c>
      <x:c r="L263" s="13" t="str">
        <x:v>사용자 저장정보 삭제·수정 전에 검토/확인/복구</x:v>
      </x:c>
      <x:c r="M263" s="13" t="str">
        <x:v>자동+수동</x:v>
      </x:c>
      <x:c r="N263" s="13" t="str">
        <x:v>개발·QA</x:v>
      </x:c>
      <x:c r="O263" s="13" t="str">
        <x:v>P1</x:v>
      </x:c>
      <x:c r="P263" s="15" t="str">
        <x:v>계획</x:v>
      </x:c>
      <x:c r="Q263" s="15" t="str">
        <x:v>미실행</x:v>
      </x:c>
      <x:c r="R263" s="15" t="str">
        <x:v>미실행</x:v>
      </x:c>
      <x:c r="S263" s="15" t="str">
        <x:v>자동+수동</x:v>
      </x:c>
      <x:c r="T263" s="15" t="str"/>
      <x:c r="U263" s="15" t="str"/>
      <x:c r="V263" s="15" t="str"/>
      <x:c r="W263" s="15" t="str"/>
      <x:c r="X263" s="16" t="str"/>
      <x:c r="Y263" s="15" t="str"/>
      <x:c r="Z263" s="13" t="str">
        <x:f>IF(J263&lt;&gt;"적용","산정제외",IF(OR(Q263="실패",R263="실패"),"실패",IF(AND(P263="구현",T263&lt;&gt;"",U263&lt;&gt;"",V263&lt;&gt;"",W263&lt;&gt;"",ISNUMBER(X263),Y263="",OR(S263="수동",Q263="통과"),OR(S263="자동",R263="통과")),"통과","미검증")))</x:f>
        <x:v>미검증</x:v>
      </x:c>
      <x:c r="AA263" s="13" t="str"/>
      <x:c r="AB263" s="13" t="str">
        <x:v>S01~S08 / 해당 기능의 모든 화면·상태</x:v>
      </x:c>
    </x:row>
    <x:row r="264" ht="24" customHeight="1">
      <x:c r="A264" s="14" t="str">
        <x:v>WCA-052</x:v>
      </x:c>
      <x:c r="B264" s="14" t="str">
        <x:v>WCAG 2.2 A·AA</x:v>
      </x:c>
      <x:c r="C264" s="14" t="str">
        <x:v>WCAG 2.2</x:v>
      </x:c>
      <x:c r="D264" s="14" t="str">
        <x:v>중복 입력 완화</x:v>
      </x:c>
      <x:c r="E264" s="14" t="str">
        <x:v>같은절차 재입력 완화</x:v>
      </x:c>
      <x:c r="F264" s="14" t="str">
        <x:v>SRC-005</x:v>
      </x:c>
      <x:c r="G264" s="14" t="str">
        <x:v>3.3.7</x:v>
      </x:c>
      <x:c r="H264" s="14" t="str">
        <x:v>A</x:v>
      </x:c>
      <x:c r="I264" s="14" t="str">
        <x:v>MUST(안)</x:v>
      </x:c>
      <x:c r="J264" s="14" t="str">
        <x:v>적용</x:v>
      </x:c>
      <x:c r="K264" s="14" t="str">
        <x:v>현재 샘플의 회사 필수 기준으로 채택 제안</x:v>
      </x:c>
      <x:c r="L264" s="14" t="str">
        <x:v>단계 이동 후 정보 유지·이미 제공한 항목 재사용</x:v>
      </x:c>
      <x:c r="M264" s="14" t="str">
        <x:v>자동+수동</x:v>
      </x:c>
      <x:c r="N264" s="14" t="str">
        <x:v>개발·QA</x:v>
      </x:c>
      <x:c r="O264" s="14" t="str">
        <x:v>P1</x:v>
      </x:c>
      <x:c r="P264" s="15" t="str">
        <x:v>계획</x:v>
      </x:c>
      <x:c r="Q264" s="15" t="str">
        <x:v>미실행</x:v>
      </x:c>
      <x:c r="R264" s="15" t="str">
        <x:v>미실행</x:v>
      </x:c>
      <x:c r="S264" s="15" t="str">
        <x:v>자동+수동</x:v>
      </x:c>
      <x:c r="T264" s="15" t="str"/>
      <x:c r="U264" s="15" t="str"/>
      <x:c r="V264" s="15" t="str"/>
      <x:c r="W264" s="15" t="str"/>
      <x:c r="X264" s="16" t="str"/>
      <x:c r="Y264" s="15" t="str"/>
      <x:c r="Z264" s="14" t="str">
        <x:f>IF(J264&lt;&gt;"적용","산정제외",IF(OR(Q264="실패",R264="실패"),"실패",IF(AND(P264="구현",T264&lt;&gt;"",U264&lt;&gt;"",V264&lt;&gt;"",W264&lt;&gt;"",ISNUMBER(X264),Y264="",OR(S264="수동",Q264="통과"),OR(S264="자동",R264="통과")),"통과","미검증")))</x:f>
        <x:v>미검증</x:v>
      </x:c>
      <x:c r="AA264" s="14" t="str"/>
      <x:c r="AB264" s="14" t="str">
        <x:v>S01~S08 / 해당 기능의 모든 화면·상태</x:v>
      </x:c>
    </x:row>
    <x:row r="265" ht="24" customHeight="1">
      <x:c r="A265" s="13" t="str">
        <x:v>WCA-053</x:v>
      </x:c>
      <x:c r="B265" s="13" t="str">
        <x:v>WCAG 2.2 A·AA</x:v>
      </x:c>
      <x:c r="C265" s="13" t="str">
        <x:v>WCAG 2.2</x:v>
      </x:c>
      <x:c r="D265" s="13" t="str">
        <x:v>접근 가능한 로그인</x:v>
      </x:c>
      <x:c r="E265" s="13" t="str">
        <x:v>인지검사 부담 완화</x:v>
      </x:c>
      <x:c r="F265" s="13" t="str">
        <x:v>SRC-005</x:v>
      </x:c>
      <x:c r="G265" s="13" t="str">
        <x:v>3.3.8</x:v>
      </x:c>
      <x:c r="H265" s="13" t="str">
        <x:v>AA</x:v>
      </x:c>
      <x:c r="I265" s="13" t="str">
        <x:v>MUST(안)</x:v>
      </x:c>
      <x:c r="J265" s="13" t="str">
        <x:v>적용</x:v>
      </x:c>
      <x:c r="K265" s="13" t="str">
        <x:v>현재 샘플의 회사 필수 기준으로 채택 제안</x:v>
      </x:c>
      <x:c r="L265" s="13" t="str">
        <x:v>암호관리자·붙여넣기·자동완성 허용, 강제퍼즐 배제</x:v>
      </x:c>
      <x:c r="M265" s="13" t="str">
        <x:v>자동+수동</x:v>
      </x:c>
      <x:c r="N265" s="13" t="str">
        <x:v>개발·QA</x:v>
      </x:c>
      <x:c r="O265" s="13" t="str">
        <x:v>P1</x:v>
      </x:c>
      <x:c r="P265" s="15" t="str">
        <x:v>계획</x:v>
      </x:c>
      <x:c r="Q265" s="15" t="str">
        <x:v>미실행</x:v>
      </x:c>
      <x:c r="R265" s="15" t="str">
        <x:v>미실행</x:v>
      </x:c>
      <x:c r="S265" s="15" t="str">
        <x:v>자동+수동</x:v>
      </x:c>
      <x:c r="T265" s="15" t="str"/>
      <x:c r="U265" s="15" t="str"/>
      <x:c r="V265" s="15" t="str"/>
      <x:c r="W265" s="15" t="str"/>
      <x:c r="X265" s="16" t="str"/>
      <x:c r="Y265" s="15" t="str"/>
      <x:c r="Z265" s="13" t="str">
        <x:f>IF(J265&lt;&gt;"적용","산정제외",IF(OR(Q265="실패",R265="실패"),"실패",IF(AND(P265="구현",T265&lt;&gt;"",U265&lt;&gt;"",V265&lt;&gt;"",W265&lt;&gt;"",ISNUMBER(X265),Y265="",OR(S265="수동",Q265="통과"),OR(S265="자동",R265="통과")),"통과","미검증")))</x:f>
        <x:v>미검증</x:v>
      </x:c>
      <x:c r="AA265" s="13" t="str"/>
      <x:c r="AB265" s="13" t="str">
        <x:v>S01~S08 / 해당 기능의 모든 화면·상태</x:v>
      </x:c>
    </x:row>
    <x:row r="266" ht="24" customHeight="1">
      <x:c r="A266" s="14" t="str">
        <x:v>WCA-054</x:v>
      </x:c>
      <x:c r="B266" s="14" t="str">
        <x:v>WCAG 2.2 A·AA</x:v>
      </x:c>
      <x:c r="C266" s="14" t="str">
        <x:v>WCAG 2.2</x:v>
      </x:c>
      <x:c r="D266" s="14" t="str">
        <x:v>역할·이름·값</x:v>
      </x:c>
      <x:c r="E266" s="14" t="str">
        <x:v>보조기술 의미 전달</x:v>
      </x:c>
      <x:c r="F266" s="14" t="str">
        <x:v>SRC-005</x:v>
      </x:c>
      <x:c r="G266" s="14" t="str">
        <x:v>4.1.2</x:v>
      </x:c>
      <x:c r="H266" s="14" t="str">
        <x:v>A</x:v>
      </x:c>
      <x:c r="I266" s="14" t="str">
        <x:v>MUST(안)</x:v>
      </x:c>
      <x:c r="J266" s="14" t="str">
        <x:v>적용</x:v>
      </x:c>
      <x:c r="K266" s="14" t="str">
        <x:v>현재 샘플의 회사 필수 기준으로 채택 제안</x:v>
      </x:c>
      <x:c r="L266" s="14" t="str">
        <x:v>네이티브 HTML, ARIA 상태 동기화</x:v>
      </x:c>
      <x:c r="M266" s="14" t="str">
        <x:v>자동+수동</x:v>
      </x:c>
      <x:c r="N266" s="14" t="str">
        <x:v>개발·QA</x:v>
      </x:c>
      <x:c r="O266" s="14" t="str">
        <x:v>P1</x:v>
      </x:c>
      <x:c r="P266" s="15" t="str">
        <x:v>계획</x:v>
      </x:c>
      <x:c r="Q266" s="15" t="str">
        <x:v>미실행</x:v>
      </x:c>
      <x:c r="R266" s="15" t="str">
        <x:v>미실행</x:v>
      </x:c>
      <x:c r="S266" s="15" t="str">
        <x:v>자동+수동</x:v>
      </x:c>
      <x:c r="T266" s="15" t="str"/>
      <x:c r="U266" s="15" t="str"/>
      <x:c r="V266" s="15" t="str"/>
      <x:c r="W266" s="15" t="str"/>
      <x:c r="X266" s="16" t="str"/>
      <x:c r="Y266" s="15" t="str"/>
      <x:c r="Z266" s="14" t="str">
        <x:f>IF(J266&lt;&gt;"적용","산정제외",IF(OR(Q266="실패",R266="실패"),"실패",IF(AND(P266="구현",T266&lt;&gt;"",U266&lt;&gt;"",V266&lt;&gt;"",W266&lt;&gt;"",ISNUMBER(X266),Y266="",OR(S266="수동",Q266="통과"),OR(S266="자동",R266="통과")),"통과","미검증")))</x:f>
        <x:v>미검증</x:v>
      </x:c>
      <x:c r="AA266" s="14" t="str"/>
      <x:c r="AB266" s="14" t="str">
        <x:v>S01~S08 / 해당 기능의 모든 화면·상태</x:v>
      </x:c>
    </x:row>
    <x:row r="267" ht="24" customHeight="1">
      <x:c r="A267" s="13" t="str">
        <x:v>WCA-055</x:v>
      </x:c>
      <x:c r="B267" s="13" t="str">
        <x:v>WCAG 2.2 A·AA</x:v>
      </x:c>
      <x:c r="C267" s="13" t="str">
        <x:v>WCAG 2.2</x:v>
      </x:c>
      <x:c r="D267" s="13" t="str">
        <x:v>상태 알림</x:v>
      </x:c>
      <x:c r="E267" s="13" t="str">
        <x:v>초점이동 없는 상태전달</x:v>
      </x:c>
      <x:c r="F267" s="13" t="str">
        <x:v>SRC-005</x:v>
      </x:c>
      <x:c r="G267" s="13" t="str">
        <x:v>4.1.3</x:v>
      </x:c>
      <x:c r="H267" s="13" t="str">
        <x:v>AA</x:v>
      </x:c>
      <x:c r="I267" s="13" t="str">
        <x:v>MUST(안)</x:v>
      </x:c>
      <x:c r="J267" s="13" t="str">
        <x:v>적용</x:v>
      </x:c>
      <x:c r="K267" s="13" t="str">
        <x:v>현재 샘플의 회사 필수 기준으로 채택 제안</x:v>
      </x:c>
      <x:c r="L267" s="13" t="str">
        <x:v>저장완료·검색건수 role=status, 오류 role=alert 절제</x:v>
      </x:c>
      <x:c r="M267" s="13" t="str">
        <x:v>자동+수동</x:v>
      </x:c>
      <x:c r="N267" s="13" t="str">
        <x:v>개발·QA</x:v>
      </x:c>
      <x:c r="O267" s="13" t="str">
        <x:v>P1</x:v>
      </x:c>
      <x:c r="P267" s="15" t="str">
        <x:v>계획</x:v>
      </x:c>
      <x:c r="Q267" s="15" t="str">
        <x:v>미실행</x:v>
      </x:c>
      <x:c r="R267" s="15" t="str">
        <x:v>미실행</x:v>
      </x:c>
      <x:c r="S267" s="15" t="str">
        <x:v>자동+수동</x:v>
      </x:c>
      <x:c r="T267" s="15" t="str"/>
      <x:c r="U267" s="15" t="str"/>
      <x:c r="V267" s="15" t="str"/>
      <x:c r="W267" s="15" t="str"/>
      <x:c r="X267" s="16" t="str"/>
      <x:c r="Y267" s="15" t="str"/>
      <x:c r="Z267" s="13" t="str">
        <x:f>IF(J267&lt;&gt;"적용","산정제외",IF(OR(Q267="실패",R267="실패"),"실패",IF(AND(P267="구현",T267&lt;&gt;"",U267&lt;&gt;"",V267&lt;&gt;"",W267&lt;&gt;"",ISNUMBER(X267),Y267="",OR(S267="수동",Q267="통과"),OR(S267="자동",R267="통과")),"통과","미검증")))</x:f>
        <x:v>미검증</x:v>
      </x:c>
      <x:c r="AA267" s="13" t="str"/>
      <x:c r="AB267" s="13" t="str">
        <x:v>S01~S08 / 해당 기능의 모든 화면·상태</x:v>
      </x:c>
    </x:row>
    <x:row r="268" ht="37.5" customHeight="1">
      <x:c r="A268" s="14" t="str">
        <x:v>INC-001</x:v>
      </x:c>
      <x:c r="B268" s="14" t="str">
        <x:v>포용적 UX</x:v>
      </x:c>
      <x:c r="C268" s="14" t="str">
        <x:v>포용적 UX / 회사 강화</x:v>
      </x:c>
      <x:c r="D268" s="14" t="str">
        <x:v>실제 사용자 참여</x:v>
      </x:c>
      <x:c r="E268" s="14" t="str">
        <x:v>장애유형별 대표 사용자에게 전체 과업 검증</x:v>
      </x:c>
      <x:c r="F268" s="14" t="str">
        <x:v>SRC-019</x:v>
      </x:c>
      <x:c r="G268" s="14" t="str">
        <x:v>보완 가이드 또는 회사 목표</x:v>
      </x:c>
      <x:c r="H268" s="14" t="str">
        <x:v>회사 목표</x:v>
      </x:c>
      <x:c r="I268" s="14" t="str">
        <x:v>MUST(안)</x:v>
      </x:c>
      <x:c r="J268" s="14" t="str">
        <x:v>적용</x:v>
      </x:c>
      <x:c r="K268" s="14" t="str">
        <x:v>현재 샘플의 회사 필수 기준으로 채택 제안</x:v>
      </x:c>
      <x:c r="L268" s="14" t="str">
        <x:v>사용자평가 계획·동의·결과·개선 내역을 관리</x:v>
      </x:c>
      <x:c r="M268" s="14" t="str">
        <x:v>사용자평가</x:v>
      </x:c>
      <x:c r="N268" s="14" t="str">
        <x:v>UX·개발·QA</x:v>
      </x:c>
      <x:c r="O268" s="14" t="str">
        <x:v>P1</x:v>
      </x:c>
      <x:c r="P268" s="15" t="str">
        <x:v>계획</x:v>
      </x:c>
      <x:c r="Q268" s="15" t="str">
        <x:v>미실행</x:v>
      </x:c>
      <x:c r="R268" s="15" t="str">
        <x:v>미실행</x:v>
      </x:c>
      <x:c r="S268" s="15" t="str">
        <x:v>수동</x:v>
      </x:c>
      <x:c r="T268" s="15" t="str"/>
      <x:c r="U268" s="15" t="str"/>
      <x:c r="V268" s="15" t="str"/>
      <x:c r="W268" s="15" t="str"/>
      <x:c r="X268" s="16" t="str"/>
      <x:c r="Y268" s="15" t="str"/>
      <x:c r="Z268" s="14" t="str">
        <x:f>IF(J268&lt;&gt;"적용","산정제외",IF(OR(Q268="실패",R268="실패"),"실패",IF(AND(P268="구현",T268&lt;&gt;"",U268&lt;&gt;"",V268&lt;&gt;"",W268&lt;&gt;"",ISNUMBER(X268),Y268="",OR(S268="수동",Q268="통과"),OR(S268="자동",R268="통과")),"통과","미검증")))</x:f>
        <x:v>미검증</x:v>
      </x:c>
      <x:c r="AA268" s="14" t="str"/>
      <x:c r="AB268" s="14" t="str">
        <x:v>S01~S08 / 해당 기능의 모든 화면·상태
실제 장애 당사자 참여 전에는 미실행. 자동화로 대체 불가.</x:v>
      </x:c>
    </x:row>
    <x:row r="269" ht="37.5" customHeight="1">
      <x:c r="A269" s="13" t="str">
        <x:v>INC-002</x:v>
      </x:c>
      <x:c r="B269" s="13" t="str">
        <x:v>포용적 UX</x:v>
      </x:c>
      <x:c r="C269" s="13" t="str">
        <x:v>포용적 UX / 회사 강화</x:v>
      </x:c>
      <x:c r="D269" s="13" t="str">
        <x:v>개인 설정 존중</x:v>
      </x:c>
      <x:c r="E269" s="13" t="str">
        <x:v>OS 고대비·모션감소·확대 설정을 방해하지 않음</x:v>
      </x:c>
      <x:c r="F269" s="13" t="str">
        <x:v>SRC-020</x:v>
      </x:c>
      <x:c r="G269" s="13" t="str">
        <x:v>보완 가이드 또는 회사 목표</x:v>
      </x:c>
      <x:c r="H269" s="13" t="str">
        <x:v>회사 목표</x:v>
      </x:c>
      <x:c r="I269" s="13" t="str">
        <x:v>MUST(안)</x:v>
      </x:c>
      <x:c r="J269" s="13" t="str">
        <x:v>적용</x:v>
      </x:c>
      <x:c r="K269" s="13" t="str">
        <x:v>현재 샘플의 회사 필수 기준으로 채택 제안</x:v>
      </x:c>
      <x:c r="L269" s="13" t="str">
        <x:v>forced-colors, prefers-reduced-motion, 브라우저 확대를 공통컴포넌트에 반영</x:v>
      </x:c>
      <x:c r="M269" s="13" t="str">
        <x:v>수동+자동</x:v>
      </x:c>
      <x:c r="N269" s="13" t="str">
        <x:v>UX·개발·QA</x:v>
      </x:c>
      <x:c r="O269" s="13" t="str">
        <x:v>P1</x:v>
      </x:c>
      <x:c r="P269" s="15" t="str">
        <x:v>계획</x:v>
      </x:c>
      <x:c r="Q269" s="15" t="str">
        <x:v>미실행</x:v>
      </x:c>
      <x:c r="R269" s="15" t="str">
        <x:v>미실행</x:v>
      </x:c>
      <x:c r="S269" s="15" t="str">
        <x:v>자동+수동</x:v>
      </x:c>
      <x:c r="T269" s="15" t="str"/>
      <x:c r="U269" s="15" t="str"/>
      <x:c r="V269" s="15" t="str"/>
      <x:c r="W269" s="15" t="str"/>
      <x:c r="X269" s="16" t="str"/>
      <x:c r="Y269" s="15" t="str"/>
      <x:c r="Z269" s="13" t="str">
        <x:f>IF(J269&lt;&gt;"적용","산정제외",IF(OR(Q269="실패",R269="실패"),"실패",IF(AND(P269="구현",T269&lt;&gt;"",U269&lt;&gt;"",V269&lt;&gt;"",W269&lt;&gt;"",ISNUMBER(X269),Y269="",OR(S269="수동",Q269="통과"),OR(S269="자동",R269="통과")),"통과","미검증")))</x:f>
        <x:v>미검증</x:v>
      </x:c>
      <x:c r="AA269" s="13" t="str"/>
      <x:c r="AB269" s="13" t="str">
        <x:v>S01~S08 / 해당 기능의 모든 화면·상태</x:v>
      </x:c>
    </x:row>
    <x:row r="270" ht="37.5" customHeight="1">
      <x:c r="A270" s="14" t="str">
        <x:v>INC-003</x:v>
      </x:c>
      <x:c r="B270" s="14" t="str">
        <x:v>포용적 UX</x:v>
      </x:c>
      <x:c r="C270" s="14" t="str">
        <x:v>포용적 UX / 회사 강화</x:v>
      </x:c>
      <x:c r="D270" s="14" t="str">
        <x:v>쉬운 한국어</x:v>
      </x:c>
      <x:c r="E270" s="14" t="str">
        <x:v>짧은 문장·구체적 동사·용어 설명</x:v>
      </x:c>
      <x:c r="F270" s="14" t="str">
        <x:v>SRC-021</x:v>
      </x:c>
      <x:c r="G270" s="14" t="str">
        <x:v>보완 가이드 또는 회사 목표</x:v>
      </x:c>
      <x:c r="H270" s="14" t="str">
        <x:v>회사 목표</x:v>
      </x:c>
      <x:c r="I270" s="14" t="str">
        <x:v>MUST(안)</x:v>
      </x:c>
      <x:c r="J270" s="14" t="str">
        <x:v>적용</x:v>
      </x:c>
      <x:c r="K270" s="14" t="str">
        <x:v>현재 샘플의 회사 필수 기준으로 채택 제안</x:v>
      </x:c>
      <x:c r="L270" s="14" t="str">
        <x:v>업무요청 안내·오류문구를 실제 과업 기준으로 검토</x:v>
      </x:c>
      <x:c r="M270" s="14" t="str">
        <x:v>문구 검토</x:v>
      </x:c>
      <x:c r="N270" s="14" t="str">
        <x:v>UX·개발·QA</x:v>
      </x:c>
      <x:c r="O270" s="14" t="str">
        <x:v>P1</x:v>
      </x:c>
      <x:c r="P270" s="15" t="str">
        <x:v>계획</x:v>
      </x:c>
      <x:c r="Q270" s="15" t="str">
        <x:v>미실행</x:v>
      </x:c>
      <x:c r="R270" s="15" t="str">
        <x:v>미실행</x:v>
      </x:c>
      <x:c r="S270" s="15" t="str">
        <x:v>수동</x:v>
      </x:c>
      <x:c r="T270" s="15" t="str"/>
      <x:c r="U270" s="15" t="str"/>
      <x:c r="V270" s="15" t="str"/>
      <x:c r="W270" s="15" t="str"/>
      <x:c r="X270" s="16" t="str"/>
      <x:c r="Y270" s="15" t="str"/>
      <x:c r="Z270" s="14" t="str">
        <x:f>IF(J270&lt;&gt;"적용","산정제외",IF(OR(Q270="실패",R270="실패"),"실패",IF(AND(P270="구현",T270&lt;&gt;"",U270&lt;&gt;"",V270&lt;&gt;"",W270&lt;&gt;"",ISNUMBER(X270),Y270="",OR(S270="수동",Q270="통과"),OR(S270="자동",R270="통과")),"통과","미검증")))</x:f>
        <x:v>미검증</x:v>
      </x:c>
      <x:c r="AA270" s="14" t="str"/>
      <x:c r="AB270" s="14" t="str">
        <x:v>S01~S08 / 해당 기능의 모든 화면·상태</x:v>
      </x:c>
    </x:row>
    <x:row r="271" ht="37.5" customHeight="1">
      <x:c r="A271" s="13" t="str">
        <x:v>INC-004</x:v>
      </x:c>
      <x:c r="B271" s="13" t="str">
        <x:v>포용적 UX</x:v>
      </x:c>
      <x:c r="C271" s="13" t="str">
        <x:v>포용적 UX / 회사 강화</x:v>
      </x:c>
      <x:c r="D271" s="13" t="str">
        <x:v>회사 터치 목표</x:v>
      </x:c>
      <x:c r="E271" s="13" t="str">
        <x:v>주요 제어44×44 이상, 모바일48×48 권장</x:v>
      </x:c>
      <x:c r="F271" s="13" t="str">
        <x:v>SRC-022</x:v>
      </x:c>
      <x:c r="G271" s="13" t="str">
        <x:v>보완 가이드 또는 회사 목표</x:v>
      </x:c>
      <x:c r="H271" s="13" t="str">
        <x:v>회사 목표</x:v>
      </x:c>
      <x:c r="I271" s="13" t="str">
        <x:v>MUST(안)</x:v>
      </x:c>
      <x:c r="J271" s="13" t="str">
        <x:v>적용</x:v>
      </x:c>
      <x:c r="K271" s="13" t="str">
        <x:v>현재 샘플의 회사 필수 기준으로 채택 제안</x:v>
      </x:c>
      <x:c r="L271" s="13" t="str">
        <x:v>정형 버튼·아이콘 버튼의 hit area 토큰화, 좁은 표는 예외 관리</x:v>
      </x:c>
      <x:c r="M271" s="13" t="str">
        <x:v>조작 대상 크기 자동 측정 + 실제 기기 조작성 수동 확인</x:v>
      </x:c>
      <x:c r="N271" s="13" t="str">
        <x:v>UX·개발·QA</x:v>
      </x:c>
      <x:c r="O271" s="13" t="str">
        <x:v>P1</x:v>
      </x:c>
      <x:c r="P271" s="15" t="str">
        <x:v>계획</x:v>
      </x:c>
      <x:c r="Q271" s="15" t="str">
        <x:v>미실행</x:v>
      </x:c>
      <x:c r="R271" s="15" t="str">
        <x:v>미실행</x:v>
      </x:c>
      <x:c r="S271" s="15" t="str">
        <x:v>자동+수동</x:v>
      </x:c>
      <x:c r="T271" s="15" t="str"/>
      <x:c r="U271" s="15" t="str"/>
      <x:c r="V271" s="15" t="str"/>
      <x:c r="W271" s="15" t="str"/>
      <x:c r="X271" s="16" t="str"/>
      <x:c r="Y271" s="15" t="str"/>
      <x:c r="Z271" s="13" t="str">
        <x:f>IF(J271&lt;&gt;"적용","산정제외",IF(OR(Q271="실패",R271="실패"),"실패",IF(AND(P271="구현",T271&lt;&gt;"",U271&lt;&gt;"",V271&lt;&gt;"",W271&lt;&gt;"",ISNUMBER(X271),Y271="",OR(S271="수동",Q271="통과"),OR(S271="자동",R271="통과")),"통과","미검증")))</x:f>
        <x:v>미검증</x:v>
      </x:c>
      <x:c r="AA271" s="13" t="str"/>
      <x:c r="AB271" s="13" t="str">
        <x:v>S01~S08 / 해당 기능의 모든 화면·상태</x:v>
      </x:c>
    </x:row>
    <x:row r="272" ht="37.5" customHeight="1">
      <x:c r="A272" s="14" t="str">
        <x:v>INC-005</x:v>
      </x:c>
      <x:c r="B272" s="14" t="str">
        <x:v>포용적 UX</x:v>
      </x:c>
      <x:c r="C272" s="14" t="str">
        <x:v>포용적 UX / 회사 강화</x:v>
      </x:c>
      <x:c r="D272" s="14" t="str">
        <x:v>상태 다중 표현</x:v>
      </x:c>
      <x:c r="E272" s="14" t="str">
        <x:v>상태를 색·텍스트·프로그램 알림으로 전달</x:v>
      </x:c>
      <x:c r="F272" s="14" t="str">
        <x:v>SRC-023</x:v>
      </x:c>
      <x:c r="G272" s="14" t="str">
        <x:v>보완 가이드 또는 회사 목표</x:v>
      </x:c>
      <x:c r="H272" s="14" t="str">
        <x:v>회사 목표</x:v>
      </x:c>
      <x:c r="I272" s="14" t="str">
        <x:v>MUST(안)</x:v>
      </x:c>
      <x:c r="J272" s="14" t="str">
        <x:v>적용</x:v>
      </x:c>
      <x:c r="K272" s="14" t="str">
        <x:v>현재 샘플의 회사 필수 기준으로 채택 제안</x:v>
      </x:c>
      <x:c r="L272" s="14" t="str">
        <x:v>“처리 중/완료/보완요청”과 상태 알림 제공</x:v>
      </x:c>
      <x:c r="M272" s="14" t="str">
        <x:v>낭독+무음+흑백</x:v>
      </x:c>
      <x:c r="N272" s="14" t="str">
        <x:v>UX·개발·QA</x:v>
      </x:c>
      <x:c r="O272" s="14" t="str">
        <x:v>P1</x:v>
      </x:c>
      <x:c r="P272" s="15" t="str">
        <x:v>계획</x:v>
      </x:c>
      <x:c r="Q272" s="15" t="str">
        <x:v>미실행</x:v>
      </x:c>
      <x:c r="R272" s="15" t="str">
        <x:v>미실행</x:v>
      </x:c>
      <x:c r="S272" s="15" t="str">
        <x:v>수동</x:v>
      </x:c>
      <x:c r="T272" s="15" t="str"/>
      <x:c r="U272" s="15" t="str"/>
      <x:c r="V272" s="15" t="str"/>
      <x:c r="W272" s="15" t="str"/>
      <x:c r="X272" s="16" t="str"/>
      <x:c r="Y272" s="15" t="str"/>
      <x:c r="Z272" s="14" t="str">
        <x:f>IF(J272&lt;&gt;"적용","산정제외",IF(OR(Q272="실패",R272="실패"),"실패",IF(AND(P272="구현",T272&lt;&gt;"",U272&lt;&gt;"",V272&lt;&gt;"",W272&lt;&gt;"",ISNUMBER(X272),Y272="",OR(S272="수동",Q272="통과"),OR(S272="자동",R272="통과")),"통과","미검증")))</x:f>
        <x:v>미검증</x:v>
      </x:c>
      <x:c r="AA272" s="14" t="str"/>
      <x:c r="AB272" s="14" t="str">
        <x:v>S01~S08 / 해당 기능의 모든 화면·상태</x:v>
      </x:c>
    </x:row>
    <x:row r="273" ht="37.5" customHeight="1">
      <x:c r="A273" s="13" t="str">
        <x:v>INC-006</x:v>
      </x:c>
      <x:c r="B273" s="13" t="str">
        <x:v>포용적 UX</x:v>
      </x:c>
      <x:c r="C273" s="13" t="str">
        <x:v>포용적 UX / 회사 강화</x:v>
      </x:c>
      <x:c r="D273" s="13" t="str">
        <x:v>입력 복구</x:v>
      </x:c>
      <x:c r="E273" s="13" t="str">
        <x:v>네트워크 오류·세션 종료에서 작업 손실 최소화</x:v>
      </x:c>
      <x:c r="F273" s="13" t="str">
        <x:v>SRC-021</x:v>
      </x:c>
      <x:c r="G273" s="13" t="str">
        <x:v>보완 가이드 또는 회사 목표</x:v>
      </x:c>
      <x:c r="H273" s="13" t="str">
        <x:v>회사 목표</x:v>
      </x:c>
      <x:c r="I273" s="13" t="str">
        <x:v>MUST(안)</x:v>
      </x:c>
      <x:c r="J273" s="13" t="str">
        <x:v>적용</x:v>
      </x:c>
      <x:c r="K273" s="13" t="str">
        <x:v>현재 샘플의 회사 필수 기준으로 채택 제안</x:v>
      </x:c>
      <x:c r="L273" s="13" t="str">
        <x:v>비민감 초안 저장 범위·보존기간·공용기기 삭제 규칙 설계</x:v>
      </x:c>
      <x:c r="M273" s="13" t="str">
        <x:v>실패 주입</x:v>
      </x:c>
      <x:c r="N273" s="13" t="str">
        <x:v>UX·개발·QA</x:v>
      </x:c>
      <x:c r="O273" s="13" t="str">
        <x:v>P1</x:v>
      </x:c>
      <x:c r="P273" s="15" t="str">
        <x:v>계획</x:v>
      </x:c>
      <x:c r="Q273" s="15" t="str">
        <x:v>미실행</x:v>
      </x:c>
      <x:c r="R273" s="15" t="str">
        <x:v>미실행</x:v>
      </x:c>
      <x:c r="S273" s="15" t="str">
        <x:v>자동+수동</x:v>
      </x:c>
      <x:c r="T273" s="15" t="str"/>
      <x:c r="U273" s="15" t="str"/>
      <x:c r="V273" s="15" t="str"/>
      <x:c r="W273" s="15" t="str"/>
      <x:c r="X273" s="16" t="str"/>
      <x:c r="Y273" s="15" t="str"/>
      <x:c r="Z273" s="13" t="str">
        <x:f>IF(J273&lt;&gt;"적용","산정제외",IF(OR(Q273="실패",R273="실패"),"실패",IF(AND(P273="구현",T273&lt;&gt;"",U273&lt;&gt;"",V273&lt;&gt;"",W273&lt;&gt;"",ISNUMBER(X273),Y273="",OR(S273="수동",Q273="통과"),OR(S273="자동",R273="통과")),"통과","미검증")))</x:f>
        <x:v>미검증</x:v>
      </x:c>
      <x:c r="AA273" s="13" t="str"/>
      <x:c r="AB273" s="13" t="str">
        <x:v>S01~S08 / 해당 기능의 모든 화면·상태</x:v>
      </x:c>
    </x:row>
    <x:row r="274" ht="37.5" customHeight="1">
      <x:c r="A274" s="14" t="str">
        <x:v>INC-007</x:v>
      </x:c>
      <x:c r="B274" s="14" t="str">
        <x:v>포용적 UX</x:v>
      </x:c>
      <x:c r="C274" s="14" t="str">
        <x:v>포용적 UX / 회사 강화</x:v>
      </x:c>
      <x:c r="D274" s="14" t="str">
        <x:v>서비스 내 접근성</x:v>
      </x:c>
      <x:c r="E274" s="14" t="str">
        <x:v>동일 주 서비스에서 접근 가능</x:v>
      </x:c>
      <x:c r="F274" s="14" t="str">
        <x:v>SRC-024</x:v>
      </x:c>
      <x:c r="G274" s="14" t="str">
        <x:v>보완 가이드 또는 회사 목표</x:v>
      </x:c>
      <x:c r="H274" s="14" t="str">
        <x:v>회사 목표</x:v>
      </x:c>
      <x:c r="I274" s="14" t="str">
        <x:v>MUST(안)</x:v>
      </x:c>
      <x:c r="J274" s="14" t="str">
        <x:v>적용</x:v>
      </x:c>
      <x:c r="K274" s="14" t="str">
        <x:v>현재 샘플의 회사 필수 기준으로 채택 제안</x:v>
      </x:c>
      <x:c r="L274" s="14" t="str">
        <x:v>접근성 메뉴를 켜야만 기본 기능이 작동하는 구조 금지</x:v>
      </x:c>
      <x:c r="M274" s="14" t="str">
        <x:v>기본설정 전체플로 시험</x:v>
      </x:c>
      <x:c r="N274" s="14" t="str">
        <x:v>UX·개발·QA</x:v>
      </x:c>
      <x:c r="O274" s="14" t="str">
        <x:v>P1</x:v>
      </x:c>
      <x:c r="P274" s="15" t="str">
        <x:v>계획</x:v>
      </x:c>
      <x:c r="Q274" s="15" t="str">
        <x:v>미실행</x:v>
      </x:c>
      <x:c r="R274" s="15" t="str">
        <x:v>미실행</x:v>
      </x:c>
      <x:c r="S274" s="15" t="str">
        <x:v>자동+수동</x:v>
      </x:c>
      <x:c r="T274" s="15" t="str"/>
      <x:c r="U274" s="15" t="str"/>
      <x:c r="V274" s="15" t="str"/>
      <x:c r="W274" s="15" t="str"/>
      <x:c r="X274" s="16" t="str"/>
      <x:c r="Y274" s="15" t="str"/>
      <x:c r="Z274" s="14" t="str">
        <x:f>IF(J274&lt;&gt;"적용","산정제외",IF(OR(Q274="실패",R274="실패"),"실패",IF(AND(P274="구현",T274&lt;&gt;"",U274&lt;&gt;"",V274&lt;&gt;"",W274&lt;&gt;"",ISNUMBER(X274),Y274="",OR(S274="수동",Q274="통과"),OR(S274="자동",R274="통과")),"통과","미검증")))</x:f>
        <x:v>미검증</x:v>
      </x:c>
      <x:c r="AA274" s="14" t="str"/>
      <x:c r="AB274" s="14" t="str">
        <x:v>S01~S08 / 해당 기능의 모든 화면·상태</x:v>
      </x:c>
    </x:row>
    <x:row r="275" ht="37.5" customHeight="1">
      <x:c r="A275" s="13" t="str">
        <x:v>INC-008</x:v>
      </x:c>
      <x:c r="B275" s="13" t="str">
        <x:v>포용적 UX</x:v>
      </x:c>
      <x:c r="C275" s="13" t="str">
        <x:v>포용적 UX / 회사 강화</x:v>
      </x:c>
      <x:c r="D275" s="13" t="str">
        <x:v>접근 가능한 첨부</x:v>
      </x:c>
      <x:c r="E275" s="13" t="str">
        <x:v>파일 업로드와 업무정보 열람의 대안</x:v>
      </x:c>
      <x:c r="F275" s="13" t="str">
        <x:v>SRC-025</x:v>
      </x:c>
      <x:c r="G275" s="13" t="str">
        <x:v>보완 가이드 또는 회사 목표</x:v>
      </x:c>
      <x:c r="H275" s="13" t="str">
        <x:v>회사 목표</x:v>
      </x:c>
      <x:c r="I275" s="13" t="str">
        <x:v>MUST(안)</x:v>
      </x:c>
      <x:c r="J275" s="13" t="str">
        <x:v>적용</x:v>
      </x:c>
      <x:c r="K275" s="13" t="str">
        <x:v>현재 샘플의 회사 필수 기준으로 채택 제안</x:v>
      </x:c>
      <x:c r="L275" s="13" t="str">
        <x:v>드래그 외 버튼, 파일별 설명·이름·용량·상태·삭제, 핵심 정보 HTML 제공</x:v>
      </x:c>
      <x:c r="M275" s="13" t="str">
        <x:v>첨부 전체플로</x:v>
      </x:c>
      <x:c r="N275" s="13" t="str">
        <x:v>UX·개발·QA</x:v>
      </x:c>
      <x:c r="O275" s="13" t="str">
        <x:v>P1</x:v>
      </x:c>
      <x:c r="P275" s="15" t="str">
        <x:v>계획</x:v>
      </x:c>
      <x:c r="Q275" s="15" t="str">
        <x:v>미실행</x:v>
      </x:c>
      <x:c r="R275" s="15" t="str">
        <x:v>미실행</x:v>
      </x:c>
      <x:c r="S275" s="15" t="str">
        <x:v>자동+수동</x:v>
      </x:c>
      <x:c r="T275" s="15" t="str"/>
      <x:c r="U275" s="15" t="str"/>
      <x:c r="V275" s="15" t="str"/>
      <x:c r="W275" s="15" t="str"/>
      <x:c r="X275" s="16" t="str"/>
      <x:c r="Y275" s="15" t="str"/>
      <x:c r="Z275" s="13" t="str">
        <x:f>IF(J275&lt;&gt;"적용","산정제외",IF(OR(Q275="실패",R275="실패"),"실패",IF(AND(P275="구현",T275&lt;&gt;"",U275&lt;&gt;"",V275&lt;&gt;"",W275&lt;&gt;"",ISNUMBER(X275),Y275="",OR(S275="수동",Q275="통과"),OR(S275="자동",R275="통과")),"통과","미검증")))</x:f>
        <x:v>미검증</x:v>
      </x:c>
      <x:c r="AA275" s="13" t="str"/>
      <x:c r="AB275" s="13" t="str">
        <x:v>S01~S08 / 해당 기능의 모든 화면·상태</x:v>
      </x:c>
    </x:row>
    <x:row r="276" ht="37.5" customHeight="1">
      <x:c r="A276" s="14" t="str">
        <x:v>INC-009</x:v>
      </x:c>
      <x:c r="B276" s="14" t="str">
        <x:v>포용적 UX</x:v>
      </x:c>
      <x:c r="C276" s="14" t="str">
        <x:v>포용적 UX / 회사 강화</x:v>
      </x:c>
      <x:c r="D276" s="14" t="str">
        <x:v>표와 차트 대안</x:v>
      </x:c>
      <x:c r="E276" s="14" t="str">
        <x:v>시각 통계와 동일한 수치를 텍스트/표로 제공</x:v>
      </x:c>
      <x:c r="F276" s="14" t="str">
        <x:v>SRC-026</x:v>
      </x:c>
      <x:c r="G276" s="14" t="str">
        <x:v>보완 가이드 또는 회사 목표</x:v>
      </x:c>
      <x:c r="H276" s="14" t="str">
        <x:v>회사 목표</x:v>
      </x:c>
      <x:c r="I276" s="14" t="str">
        <x:v>MUST(안)</x:v>
      </x:c>
      <x:c r="J276" s="14" t="str">
        <x:v>적용</x:v>
      </x:c>
      <x:c r="K276" s="14" t="str">
        <x:v>현재 샘플의 회사 필수 기준으로 채택 제안</x:v>
      </x:c>
      <x:c r="L276" s="14" t="str">
        <x:v>현황카운트·그래프의 항목·기간·값을 표기, 다운로드만을 유일대안으로 두지 않음</x:v>
      </x:c>
      <x:c r="M276" s="14" t="str">
        <x:v>낭독+정합성 확인</x:v>
      </x:c>
      <x:c r="N276" s="14" t="str">
        <x:v>UX·개발·QA</x:v>
      </x:c>
      <x:c r="O276" s="14" t="str">
        <x:v>P1</x:v>
      </x:c>
      <x:c r="P276" s="15" t="str">
        <x:v>계획</x:v>
      </x:c>
      <x:c r="Q276" s="15" t="str">
        <x:v>미실행</x:v>
      </x:c>
      <x:c r="R276" s="15" t="str">
        <x:v>미실행</x:v>
      </x:c>
      <x:c r="S276" s="15" t="str">
        <x:v>자동+수동</x:v>
      </x:c>
      <x:c r="T276" s="15" t="str"/>
      <x:c r="U276" s="15" t="str"/>
      <x:c r="V276" s="15" t="str"/>
      <x:c r="W276" s="15" t="str"/>
      <x:c r="X276" s="16" t="str"/>
      <x:c r="Y276" s="15" t="str"/>
      <x:c r="Z276" s="14" t="str">
        <x:f>IF(J276&lt;&gt;"적용","산정제외",IF(OR(Q276="실패",R276="실패"),"실패",IF(AND(P276="구현",T276&lt;&gt;"",U276&lt;&gt;"",V276&lt;&gt;"",W276&lt;&gt;"",ISNUMBER(X276),Y276="",OR(S276="수동",Q276="통과"),OR(S276="자동",R276="통과")),"통과","미검증")))</x:f>
        <x:v>미검증</x:v>
      </x:c>
      <x:c r="AA276" s="14" t="str"/>
      <x:c r="AB276" s="14" t="str">
        <x:v>S01~S08 / 해당 기능의 모든 화면·상태</x:v>
      </x:c>
    </x:row>
    <x:row r="277" ht="37.5" customHeight="1">
      <x:c r="A277" s="13" t="str">
        <x:v>INC-010</x:v>
      </x:c>
      <x:c r="B277" s="13" t="str">
        <x:v>포용적 UX</x:v>
      </x:c>
      <x:c r="C277" s="13" t="str">
        <x:v>포용적 UX / 회사 강화</x:v>
      </x:c>
      <x:c r="D277" s="13" t="str">
        <x:v>연락수단 선택</x:v>
      </x:c>
      <x:c r="E277" s="13" t="str">
        <x:v>음성통화 외 문의·지원 수단</x:v>
      </x:c>
      <x:c r="F277" s="13" t="str">
        <x:v>SRC-021</x:v>
      </x:c>
      <x:c r="G277" s="13" t="str">
        <x:v>보완 가이드 또는 회사 목표</x:v>
      </x:c>
      <x:c r="H277" s="13" t="str">
        <x:v>회사 목표</x:v>
      </x:c>
      <x:c r="I277" s="13" t="str">
        <x:v>MUST(안)</x:v>
      </x:c>
      <x:c r="J277" s="13" t="str">
        <x:v>적용</x:v>
      </x:c>
      <x:c r="K277" s="13" t="str">
        <x:v>현재 샘플의 회사 필수 기준으로 채택 제안</x:v>
      </x:c>
      <x:c r="L277" s="13" t="str">
        <x:v>도움말과 텍스트 문의를 공통위치에 제공</x:v>
      </x:c>
      <x:c r="M277" s="13" t="str">
        <x:v>지원경로 실제시험</x:v>
      </x:c>
      <x:c r="N277" s="13" t="str">
        <x:v>UX·개발·QA</x:v>
      </x:c>
      <x:c r="O277" s="13" t="str">
        <x:v>P1</x:v>
      </x:c>
      <x:c r="P277" s="15" t="str">
        <x:v>계획</x:v>
      </x:c>
      <x:c r="Q277" s="15" t="str">
        <x:v>미실행</x:v>
      </x:c>
      <x:c r="R277" s="15" t="str">
        <x:v>미실행</x:v>
      </x:c>
      <x:c r="S277" s="15" t="str">
        <x:v>자동+수동</x:v>
      </x:c>
      <x:c r="T277" s="15" t="str"/>
      <x:c r="U277" s="15" t="str"/>
      <x:c r="V277" s="15" t="str"/>
      <x:c r="W277" s="15" t="str"/>
      <x:c r="X277" s="16" t="str"/>
      <x:c r="Y277" s="15" t="str"/>
      <x:c r="Z277" s="13" t="str">
        <x:f>IF(J277&lt;&gt;"적용","산정제외",IF(OR(Q277="실패",R277="실패"),"실패",IF(AND(P277="구현",T277&lt;&gt;"",U277&lt;&gt;"",V277&lt;&gt;"",W277&lt;&gt;"",ISNUMBER(X277),Y277="",OR(S277="수동",Q277="통과"),OR(S277="자동",R277="통과")),"통과","미검증")))</x:f>
        <x:v>미검증</x:v>
      </x:c>
      <x:c r="AA277" s="13" t="str"/>
      <x:c r="AB277" s="13" t="str">
        <x:v>S01~S08 / 해당 기능의 모든 화면·상태</x:v>
      </x:c>
    </x:row>
    <x:row r="278" ht="37.5" customHeight="1">
      <x:c r="A278" s="14" t="str">
        <x:v>INC-011</x:v>
      </x:c>
      <x:c r="B278" s="14" t="str">
        <x:v>포용적 UX</x:v>
      </x:c>
      <x:c r="C278" s="14" t="str">
        <x:v>포용적 UX / 회사 강화</x:v>
      </x:c>
      <x:c r="D278" s="14" t="str">
        <x:v>설정 개인정보 최소화</x:v>
      </x:c>
      <x:c r="E278" s="14" t="str">
        <x:v>장애정보 수집 없이 사용자가 선호 설정 선택</x:v>
      </x:c>
      <x:c r="F278" s="14" t="str">
        <x:v>SRC-027</x:v>
      </x:c>
      <x:c r="G278" s="14" t="str">
        <x:v>보완 가이드 또는 회사 목표</x:v>
      </x:c>
      <x:c r="H278" s="14" t="str">
        <x:v>회사 목표</x:v>
      </x:c>
      <x:c r="I278" s="14" t="str">
        <x:v>MUST(안)</x:v>
      </x:c>
      <x:c r="J278" s="14" t="str">
        <x:v>적용</x:v>
      </x:c>
      <x:c r="K278" s="14" t="str">
        <x:v>현재 샘플의 회사 필수 기준으로 채택 제안</x:v>
      </x:c>
      <x:c r="L278" s="14" t="str">
        <x:v>모션·표시밀도 설정만 로컬저장, 민감한 장애유형 추정·수집 금지</x:v>
      </x:c>
      <x:c r="M278" s="14" t="str">
        <x:v>저장 키·필드 자동 검사 + 개인정보 최소화 수동 검토</x:v>
      </x:c>
      <x:c r="N278" s="14" t="str">
        <x:v>UX·개발·QA</x:v>
      </x:c>
      <x:c r="O278" s="14" t="str">
        <x:v>P1</x:v>
      </x:c>
      <x:c r="P278" s="15" t="str">
        <x:v>계획</x:v>
      </x:c>
      <x:c r="Q278" s="15" t="str">
        <x:v>미실행</x:v>
      </x:c>
      <x:c r="R278" s="15" t="str">
        <x:v>미실행</x:v>
      </x:c>
      <x:c r="S278" s="15" t="str">
        <x:v>자동+수동</x:v>
      </x:c>
      <x:c r="T278" s="15" t="str"/>
      <x:c r="U278" s="15" t="str"/>
      <x:c r="V278" s="15" t="str"/>
      <x:c r="W278" s="15" t="str"/>
      <x:c r="X278" s="16" t="str"/>
      <x:c r="Y278" s="15" t="str"/>
      <x:c r="Z278" s="14" t="str">
        <x:f>IF(J278&lt;&gt;"적용","산정제외",IF(OR(Q278="실패",R278="실패"),"실패",IF(AND(P278="구현",T278&lt;&gt;"",U278&lt;&gt;"",V278&lt;&gt;"",W278&lt;&gt;"",ISNUMBER(X278),Y278="",OR(S278="수동",Q278="통과"),OR(S278="자동",R278="통과")),"통과","미검증")))</x:f>
        <x:v>미검증</x:v>
      </x:c>
      <x:c r="AA278" s="14" t="str"/>
      <x:c r="AB278" s="14" t="str">
        <x:v>S01~S08 / 해당 기능의 모든 화면·상태
회사 정책 제안. 장애유형의 추정·수집 없이 선호 설정만 저장.</x:v>
      </x:c>
    </x:row>
    <x:row r="279" ht="37.5" customHeight="1">
      <x:c r="A279" s="13" t="str">
        <x:v>INC-012</x:v>
      </x:c>
      <x:c r="B279" s="13" t="str">
        <x:v>포용적 UX</x:v>
      </x:c>
      <x:c r="C279" s="13" t="str">
        <x:v>포용적 UX / 회사 강화</x:v>
      </x:c>
      <x:c r="D279" s="13" t="str">
        <x:v>범위와 결과 공개</x:v>
      </x:c>
      <x:c r="E279" s="13" t="str">
        <x:v>검증 범위·잔여문제·문의처 명시</x:v>
      </x:c>
      <x:c r="F279" s="13" t="str">
        <x:v>SRC-028</x:v>
      </x:c>
      <x:c r="G279" s="13" t="str">
        <x:v>보완 가이드 또는 회사 목표</x:v>
      </x:c>
      <x:c r="H279" s="13" t="str">
        <x:v>회사 목표</x:v>
      </x:c>
      <x:c r="I279" s="13" t="str">
        <x:v>MUST(안)</x:v>
      </x:c>
      <x:c r="J279" s="13" t="str">
        <x:v>적용</x:v>
      </x:c>
      <x:c r="K279" s="13" t="str">
        <x:v>현재 샘플의 회사 필수 기준으로 채택 제안</x:v>
      </x:c>
      <x:c r="L279" s="13" t="str">
        <x:v>접근성 안내 페이지에 날짜·브라우저/AT 조합·미해결 사항 기재</x:v>
      </x:c>
      <x:c r="M279" s="13" t="str">
        <x:v>보고서 대조</x:v>
      </x:c>
      <x:c r="N279" s="13" t="str">
        <x:v>UX·개발·QA</x:v>
      </x:c>
      <x:c r="O279" s="13" t="str">
        <x:v>P1</x:v>
      </x:c>
      <x:c r="P279" s="15" t="str">
        <x:v>계획</x:v>
      </x:c>
      <x:c r="Q279" s="15" t="str">
        <x:v>미실행</x:v>
      </x:c>
      <x:c r="R279" s="15" t="str">
        <x:v>미실행</x:v>
      </x:c>
      <x:c r="S279" s="15" t="str">
        <x:v>수동</x:v>
      </x:c>
      <x:c r="T279" s="15" t="str"/>
      <x:c r="U279" s="15" t="str"/>
      <x:c r="V279" s="15" t="str"/>
      <x:c r="W279" s="15" t="str"/>
      <x:c r="X279" s="16" t="str"/>
      <x:c r="Y279" s="15" t="str"/>
      <x:c r="Z279" s="13" t="str">
        <x:f>IF(J279&lt;&gt;"적용","산정제외",IF(OR(Q279="실패",R279="실패"),"실패",IF(AND(P279="구현",T279&lt;&gt;"",U279&lt;&gt;"",V279&lt;&gt;"",W279&lt;&gt;"",ISNUMBER(X279),Y279="",OR(S279="수동",Q279="통과"),OR(S279="자동",R279="통과")),"통과","미검증")))</x:f>
        <x:v>미검증</x:v>
      </x:c>
      <x:c r="AA279" s="13" t="str"/>
      <x:c r="AB279" s="13" t="str">
        <x:v>S01~S08 / 해당 기능의 모든 화면·상태</x:v>
      </x:c>
    </x:row>
    <x:row r="280" ht="37.5" customHeight="1">
      <x:c r="A280" s="14" t="str">
        <x:v>QA-001</x:v>
      </x:c>
      <x:c r="B280" s="14" t="str">
        <x:v>검증·운영·보고</x:v>
      </x:c>
      <x:c r="C280" s="14" t="str">
        <x:v>검증</x:v>
      </x:c>
      <x:c r="D280" s="14" t="str">
        <x:v>재현 빌드와 정적검사</x:v>
      </x:c>
      <x:c r="E280" s="14" t="str">
        <x:v>잠금파일 기준으로 복원·빌드·형식·타입·분석기를 실행한다.</x:v>
      </x:c>
      <x:c r="F280" s="14" t="str">
        <x:v>SRC-003</x:v>
      </x:c>
      <x:c r="G280" s="14" t="str"/>
      <x:c r="H280" s="14" t="str">
        <x:v>해당없음(사내 기준)</x:v>
      </x:c>
      <x:c r="I280" s="14" t="str">
        <x:v>MUST(안)</x:v>
      </x:c>
      <x:c r="J280" s="14" t="str">
        <x:v>적용</x:v>
      </x:c>
      <x:c r="K280" s="14" t="str">
        <x:v>현재 샘플의 회사 필수 기준으로 채택 제안</x:v>
      </x:c>
      <x:c r="L280" s="14" t="str">
        <x:v>verify 명령에 프런트와 백엔드 검사 묶기</x:v>
      </x:c>
      <x:c r="M280" s="14" t="str">
        <x:v>깨끗한 작업폴더의 종료코드·로그 보존</x:v>
      </x:c>
      <x:c r="N280" s="14" t="str">
        <x:v>개발·QA</x:v>
      </x:c>
      <x:c r="O280" s="14" t="str">
        <x:v>P1</x:v>
      </x:c>
      <x:c r="P280" s="15" t="str">
        <x:v>계획</x:v>
      </x:c>
      <x:c r="Q280" s="15" t="str">
        <x:v>미실행</x:v>
      </x:c>
      <x:c r="R280" s="15" t="str">
        <x:v>미실행</x:v>
      </x:c>
      <x:c r="S280" s="15" t="str">
        <x:v>자동</x:v>
      </x:c>
      <x:c r="T280" s="15" t="str"/>
      <x:c r="U280" s="15" t="str"/>
      <x:c r="V280" s="15" t="str"/>
      <x:c r="W280" s="15" t="str"/>
      <x:c r="X280" s="16" t="str"/>
      <x:c r="Y280" s="15" t="str"/>
      <x:c r="Z280" s="14" t="str">
        <x:f>IF(J280&lt;&gt;"적용","산정제외",IF(OR(Q280="실패",R280="실패"),"실패",IF(AND(P280="구현",T280&lt;&gt;"",U280&lt;&gt;"",V280&lt;&gt;"",W280&lt;&gt;"",ISNUMBER(X280),Y280="",OR(S280="수동",Q280="통과"),OR(S280="자동",R280="통과")),"통과","미검증")))</x:f>
        <x:v>미검증</x:v>
      </x:c>
      <x:c r="AA280" s="14" t="str"/>
      <x:c r="AB280" s="14" t="str">
        <x:v>S01~S08 / 공통</x:v>
      </x:c>
    </x:row>
    <x:row r="281" ht="37.5" customHeight="1">
      <x:c r="A281" s="13" t="str">
        <x:v>QA-002</x:v>
      </x:c>
      <x:c r="B281" s="13" t="str">
        <x:v>검증·운영·보고</x:v>
      </x:c>
      <x:c r="C281" s="13" t="str">
        <x:v>검증</x:v>
      </x:c>
      <x:c r="D281" s="13" t="str">
        <x:v>업무규칙 경계시험</x:v>
      </x:c>
      <x:c r="E281" s="13" t="str">
        <x:v>허용 상태전이·필수값·최대길이·날짜·동시수정을 검사한다.</x:v>
      </x:c>
      <x:c r="F281" s="13" t="str">
        <x:v>SRC-003</x:v>
      </x:c>
      <x:c r="G281" s="13" t="str"/>
      <x:c r="H281" s="13" t="str">
        <x:v>해당없음(사내 기준)</x:v>
      </x:c>
      <x:c r="I281" s="13" t="str">
        <x:v>MUST(안)</x:v>
      </x:c>
      <x:c r="J281" s="13" t="str">
        <x:v>적용</x:v>
      </x:c>
      <x:c r="K281" s="13" t="str">
        <x:v>현재 샘플의 회사 필수 기준으로 채택 제안</x:v>
      </x:c>
      <x:c r="L281" s="13" t="str">
        <x:v>핵심 도메인과 DB 제약에 경계/실패 사례 작성</x:v>
      </x:c>
      <x:c r="M281" s="13" t="str">
        <x:v>허용·거부·경계 사례와 실제 결과 대조</x:v>
      </x:c>
      <x:c r="N281" s="13" t="str">
        <x:v>개발·QA</x:v>
      </x:c>
      <x:c r="O281" s="13" t="str">
        <x:v>P1</x:v>
      </x:c>
      <x:c r="P281" s="15" t="str">
        <x:v>계획</x:v>
      </x:c>
      <x:c r="Q281" s="15" t="str">
        <x:v>미실행</x:v>
      </x:c>
      <x:c r="R281" s="15" t="str">
        <x:v>미실행</x:v>
      </x:c>
      <x:c r="S281" s="15" t="str">
        <x:v>자동</x:v>
      </x:c>
      <x:c r="T281" s="15" t="str"/>
      <x:c r="U281" s="15" t="str"/>
      <x:c r="V281" s="15" t="str"/>
      <x:c r="W281" s="15" t="str"/>
      <x:c r="X281" s="16" t="str"/>
      <x:c r="Y281" s="15" t="str"/>
      <x:c r="Z281" s="13" t="str">
        <x:f>IF(J281&lt;&gt;"적용","산정제외",IF(OR(Q281="실패",R281="실패"),"실패",IF(AND(P281="구현",T281&lt;&gt;"",U281&lt;&gt;"",V281&lt;&gt;"",W281&lt;&gt;"",ISNUMBER(X281),Y281="",OR(S281="수동",Q281="통과"),OR(S281="자동",R281="통과")),"통과","미검증")))</x:f>
        <x:v>미검증</x:v>
      </x:c>
      <x:c r="AA281" s="13" t="str"/>
      <x:c r="AB281" s="13" t="str">
        <x:v>S01~S08 / 공통</x:v>
      </x:c>
    </x:row>
    <x:row r="282" ht="24" customHeight="1">
      <x:c r="A282" s="14" t="str">
        <x:v>QA-003</x:v>
      </x:c>
      <x:c r="B282" s="14" t="str">
        <x:v>검증·운영·보고</x:v>
      </x:c>
      <x:c r="C282" s="14" t="str">
        <x:v>검증</x:v>
      </x:c>
      <x:c r="D282" s="14" t="str">
        <x:v>객체 단위 권한 부정시험</x:v>
      </x:c>
      <x:c r="E282" s="14" t="str">
        <x:v>다른 사용자 요청과 첨부의 접근을 서버가 거부한다.</x:v>
      </x:c>
      <x:c r="F282" s="14" t="str">
        <x:v>SRC-003</x:v>
      </x:c>
      <x:c r="G282" s="14" t="str"/>
      <x:c r="H282" s="14" t="str">
        <x:v>해당없음(사내 기준)</x:v>
      </x:c>
      <x:c r="I282" s="14" t="str">
        <x:v>MUST(안)</x:v>
      </x:c>
      <x:c r="J282" s="14" t="str">
        <x:v>적용</x:v>
      </x:c>
      <x:c r="K282" s="14" t="str">
        <x:v>현재 샘플의 회사 필수 기준으로 채택 제안</x:v>
      </x:c>
      <x:c r="L282" s="14" t="str">
        <x:v>로그인 사용자 A/B와 관리자 API 시험</x:v>
      </x:c>
      <x:c r="M282" s="14" t="str">
        <x:v>다른 객체ID·역할변조·직접 URL 호출 거부</x:v>
      </x:c>
      <x:c r="N282" s="14" t="str">
        <x:v>개발·QA</x:v>
      </x:c>
      <x:c r="O282" s="14" t="str">
        <x:v>P1</x:v>
      </x:c>
      <x:c r="P282" s="15" t="str">
        <x:v>계획</x:v>
      </x:c>
      <x:c r="Q282" s="15" t="str">
        <x:v>미실행</x:v>
      </x:c>
      <x:c r="R282" s="15" t="str">
        <x:v>미실행</x:v>
      </x:c>
      <x:c r="S282" s="15" t="str">
        <x:v>자동</x:v>
      </x:c>
      <x:c r="T282" s="15" t="str"/>
      <x:c r="U282" s="15" t="str"/>
      <x:c r="V282" s="15" t="str"/>
      <x:c r="W282" s="15" t="str"/>
      <x:c r="X282" s="16" t="str"/>
      <x:c r="Y282" s="15" t="str"/>
      <x:c r="Z282" s="14" t="str">
        <x:f>IF(J282&lt;&gt;"적용","산정제외",IF(OR(Q282="실패",R282="실패"),"실패",IF(AND(P282="구현",T282&lt;&gt;"",U282&lt;&gt;"",V282&lt;&gt;"",W282&lt;&gt;"",ISNUMBER(X282),Y282="",OR(S282="수동",Q282="통과"),OR(S282="자동",R282="통과")),"통과","미검증")))</x:f>
        <x:v>미검증</x:v>
      </x:c>
      <x:c r="AA282" s="14" t="str"/>
      <x:c r="AB282" s="14" t="str">
        <x:v>S01, S05</x:v>
      </x:c>
    </x:row>
    <x:row r="283" ht="37.5" customHeight="1">
      <x:c r="A283" s="13" t="str">
        <x:v>QA-004</x:v>
      </x:c>
      <x:c r="B283" s="13" t="str">
        <x:v>검증·운영·보고</x:v>
      </x:c>
      <x:c r="C283" s="13" t="str">
        <x:v>검증</x:v>
      </x:c>
      <x:c r="D283" s="13" t="str">
        <x:v>첨부파일 실패시험</x:v>
      </x:c>
      <x:c r="E283" s="13" t="str">
        <x:v>파일크기·형식·경로·파일명·권한과 실패 복구를 시험한다.</x:v>
      </x:c>
      <x:c r="F283" s="13" t="str">
        <x:v>SRC-003</x:v>
      </x:c>
      <x:c r="G283" s="13" t="str"/>
      <x:c r="H283" s="13" t="str">
        <x:v>해당없음(사내 기준)</x:v>
      </x:c>
      <x:c r="I283" s="13" t="str">
        <x:v>MUST(안)</x:v>
      </x:c>
      <x:c r="J283" s="13" t="str">
        <x:v>적용</x:v>
      </x:c>
      <x:c r="K283" s="13" t="str">
        <x:v>현재 샘플의 회사 필수 기준으로 채택 제안</x:v>
      </x:c>
      <x:c r="L283" s="13" t="str">
        <x:v>안전한 시험 파일과 업로드/다운로드 통합시험</x:v>
      </x:c>
      <x:c r="M283" s="13" t="str">
        <x:v>제한 위반·중단·중복·파일 삭제 시 실제 결과</x:v>
      </x:c>
      <x:c r="N283" s="13" t="str">
        <x:v>개발·QA</x:v>
      </x:c>
      <x:c r="O283" s="13" t="str">
        <x:v>P1</x:v>
      </x:c>
      <x:c r="P283" s="15" t="str">
        <x:v>계획</x:v>
      </x:c>
      <x:c r="Q283" s="15" t="str">
        <x:v>미실행</x:v>
      </x:c>
      <x:c r="R283" s="15" t="str">
        <x:v>미실행</x:v>
      </x:c>
      <x:c r="S283" s="15" t="str">
        <x:v>자동</x:v>
      </x:c>
      <x:c r="T283" s="15" t="str"/>
      <x:c r="U283" s="15" t="str"/>
      <x:c r="V283" s="15" t="str"/>
      <x:c r="W283" s="15" t="str"/>
      <x:c r="X283" s="16" t="str"/>
      <x:c r="Y283" s="15" t="str"/>
      <x:c r="Z283" s="13" t="str">
        <x:f>IF(J283&lt;&gt;"적용","산정제외",IF(OR(Q283="실패",R283="실패"),"실패",IF(AND(P283="구현",T283&lt;&gt;"",U283&lt;&gt;"",V283&lt;&gt;"",W283&lt;&gt;"",ISNUMBER(X283),Y283="",OR(S283="수동",Q283="통과"),OR(S283="자동",R283="통과")),"통과","미검증")))</x:f>
        <x:v>미검증</x:v>
      </x:c>
      <x:c r="AA283" s="13" t="str"/>
      <x:c r="AB283" s="13" t="str">
        <x:v>S04, S05</x:v>
      </x:c>
    </x:row>
    <x:row r="284" ht="37.5" customHeight="1">
      <x:c r="A284" s="14" t="str">
        <x:v>QA-005</x:v>
      </x:c>
      <x:c r="B284" s="14" t="str">
        <x:v>검증·운영·보고</x:v>
      </x:c>
      <x:c r="C284" s="14" t="str">
        <x:v>검증</x:v>
      </x:c>
      <x:c r="D284" s="14" t="str">
        <x:v>완결된 업무 E2E</x:v>
      </x:c>
      <x:c r="E284" s="14" t="str">
        <x:v>로그인부터 등록·조회·관리처리까지 실제 API/DB로 완료한다.</x:v>
      </x:c>
      <x:c r="F284" s="14" t="str">
        <x:v>SRC-003</x:v>
      </x:c>
      <x:c r="G284" s="14" t="str"/>
      <x:c r="H284" s="14" t="str">
        <x:v>해당없음(사내 기준)</x:v>
      </x:c>
      <x:c r="I284" s="14" t="str">
        <x:v>MUST(안)</x:v>
      </x:c>
      <x:c r="J284" s="14" t="str">
        <x:v>적용</x:v>
      </x:c>
      <x:c r="K284" s="14" t="str">
        <x:v>현재 샘플의 회사 필수 기준으로 채택 제안</x:v>
      </x:c>
      <x:c r="L284" s="14" t="str">
        <x:v>Playwright 과업 시나리오와 별도 사용자 데이터</x:v>
      </x:c>
      <x:c r="M284" s="14" t="str">
        <x:v>재시작 후 영속성·역할별 전체 절차 확인</x:v>
      </x:c>
      <x:c r="N284" s="14" t="str">
        <x:v>개발·QA</x:v>
      </x:c>
      <x:c r="O284" s="14" t="str">
        <x:v>P1</x:v>
      </x:c>
      <x:c r="P284" s="15" t="str">
        <x:v>계획</x:v>
      </x:c>
      <x:c r="Q284" s="15" t="str">
        <x:v>미실행</x:v>
      </x:c>
      <x:c r="R284" s="15" t="str">
        <x:v>미실행</x:v>
      </x:c>
      <x:c r="S284" s="15" t="str">
        <x:v>자동+수동</x:v>
      </x:c>
      <x:c r="T284" s="15" t="str"/>
      <x:c r="U284" s="15" t="str"/>
      <x:c r="V284" s="15" t="str"/>
      <x:c r="W284" s="15" t="str"/>
      <x:c r="X284" s="16" t="str"/>
      <x:c r="Y284" s="15" t="str"/>
      <x:c r="Z284" s="14" t="str">
        <x:f>IF(J284&lt;&gt;"적용","산정제외",IF(OR(Q284="실패",R284="실패"),"실패",IF(AND(P284="구현",T284&lt;&gt;"",U284&lt;&gt;"",V284&lt;&gt;"",W284&lt;&gt;"",ISNUMBER(X284),Y284="",OR(S284="수동",Q284="통과"),OR(S284="자동",R284="통과")),"통과","미검증")))</x:f>
        <x:v>미검증</x:v>
      </x:c>
      <x:c r="AA284" s="14" t="str"/>
      <x:c r="AB284" s="14" t="str">
        <x:v>S01~S08 / 공통</x:v>
      </x:c>
    </x:row>
    <x:row r="285" ht="37.5" customHeight="1">
      <x:c r="A285" s="13" t="str">
        <x:v>QA-006</x:v>
      </x:c>
      <x:c r="B285" s="13" t="str">
        <x:v>검증·운영·보고</x:v>
      </x:c>
      <x:c r="C285" s="13" t="str">
        <x:v>검증</x:v>
      </x:c>
      <x:c r="D285" s="13" t="str">
        <x:v>상태별 자동 접근성</x:v>
      </x:c>
      <x:c r="E285" s="13" t="str">
        <x:v>일반·오류·모달·확장·완료 상태에서 접근성을 검사한다.</x:v>
      </x:c>
      <x:c r="F285" s="13" t="str">
        <x:v>SRC-003</x:v>
      </x:c>
      <x:c r="G285" s="13" t="str"/>
      <x:c r="H285" s="13" t="str">
        <x:v>해당없음(사내 기준)</x:v>
      </x:c>
      <x:c r="I285" s="13" t="str">
        <x:v>MUST(안)</x:v>
      </x:c>
      <x:c r="J285" s="13" t="str">
        <x:v>적용</x:v>
      </x:c>
      <x:c r="K285" s="13" t="str">
        <x:v>현재 샘플의 회사 필수 기준으로 채택 제안</x:v>
      </x:c>
      <x:c r="L285" s="13" t="str">
        <x:v>axe-core와 실제 E2E의 상태별 검사 연결</x:v>
      </x:c>
      <x:c r="M285" s="13" t="str">
        <x:v>규칙ID·화면·상태·도구버전별 원시결과</x:v>
      </x:c>
      <x:c r="N285" s="13" t="str">
        <x:v>개발·QA</x:v>
      </x:c>
      <x:c r="O285" s="13" t="str">
        <x:v>P1</x:v>
      </x:c>
      <x:c r="P285" s="15" t="str">
        <x:v>계획</x:v>
      </x:c>
      <x:c r="Q285" s="15" t="str">
        <x:v>미실행</x:v>
      </x:c>
      <x:c r="R285" s="15" t="str">
        <x:v>미실행</x:v>
      </x:c>
      <x:c r="S285" s="15" t="str">
        <x:v>자동</x:v>
      </x:c>
      <x:c r="T285" s="15" t="str"/>
      <x:c r="U285" s="15" t="str"/>
      <x:c r="V285" s="15" t="str"/>
      <x:c r="W285" s="15" t="str"/>
      <x:c r="X285" s="16" t="str"/>
      <x:c r="Y285" s="15" t="str"/>
      <x:c r="Z285" s="13" t="str">
        <x:f>IF(J285&lt;&gt;"적용","산정제외",IF(OR(Q285="실패",R285="실패"),"실패",IF(AND(P285="구현",T285&lt;&gt;"",U285&lt;&gt;"",V285&lt;&gt;"",W285&lt;&gt;"",ISNUMBER(X285),Y285="",OR(S285="수동",Q285="통과"),OR(S285="자동",R285="통과")),"통과","미검증")))</x:f>
        <x:v>미검증</x:v>
      </x:c>
      <x:c r="AA285" s="13" t="str"/>
      <x:c r="AB285" s="13" t="str">
        <x:v>S01~S08 / 공통</x:v>
      </x:c>
    </x:row>
    <x:row r="286" ht="24" customHeight="1">
      <x:c r="A286" s="14" t="str">
        <x:v>QA-007</x:v>
      </x:c>
      <x:c r="B286" s="14" t="str">
        <x:v>검증·운영·보고</x:v>
      </x:c>
      <x:c r="C286" s="14" t="str">
        <x:v>검증</x:v>
      </x:c>
      <x:c r="D286" s="14" t="str">
        <x:v>보조기술 수동시험</x:v>
      </x:c>
      <x:c r="E286" s="14" t="str">
        <x:v>키보드·화면낭독기·확대·모바일 검증을 분리한다.</x:v>
      </x:c>
      <x:c r="F286" s="14" t="str">
        <x:v>SRC-003</x:v>
      </x:c>
      <x:c r="G286" s="14" t="str"/>
      <x:c r="H286" s="14" t="str">
        <x:v>해당없음(사내 기준)</x:v>
      </x:c>
      <x:c r="I286" s="14" t="str">
        <x:v>MUST(안)</x:v>
      </x:c>
      <x:c r="J286" s="14" t="str">
        <x:v>적용</x:v>
      </x:c>
      <x:c r="K286" s="14" t="str">
        <x:v>현재 샘플의 회사 필수 기준으로 채택 제안</x:v>
      </x:c>
      <x:c r="L286" s="14" t="str">
        <x:v>접근성시험 15개 절차에 실제 환경·검사자 기록</x:v>
      </x:c>
      <x:c r="M286" s="14" t="str">
        <x:v>환경 없는 시험은 미실행 유지</x:v>
      </x:c>
      <x:c r="N286" s="14" t="str">
        <x:v>개발·QA</x:v>
      </x:c>
      <x:c r="O286" s="14" t="str">
        <x:v>P1</x:v>
      </x:c>
      <x:c r="P286" s="15" t="str">
        <x:v>계획</x:v>
      </x:c>
      <x:c r="Q286" s="15" t="str">
        <x:v>미실행</x:v>
      </x:c>
      <x:c r="R286" s="15" t="str">
        <x:v>미실행</x:v>
      </x:c>
      <x:c r="S286" s="15" t="str">
        <x:v>수동</x:v>
      </x:c>
      <x:c r="T286" s="15" t="str"/>
      <x:c r="U286" s="15" t="str"/>
      <x:c r="V286" s="15" t="str"/>
      <x:c r="W286" s="15" t="str"/>
      <x:c r="X286" s="16" t="str"/>
      <x:c r="Y286" s="15" t="str"/>
      <x:c r="Z286" s="14" t="str">
        <x:f>IF(J286&lt;&gt;"적용","산정제외",IF(OR(Q286="실패",R286="실패"),"실패",IF(AND(P286="구현",T286&lt;&gt;"",U286&lt;&gt;"",V286&lt;&gt;"",W286&lt;&gt;"",ISNUMBER(X286),Y286="",OR(S286="수동",Q286="통과"),OR(S286="자동",R286="통과")),"통과","미검증")))</x:f>
        <x:v>미검증</x:v>
      </x:c>
      <x:c r="AA286" s="14" t="str"/>
      <x:c r="AB286" s="14" t="str">
        <x:v>S01~S08 / 공통</x:v>
      </x:c>
    </x:row>
    <x:row r="287" ht="37.5" customHeight="1">
      <x:c r="A287" s="13" t="str">
        <x:v>QA-008</x:v>
      </x:c>
      <x:c r="B287" s="13" t="str">
        <x:v>검증·운영·보고</x:v>
      </x:c>
      <x:c r="C287" s="13" t="str">
        <x:v>검증</x:v>
      </x:c>
      <x:c r="D287" s="13" t="str">
        <x:v>전체 범위와 샘플링 공개</x:v>
      </x:c>
      <x:c r="E287" s="13" t="str">
        <x:v>준수 주장 범위의 페이지·역할·상태·완결 절차를 명시한다.</x:v>
      </x:c>
      <x:c r="F287" s="13" t="str">
        <x:v>SRC-003</x:v>
      </x:c>
      <x:c r="G287" s="13" t="str"/>
      <x:c r="H287" s="13" t="str">
        <x:v>해당없음(사내 기준)</x:v>
      </x:c>
      <x:c r="I287" s="13" t="str">
        <x:v>MUST(안)</x:v>
      </x:c>
      <x:c r="J287" s="13" t="str">
        <x:v>적용</x:v>
      </x:c>
      <x:c r="K287" s="13" t="str">
        <x:v>현재 샘플의 회사 필수 기준으로 채택 제안</x:v>
      </x:c>
      <x:c r="L287" s="13" t="str">
        <x:v>scope manifest와 검사대상 목록 유지</x:v>
      </x:c>
      <x:c r="M287" s="13" t="str">
        <x:v>샘플 검사만으로 전체 준수 선언하지 않음</x:v>
      </x:c>
      <x:c r="N287" s="13" t="str">
        <x:v>개발·QA</x:v>
      </x:c>
      <x:c r="O287" s="13" t="str">
        <x:v>P1</x:v>
      </x:c>
      <x:c r="P287" s="15" t="str">
        <x:v>계획</x:v>
      </x:c>
      <x:c r="Q287" s="15" t="str">
        <x:v>미실행</x:v>
      </x:c>
      <x:c r="R287" s="15" t="str">
        <x:v>미실행</x:v>
      </x:c>
      <x:c r="S287" s="15" t="str">
        <x:v>수동</x:v>
      </x:c>
      <x:c r="T287" s="15" t="str"/>
      <x:c r="U287" s="15" t="str"/>
      <x:c r="V287" s="15" t="str"/>
      <x:c r="W287" s="15" t="str"/>
      <x:c r="X287" s="16" t="str"/>
      <x:c r="Y287" s="15" t="str"/>
      <x:c r="Z287" s="13" t="str">
        <x:f>IF(J287&lt;&gt;"적용","산정제외",IF(OR(Q287="실패",R287="실패"),"실패",IF(AND(P287="구현",T287&lt;&gt;"",U287&lt;&gt;"",V287&lt;&gt;"",W287&lt;&gt;"",ISNUMBER(X287),Y287="",OR(S287="수동",Q287="통과"),OR(S287="자동",R287="통과")),"통과","미검증")))</x:f>
        <x:v>미검증</x:v>
      </x:c>
      <x:c r="AA287" s="13" t="str"/>
      <x:c r="AB287" s="13" t="str">
        <x:v>S03</x:v>
      </x:c>
    </x:row>
    <x:row r="288" ht="24" customHeight="1">
      <x:c r="A288" s="14" t="str">
        <x:v>QA-009</x:v>
      </x:c>
      <x:c r="B288" s="14" t="str">
        <x:v>검증·운영·보고</x:v>
      </x:c>
      <x:c r="C288" s="14" t="str">
        <x:v>검증</x:v>
      </x:c>
      <x:c r="D288" s="14" t="str">
        <x:v>브라우저와 반응형</x:v>
      </x:c>
      <x:c r="E288" s="14" t="str">
        <x:v>지원 브라우저·화면폭·확대 조합을 정하고 검증한다.</x:v>
      </x:c>
      <x:c r="F288" s="14" t="str">
        <x:v>SRC-003</x:v>
      </x:c>
      <x:c r="G288" s="14" t="str"/>
      <x:c r="H288" s="14" t="str">
        <x:v>해당없음(사내 기준)</x:v>
      </x:c>
      <x:c r="I288" s="14" t="str">
        <x:v>MUST(안)</x:v>
      </x:c>
      <x:c r="J288" s="14" t="str">
        <x:v>적용</x:v>
      </x:c>
      <x:c r="K288" s="14" t="str">
        <x:v>현재 샘플의 회사 필수 기준으로 채택 제안</x:v>
      </x:c>
      <x:c r="L288" s="14" t="str">
        <x:v>PC와 모바일의 실제 지원행렬 작성</x:v>
      </x:c>
      <x:c r="M288" s="14" t="str">
        <x:v>지원환경별 실패·미실행·관찰결과 기록</x:v>
      </x:c>
      <x:c r="N288" s="14" t="str">
        <x:v>개발·QA</x:v>
      </x:c>
      <x:c r="O288" s="14" t="str">
        <x:v>P1</x:v>
      </x:c>
      <x:c r="P288" s="15" t="str">
        <x:v>계획</x:v>
      </x:c>
      <x:c r="Q288" s="15" t="str">
        <x:v>미실행</x:v>
      </x:c>
      <x:c r="R288" s="15" t="str">
        <x:v>미실행</x:v>
      </x:c>
      <x:c r="S288" s="15" t="str">
        <x:v>자동+수동</x:v>
      </x:c>
      <x:c r="T288" s="15" t="str"/>
      <x:c r="U288" s="15" t="str"/>
      <x:c r="V288" s="15" t="str"/>
      <x:c r="W288" s="15" t="str"/>
      <x:c r="X288" s="16" t="str"/>
      <x:c r="Y288" s="15" t="str"/>
      <x:c r="Z288" s="14" t="str">
        <x:f>IF(J288&lt;&gt;"적용","산정제외",IF(OR(Q288="실패",R288="실패"),"실패",IF(AND(P288="구현",T288&lt;&gt;"",U288&lt;&gt;"",V288&lt;&gt;"",W288&lt;&gt;"",ISNUMBER(X288),Y288="",OR(S288="수동",Q288="통과"),OR(S288="자동",R288="통과")),"통과","미검증")))</x:f>
        <x:v>미검증</x:v>
      </x:c>
      <x:c r="AA288" s="14" t="str"/>
      <x:c r="AB288" s="14" t="str">
        <x:v>S01~S08 / 공통</x:v>
      </x:c>
    </x:row>
    <x:row r="289" ht="37.5" customHeight="1">
      <x:c r="A289" s="13" t="str">
        <x:v>QA-010</x:v>
      </x:c>
      <x:c r="B289" s="13" t="str">
        <x:v>검증·운영·보고</x:v>
      </x:c>
      <x:c r="C289" s="13" t="str">
        <x:v>검증</x:v>
      </x:c>
      <x:c r="D289" s="13" t="str">
        <x:v>성능과 중단 복구</x:v>
      </x:c>
      <x:c r="E289" s="13" t="str">
        <x:v>기준 환경의 응답·로딩·취소·재시도 동작을 측정한다.</x:v>
      </x:c>
      <x:c r="F289" s="13" t="str">
        <x:v>SRC-003</x:v>
      </x:c>
      <x:c r="G289" s="13" t="str"/>
      <x:c r="H289" s="13" t="str">
        <x:v>해당없음(사내 기준)</x:v>
      </x:c>
      <x:c r="I289" s="13" t="str">
        <x:v>MUST(안)</x:v>
      </x:c>
      <x:c r="J289" s="13" t="str">
        <x:v>적용</x:v>
      </x:c>
      <x:c r="K289" s="13" t="str">
        <x:v>현재 샘플의 회사 필수 기준으로 채택 제안</x:v>
      </x:c>
      <x:c r="L289" s="13" t="str">
        <x:v>네트워크 실패와 지연 주입, 대용량 입력 경계</x:v>
      </x:c>
      <x:c r="M289" s="13" t="str">
        <x:v>환경·데이터량·측정법과 결과를 기록</x:v>
      </x:c>
      <x:c r="N289" s="13" t="str">
        <x:v>개발·QA</x:v>
      </x:c>
      <x:c r="O289" s="13" t="str">
        <x:v>P1</x:v>
      </x:c>
      <x:c r="P289" s="15" t="str">
        <x:v>계획</x:v>
      </x:c>
      <x:c r="Q289" s="15" t="str">
        <x:v>미실행</x:v>
      </x:c>
      <x:c r="R289" s="15" t="str">
        <x:v>미실행</x:v>
      </x:c>
      <x:c r="S289" s="15" t="str">
        <x:v>자동+수동</x:v>
      </x:c>
      <x:c r="T289" s="15" t="str"/>
      <x:c r="U289" s="15" t="str"/>
      <x:c r="V289" s="15" t="str"/>
      <x:c r="W289" s="15" t="str"/>
      <x:c r="X289" s="16" t="str"/>
      <x:c r="Y289" s="15" t="str"/>
      <x:c r="Z289" s="13" t="str">
        <x:f>IF(J289&lt;&gt;"적용","산정제외",IF(OR(Q289="실패",R289="실패"),"실패",IF(AND(P289="구현",T289&lt;&gt;"",U289&lt;&gt;"",V289&lt;&gt;"",W289&lt;&gt;"",ISNUMBER(X289),Y289="",OR(S289="수동",Q289="통과"),OR(S289="자동",R289="통과")),"통과","미검증")))</x:f>
        <x:v>미검증</x:v>
      </x:c>
      <x:c r="AA289" s="13" t="str"/>
      <x:c r="AB289" s="13" t="str">
        <x:v>S05</x:v>
      </x:c>
    </x:row>
    <x:row r="290" ht="37.5" customHeight="1">
      <x:c r="A290" s="14" t="str">
        <x:v>QA-011</x:v>
      </x:c>
      <x:c r="B290" s="14" t="str">
        <x:v>검증·운영·보고</x:v>
      </x:c>
      <x:c r="C290" s="14" t="str">
        <x:v>검증</x:v>
      </x:c>
      <x:c r="D290" s="14" t="str">
        <x:v>커버리지 범위 공개</x:v>
      </x:c>
      <x:c r="E290" s="14" t="str">
        <x:v>핵심 모듈의 line80%·branch70%를 초기 회사 목표로 검토한다.</x:v>
      </x:c>
      <x:c r="F290" s="14" t="str">
        <x:v>SRC-003</x:v>
      </x:c>
      <x:c r="G290" s="14" t="str"/>
      <x:c r="H290" s="14" t="str">
        <x:v>해당없음(사내 기준)</x:v>
      </x:c>
      <x:c r="I290" s="14" t="str">
        <x:v>MUST(안)</x:v>
      </x:c>
      <x:c r="J290" s="14" t="str">
        <x:v>적용</x:v>
      </x:c>
      <x:c r="K290" s="14" t="str">
        <x:v>현재 샘플의 회사 필수 기준으로 채택 제안</x:v>
      </x:c>
      <x:c r="L290" s="14" t="str">
        <x:v>대상/제외·산식·도구버전을 고정하고 실제 산출</x:v>
      </x:c>
      <x:c r="M290" s="14" t="str">
        <x:v>무의미한 테스트로 수치만 달성하지 않음</x:v>
      </x:c>
      <x:c r="N290" s="14" t="str">
        <x:v>개발·QA</x:v>
      </x:c>
      <x:c r="O290" s="14" t="str">
        <x:v>P1</x:v>
      </x:c>
      <x:c r="P290" s="15" t="str">
        <x:v>계획</x:v>
      </x:c>
      <x:c r="Q290" s="15" t="str">
        <x:v>미실행</x:v>
      </x:c>
      <x:c r="R290" s="15" t="str">
        <x:v>미실행</x:v>
      </x:c>
      <x:c r="S290" s="15" t="str">
        <x:v>자동+수동</x:v>
      </x:c>
      <x:c r="T290" s="15" t="str"/>
      <x:c r="U290" s="15" t="str"/>
      <x:c r="V290" s="15" t="str"/>
      <x:c r="W290" s="15" t="str"/>
      <x:c r="X290" s="16" t="str"/>
      <x:c r="Y290" s="15" t="str"/>
      <x:c r="Z290" s="14" t="str">
        <x:f>IF(J290&lt;&gt;"적용","산정제외",IF(OR(Q290="실패",R290="실패"),"실패",IF(AND(P290="구현",T290&lt;&gt;"",U290&lt;&gt;"",V290&lt;&gt;"",W290&lt;&gt;"",ISNUMBER(X290),Y290="",OR(S290="수동",Q290="통과"),OR(S290="자동",R290="통과")),"통과","미검증")))</x:f>
        <x:v>미검증</x:v>
      </x:c>
      <x:c r="AA290" s="14" t="str"/>
      <x:c r="AB290" s="14" t="str">
        <x:v>S01~S08 / 공통</x:v>
      </x:c>
    </x:row>
    <x:row r="291" ht="24" customHeight="1">
      <x:c r="A291" s="13" t="str">
        <x:v>QA-012</x:v>
      </x:c>
      <x:c r="B291" s="13" t="str">
        <x:v>검증·운영·보고</x:v>
      </x:c>
      <x:c r="C291" s="13" t="str">
        <x:v>검증</x:v>
      </x:c>
      <x:c r="D291" s="13" t="str">
        <x:v>품질 게이트와 재시험</x:v>
      </x:c>
      <x:c r="E291" s="13" t="str">
        <x:v>실패 수정 후 영향을 받는 검증을 재실행한다.</x:v>
      </x:c>
      <x:c r="F291" s="13" t="str">
        <x:v>SRC-003</x:v>
      </x:c>
      <x:c r="G291" s="13" t="str"/>
      <x:c r="H291" s="13" t="str">
        <x:v>해당없음(사내 기준)</x:v>
      </x:c>
      <x:c r="I291" s="13" t="str">
        <x:v>MUST(안)</x:v>
      </x:c>
      <x:c r="J291" s="13" t="str">
        <x:v>적용</x:v>
      </x:c>
      <x:c r="K291" s="13" t="str">
        <x:v>현재 샘플의 회사 필수 기준으로 채택 제안</x:v>
      </x:c>
      <x:c r="L291" s="13" t="str">
        <x:v>고위험 취약점·접근성 오류·필수 기능 gate 설정</x:v>
      </x:c>
      <x:c r="M291" s="13" t="str">
        <x:v>원인·수정commit·재실행·잔여항목 대조</x:v>
      </x:c>
      <x:c r="N291" s="13" t="str">
        <x:v>개발·QA</x:v>
      </x:c>
      <x:c r="O291" s="13" t="str">
        <x:v>P1</x:v>
      </x:c>
      <x:c r="P291" s="15" t="str">
        <x:v>계획</x:v>
      </x:c>
      <x:c r="Q291" s="15" t="str">
        <x:v>미실행</x:v>
      </x:c>
      <x:c r="R291" s="15" t="str">
        <x:v>미실행</x:v>
      </x:c>
      <x:c r="S291" s="15" t="str">
        <x:v>자동+수동</x:v>
      </x:c>
      <x:c r="T291" s="15" t="str"/>
      <x:c r="U291" s="15" t="str"/>
      <x:c r="V291" s="15" t="str"/>
      <x:c r="W291" s="15" t="str"/>
      <x:c r="X291" s="16" t="str"/>
      <x:c r="Y291" s="15" t="str"/>
      <x:c r="Z291" s="13" t="str">
        <x:f>IF(J291&lt;&gt;"적용","산정제외",IF(OR(Q291="실패",R291="실패"),"실패",IF(AND(P291="구현",T291&lt;&gt;"",U291&lt;&gt;"",V291&lt;&gt;"",W291&lt;&gt;"",ISNUMBER(X291),Y291="",OR(S291="수동",Q291="통과"),OR(S291="자동",R291="통과")),"통과","미검증")))</x:f>
        <x:v>미검증</x:v>
      </x:c>
      <x:c r="AA291" s="13" t="str"/>
      <x:c r="AB291" s="13" t="str">
        <x:v>S05</x:v>
      </x:c>
    </x:row>
    <x:row r="292" ht="24" customHeight="1">
      <x:c r="A292" s="14" t="str">
        <x:v>OPS-001</x:v>
      </x:c>
      <x:c r="B292" s="14" t="str">
        <x:v>검증·운영·보고</x:v>
      </x:c>
      <x:c r="C292" s="14" t="str">
        <x:v>운영</x:v>
      </x:c>
      <x:c r="D292" s="14" t="str">
        <x:v>환경과 비밀 분리</x:v>
      </x:c>
      <x:c r="E292" s="14" t="str">
        <x:v>개발·시험·운영 설정과 비밀 주입 경로를 분리한다.</x:v>
      </x:c>
      <x:c r="F292" s="14" t="str">
        <x:v>SRC-003</x:v>
      </x:c>
      <x:c r="G292" s="14" t="str"/>
      <x:c r="H292" s="14" t="str">
        <x:v>해당없음(사내 기준)</x:v>
      </x:c>
      <x:c r="I292" s="14" t="str">
        <x:v>MUST(안)</x:v>
      </x:c>
      <x:c r="J292" s="14" t="str">
        <x:v>적용</x:v>
      </x:c>
      <x:c r="K292" s="14" t="str">
        <x:v>현재 샘플의 회사 필수 기준으로 채택 제안</x:v>
      </x:c>
      <x:c r="L292" s="14" t="str">
        <x:v>env 예제·설정검증·운영 seed 차단</x:v>
      </x:c>
      <x:c r="M292" s="14" t="str">
        <x:v>비밀 미포함·설정누락 실패·모드별 동작 확인</x:v>
      </x:c>
      <x:c r="N292" s="14" t="str">
        <x:v>개발·QA</x:v>
      </x:c>
      <x:c r="O292" s="14" t="str">
        <x:v>P1</x:v>
      </x:c>
      <x:c r="P292" s="15" t="str">
        <x:v>계획</x:v>
      </x:c>
      <x:c r="Q292" s="15" t="str">
        <x:v>미실행</x:v>
      </x:c>
      <x:c r="R292" s="15" t="str">
        <x:v>미실행</x:v>
      </x:c>
      <x:c r="S292" s="15" t="str">
        <x:v>자동+수동</x:v>
      </x:c>
      <x:c r="T292" s="15" t="str"/>
      <x:c r="U292" s="15" t="str"/>
      <x:c r="V292" s="15" t="str"/>
      <x:c r="W292" s="15" t="str"/>
      <x:c r="X292" s="16" t="str"/>
      <x:c r="Y292" s="15" t="str"/>
      <x:c r="Z292" s="14" t="str">
        <x:f>IF(J292&lt;&gt;"적용","산정제외",IF(OR(Q292="실패",R292="실패"),"실패",IF(AND(P292="구현",T292&lt;&gt;"",U292&lt;&gt;"",V292&lt;&gt;"",W292&lt;&gt;"",ISNUMBER(X292),Y292="",OR(S292="수동",Q292="통과"),OR(S292="자동",R292="통과")),"통과","미검증")))</x:f>
        <x:v>미검증</x:v>
      </x:c>
      <x:c r="AA292" s="14" t="str"/>
      <x:c r="AB292" s="14" t="str">
        <x:v>S01~S08 / 공통</x:v>
      </x:c>
    </x:row>
    <x:row r="293" ht="24" customHeight="1">
      <x:c r="A293" s="13" t="str">
        <x:v>OPS-002</x:v>
      </x:c>
      <x:c r="B293" s="13" t="str">
        <x:v>검증·운영·보고</x:v>
      </x:c>
      <x:c r="C293" s="13" t="str">
        <x:v>운영</x:v>
      </x:c>
      <x:c r="D293" s="13" t="str">
        <x:v>DB 마이그레이션</x:v>
      </x:c>
      <x:c r="E293" s="13" t="str">
        <x:v>스키마 변경과 실패 복구 절차를 버전관리한다.</x:v>
      </x:c>
      <x:c r="F293" s="13" t="str">
        <x:v>SRC-003</x:v>
      </x:c>
      <x:c r="G293" s="13" t="str"/>
      <x:c r="H293" s="13" t="str">
        <x:v>해당없음(사내 기준)</x:v>
      </x:c>
      <x:c r="I293" s="13" t="str">
        <x:v>MUST(안)</x:v>
      </x:c>
      <x:c r="J293" s="13" t="str">
        <x:v>적용</x:v>
      </x:c>
      <x:c r="K293" s="13" t="str">
        <x:v>현재 샘플의 회사 필수 기준으로 채택 제안</x:v>
      </x:c>
      <x:c r="L293" s="13" t="str">
        <x:v>EF Core migration과 샘플 초기화 명령</x:v>
      </x:c>
      <x:c r="M293" s="13" t="str">
        <x:v>빈DB·기존DB 업그레이드·롤백/복원 절차</x:v>
      </x:c>
      <x:c r="N293" s="13" t="str">
        <x:v>개발·QA</x:v>
      </x:c>
      <x:c r="O293" s="13" t="str">
        <x:v>P1</x:v>
      </x:c>
      <x:c r="P293" s="15" t="str">
        <x:v>계획</x:v>
      </x:c>
      <x:c r="Q293" s="15" t="str">
        <x:v>미실행</x:v>
      </x:c>
      <x:c r="R293" s="15" t="str">
        <x:v>미실행</x:v>
      </x:c>
      <x:c r="S293" s="15" t="str">
        <x:v>자동+수동</x:v>
      </x:c>
      <x:c r="T293" s="15" t="str"/>
      <x:c r="U293" s="15" t="str"/>
      <x:c r="V293" s="15" t="str"/>
      <x:c r="W293" s="15" t="str"/>
      <x:c r="X293" s="16" t="str"/>
      <x:c r="Y293" s="15" t="str"/>
      <x:c r="Z293" s="13" t="str">
        <x:f>IF(J293&lt;&gt;"적용","산정제외",IF(OR(Q293="실패",R293="실패"),"실패",IF(AND(P293="구현",T293&lt;&gt;"",U293&lt;&gt;"",V293&lt;&gt;"",W293&lt;&gt;"",ISNUMBER(X293),Y293="",OR(S293="수동",Q293="통과"),OR(S293="자동",R293="통과")),"통과","미검증")))</x:f>
        <x:v>미검증</x:v>
      </x:c>
      <x:c r="AA293" s="13" t="str"/>
      <x:c r="AB293" s="13" t="str">
        <x:v>S01~S08 / 공통</x:v>
      </x:c>
    </x:row>
    <x:row r="294" ht="24" customHeight="1">
      <x:c r="A294" s="14" t="str">
        <x:v>OPS-003</x:v>
      </x:c>
      <x:c r="B294" s="14" t="str">
        <x:v>검증·운영·보고</x:v>
      </x:c>
      <x:c r="C294" s="14" t="str">
        <x:v>운영</x:v>
      </x:c>
      <x:c r="D294" s="14" t="str">
        <x:v>백업과 복원</x:v>
      </x:c>
      <x:c r="E294" s="14" t="str">
        <x:v>DB와 첨부의 일관성 있는 백업/복원을 설명한다.</x:v>
      </x:c>
      <x:c r="F294" s="14" t="str">
        <x:v>SRC-003</x:v>
      </x:c>
      <x:c r="G294" s="14" t="str"/>
      <x:c r="H294" s="14" t="str">
        <x:v>해당없음(사내 기준)</x:v>
      </x:c>
      <x:c r="I294" s="14" t="str">
        <x:v>MUST(안)</x:v>
      </x:c>
      <x:c r="J294" s="14" t="str">
        <x:v>적용</x:v>
      </x:c>
      <x:c r="K294" s="14" t="str">
        <x:v>현재 샘플의 회사 필수 기준으로 채택 제안</x:v>
      </x:c>
      <x:c r="L294" s="14" t="str">
        <x:v>로컬 파일DB·첨부의 백업 대상과 복원 순서</x:v>
      </x:c>
      <x:c r="M294" s="14" t="str">
        <x:v>실제 복원 데이터·권한·참조 무결성 확인</x:v>
      </x:c>
      <x:c r="N294" s="14" t="str">
        <x:v>개발·QA</x:v>
      </x:c>
      <x:c r="O294" s="14" t="str">
        <x:v>P1</x:v>
      </x:c>
      <x:c r="P294" s="15" t="str">
        <x:v>계획</x:v>
      </x:c>
      <x:c r="Q294" s="15" t="str">
        <x:v>미실행</x:v>
      </x:c>
      <x:c r="R294" s="15" t="str">
        <x:v>미실행</x:v>
      </x:c>
      <x:c r="S294" s="15" t="str">
        <x:v>자동+수동</x:v>
      </x:c>
      <x:c r="T294" s="15" t="str"/>
      <x:c r="U294" s="15" t="str"/>
      <x:c r="V294" s="15" t="str"/>
      <x:c r="W294" s="15" t="str"/>
      <x:c r="X294" s="16" t="str"/>
      <x:c r="Y294" s="15" t="str"/>
      <x:c r="Z294" s="14" t="str">
        <x:f>IF(J294&lt;&gt;"적용","산정제외",IF(OR(Q294="실패",R294="실패"),"실패",IF(AND(P294="구현",T294&lt;&gt;"",U294&lt;&gt;"",V294&lt;&gt;"",W294&lt;&gt;"",ISNUMBER(X294),Y294="",OR(S294="수동",Q294="통과"),OR(S294="자동",R294="통과")),"통과","미검증")))</x:f>
        <x:v>미검증</x:v>
      </x:c>
      <x:c r="AA294" s="14" t="str"/>
      <x:c r="AB294" s="14" t="str">
        <x:v>S04, S05</x:v>
      </x:c>
    </x:row>
    <x:row r="295" ht="24" customHeight="1">
      <x:c r="A295" s="13" t="str">
        <x:v>OPS-004</x:v>
      </x:c>
      <x:c r="B295" s="13" t="str">
        <x:v>검증·운영·보고</x:v>
      </x:c>
      <x:c r="C295" s="13" t="str">
        <x:v>운영</x:v>
      </x:c>
      <x:c r="D295" s="13" t="str">
        <x:v>로그와 상태진단</x:v>
      </x:c>
      <x:c r="E295" s="13" t="str">
        <x:v>오류 추적과 서비스 상태를 운영자가 확인한다.</x:v>
      </x:c>
      <x:c r="F295" s="13" t="str">
        <x:v>SRC-003</x:v>
      </x:c>
      <x:c r="G295" s="13" t="str"/>
      <x:c r="H295" s="13" t="str">
        <x:v>해당없음(사내 기준)</x:v>
      </x:c>
      <x:c r="I295" s="13" t="str">
        <x:v>MUST(안)</x:v>
      </x:c>
      <x:c r="J295" s="13" t="str">
        <x:v>적용</x:v>
      </x:c>
      <x:c r="K295" s="13" t="str">
        <x:v>현재 샘플의 회사 필수 기준으로 채택 제안</x:v>
      </x:c>
      <x:c r="L295" s="13" t="str">
        <x:v>추적ID·구조화 로그·health endpoint</x:v>
      </x:c>
      <x:c r="M295" s="13" t="str">
        <x:v>민감정보 비노출·오류 원인 추적 가능 확인</x:v>
      </x:c>
      <x:c r="N295" s="13" t="str">
        <x:v>개발·QA</x:v>
      </x:c>
      <x:c r="O295" s="13" t="str">
        <x:v>P1</x:v>
      </x:c>
      <x:c r="P295" s="15" t="str">
        <x:v>계획</x:v>
      </x:c>
      <x:c r="Q295" s="15" t="str">
        <x:v>미실행</x:v>
      </x:c>
      <x:c r="R295" s="15" t="str">
        <x:v>미실행</x:v>
      </x:c>
      <x:c r="S295" s="15" t="str">
        <x:v>자동+수동</x:v>
      </x:c>
      <x:c r="T295" s="15" t="str"/>
      <x:c r="U295" s="15" t="str"/>
      <x:c r="V295" s="15" t="str"/>
      <x:c r="W295" s="15" t="str"/>
      <x:c r="X295" s="16" t="str"/>
      <x:c r="Y295" s="15" t="str"/>
      <x:c r="Z295" s="13" t="str">
        <x:f>IF(J295&lt;&gt;"적용","산정제외",IF(OR(Q295="실패",R295="실패"),"실패",IF(AND(P295="구현",T295&lt;&gt;"",U295&lt;&gt;"",V295&lt;&gt;"",W295&lt;&gt;"",ISNUMBER(X295),Y295="",OR(S295="수동",Q295="통과"),OR(S295="자동",R295="통과")),"통과","미검증")))</x:f>
        <x:v>미검증</x:v>
      </x:c>
      <x:c r="AA295" s="13" t="str"/>
      <x:c r="AB295" s="13" t="str">
        <x:v>S01~S08 / 공통</x:v>
      </x:c>
    </x:row>
    <x:row r="296" ht="24" customHeight="1">
      <x:c r="A296" s="14" t="str">
        <x:v>OPS-005</x:v>
      </x:c>
      <x:c r="B296" s="14" t="str">
        <x:v>검증·운영·보고</x:v>
      </x:c>
      <x:c r="C296" s="14" t="str">
        <x:v>운영</x:v>
      </x:c>
      <x:c r="D296" s="14" t="str">
        <x:v>지원 버전과 공급망</x:v>
      </x:c>
      <x:c r="E296" s="14" t="str">
        <x:v>지원 종료·취약점·라이선스 변경을 정기 재검토한다.</x:v>
      </x:c>
      <x:c r="F296" s="14" t="str">
        <x:v>SRC-003</x:v>
      </x:c>
      <x:c r="G296" s="14" t="str"/>
      <x:c r="H296" s="14" t="str">
        <x:v>해당없음(사내 기준)</x:v>
      </x:c>
      <x:c r="I296" s="14" t="str">
        <x:v>MUST(안)</x:v>
      </x:c>
      <x:c r="J296" s="14" t="str">
        <x:v>적용</x:v>
      </x:c>
      <x:c r="K296" s="14" t="str">
        <x:v>현재 샘플의 회사 필수 기준으로 채택 제안</x:v>
      </x:c>
      <x:c r="L296" s="14" t="str">
        <x:v>SDK/패키지 버전·SBOM·검토주기 기록</x:v>
      </x:c>
      <x:c r="M296" s="14" t="str">
        <x:v>지원 상태와 실제 의존성 목록 대조</x:v>
      </x:c>
      <x:c r="N296" s="14" t="str">
        <x:v>개발·QA</x:v>
      </x:c>
      <x:c r="O296" s="14" t="str">
        <x:v>P1</x:v>
      </x:c>
      <x:c r="P296" s="15" t="str">
        <x:v>계획</x:v>
      </x:c>
      <x:c r="Q296" s="15" t="str">
        <x:v>미실행</x:v>
      </x:c>
      <x:c r="R296" s="15" t="str">
        <x:v>미실행</x:v>
      </x:c>
      <x:c r="S296" s="15" t="str">
        <x:v>자동+수동</x:v>
      </x:c>
      <x:c r="T296" s="15" t="str"/>
      <x:c r="U296" s="15" t="str"/>
      <x:c r="V296" s="15" t="str"/>
      <x:c r="W296" s="15" t="str"/>
      <x:c r="X296" s="16" t="str"/>
      <x:c r="Y296" s="15" t="str"/>
      <x:c r="Z296" s="14" t="str">
        <x:f>IF(J296&lt;&gt;"적용","산정제외",IF(OR(Q296="실패",R296="실패"),"실패",IF(AND(P296="구현",T296&lt;&gt;"",U296&lt;&gt;"",V296&lt;&gt;"",W296&lt;&gt;"",ISNUMBER(X296),Y296="",OR(S296="수동",Q296="통과"),OR(S296="자동",R296="통과")),"통과","미검증")))</x:f>
        <x:v>미검증</x:v>
      </x:c>
      <x:c r="AA296" s="14" t="str"/>
      <x:c r="AB296" s="14" t="str">
        <x:v>S01~S08 / 공통</x:v>
      </x:c>
    </x:row>
    <x:row r="297" ht="37.5" customHeight="1">
      <x:c r="A297" s="13" t="str">
        <x:v>OPS-006</x:v>
      </x:c>
      <x:c r="B297" s="13" t="str">
        <x:v>검증·운영·보고</x:v>
      </x:c>
      <x:c r="C297" s="13" t="str">
        <x:v>운영</x:v>
      </x:c>
      <x:c r="D297" s="13" t="str">
        <x:v>운영 인수와 배포</x:v>
      </x:c>
      <x:c r="E297" s="13" t="str">
        <x:v>로컬 검증·CI 설정·실제 배포 성공을 별도로 기록한다.</x:v>
      </x:c>
      <x:c r="F297" s="13" t="str">
        <x:v>SRC-003</x:v>
      </x:c>
      <x:c r="G297" s="13" t="str"/>
      <x:c r="H297" s="13" t="str">
        <x:v>해당없음(사내 기준)</x:v>
      </x:c>
      <x:c r="I297" s="13" t="str">
        <x:v>MUST(안)</x:v>
      </x:c>
      <x:c r="J297" s="13" t="str">
        <x:v>적용</x:v>
      </x:c>
      <x:c r="K297" s="13" t="str">
        <x:v>현재 샘플의 회사 필수 기준으로 채택 제안</x:v>
      </x:c>
      <x:c r="L297" s="13" t="str">
        <x:v>실행/중지/설정/복구 RUNBOOK과 인수 항목</x:v>
      </x:c>
      <x:c r="M297" s="13" t="str">
        <x:v>새 환경 재현과 운영 전 미조치 목록 검토</x:v>
      </x:c>
      <x:c r="N297" s="13" t="str">
        <x:v>개발·QA</x:v>
      </x:c>
      <x:c r="O297" s="13" t="str">
        <x:v>P1</x:v>
      </x:c>
      <x:c r="P297" s="15" t="str">
        <x:v>계획</x:v>
      </x:c>
      <x:c r="Q297" s="15" t="str">
        <x:v>미실행</x:v>
      </x:c>
      <x:c r="R297" s="15" t="str">
        <x:v>미실행</x:v>
      </x:c>
      <x:c r="S297" s="15" t="str">
        <x:v>수동</x:v>
      </x:c>
      <x:c r="T297" s="15" t="str"/>
      <x:c r="U297" s="15" t="str"/>
      <x:c r="V297" s="15" t="str"/>
      <x:c r="W297" s="15" t="str"/>
      <x:c r="X297" s="16" t="str"/>
      <x:c r="Y297" s="15" t="str"/>
      <x:c r="Z297" s="13" t="str">
        <x:f>IF(J297&lt;&gt;"적용","산정제외",IF(OR(Q297="실패",R297="실패"),"실패",IF(AND(P297="구현",T297&lt;&gt;"",U297&lt;&gt;"",V297&lt;&gt;"",W297&lt;&gt;"",ISNUMBER(X297),Y297="",OR(S297="수동",Q297="통과"),OR(S297="자동",R297="통과")),"통과","미검증")))</x:f>
        <x:v>미검증</x:v>
      </x:c>
      <x:c r="AA297" s="13" t="str"/>
      <x:c r="AB297" s="13" t="str">
        <x:v>S01~S08 / 공통</x:v>
      </x:c>
    </x:row>
    <x:row r="298" ht="37.5" customHeight="1">
      <x:c r="A298" s="14" t="str">
        <x:v>DOC-001</x:v>
      </x:c>
      <x:c r="B298" s="14" t="str">
        <x:v>검증·운영·보고</x:v>
      </x:c>
      <x:c r="C298" s="14" t="str">
        <x:v>보고·추적</x:v>
      </x:c>
      <x:c r="D298" s="14" t="str">
        <x:v>단일 원장</x:v>
      </x:c>
      <x:c r="E298" s="14" t="str">
        <x:v>표준 정의와 적용·증빙 기록에서 Excel/PPT를 함께 생성한다.</x:v>
      </x:c>
      <x:c r="F298" s="14" t="str">
        <x:v>SRC-003</x:v>
      </x:c>
      <x:c r="G298" s="14" t="str"/>
      <x:c r="H298" s="14" t="str">
        <x:v>해당없음(사내 기준)</x:v>
      </x:c>
      <x:c r="I298" s="14" t="str">
        <x:v>MUST(안)</x:v>
      </x:c>
      <x:c r="J298" s="14" t="str">
        <x:v>적용</x:v>
      </x:c>
      <x:c r="K298" s="14" t="str">
        <x:v>현재 샘플의 회사 필수 기준으로 채택 제안</x:v>
      </x:c>
      <x:c r="L298" s="14" t="str">
        <x:v>catalog와 application/evidence JSON 분리</x:v>
      </x:c>
      <x:c r="M298" s="14" t="str">
        <x:v>규칙ID 중복·누락과 파일간 집계 일치 확인</x:v>
      </x:c>
      <x:c r="N298" s="14" t="str">
        <x:v>개발·QA</x:v>
      </x:c>
      <x:c r="O298" s="14" t="str">
        <x:v>P1</x:v>
      </x:c>
      <x:c r="P298" s="15" t="str">
        <x:v>계획</x:v>
      </x:c>
      <x:c r="Q298" s="15" t="str">
        <x:v>미실행</x:v>
      </x:c>
      <x:c r="R298" s="15" t="str">
        <x:v>미실행</x:v>
      </x:c>
      <x:c r="S298" s="15" t="str">
        <x:v>자동</x:v>
      </x:c>
      <x:c r="T298" s="15" t="str"/>
      <x:c r="U298" s="15" t="str"/>
      <x:c r="V298" s="15" t="str"/>
      <x:c r="W298" s="15" t="str"/>
      <x:c r="X298" s="16" t="str"/>
      <x:c r="Y298" s="15" t="str"/>
      <x:c r="Z298" s="14" t="str">
        <x:f>IF(J298&lt;&gt;"적용","산정제외",IF(OR(Q298="실패",R298="실패"),"실패",IF(AND(P298="구현",T298&lt;&gt;"",U298&lt;&gt;"",V298&lt;&gt;"",W298&lt;&gt;"",ISNUMBER(X298),Y298="",OR(S298="수동",Q298="통과"),OR(S298="자동",R298="통과")),"통과","미검증")))</x:f>
        <x:v>미검증</x:v>
      </x:c>
      <x:c r="AA298" s="14" t="str"/>
      <x:c r="AB298" s="14" t="str">
        <x:v>S01~S08 / 공통</x:v>
      </x:c>
    </x:row>
    <x:row r="299" ht="37.5" customHeight="1">
      <x:c r="A299" s="13" t="str">
        <x:v>DOC-002</x:v>
      </x:c>
      <x:c r="B299" s="13" t="str">
        <x:v>검증·운영·보고</x:v>
      </x:c>
      <x:c r="C299" s="13" t="str">
        <x:v>보고·추적</x:v>
      </x:c>
      <x:c r="D299" s="13" t="str">
        <x:v>증빙의 재현성</x:v>
      </x:c>
      <x:c r="E299" s="13" t="str">
        <x:v>시험시각·commit·도구·명령·환경·종료코드·hash를 남긴다.</x:v>
      </x:c>
      <x:c r="F299" s="13" t="str">
        <x:v>SRC-003</x:v>
      </x:c>
      <x:c r="G299" s="13" t="str"/>
      <x:c r="H299" s="13" t="str">
        <x:v>해당없음(사내 기준)</x:v>
      </x:c>
      <x:c r="I299" s="13" t="str">
        <x:v>MUST(안)</x:v>
      </x:c>
      <x:c r="J299" s="13" t="str">
        <x:v>적용</x:v>
      </x:c>
      <x:c r="K299" s="13" t="str">
        <x:v>현재 샘플의 회사 필수 기준으로 채택 제안</x:v>
      </x:c>
      <x:c r="L299" s="13" t="str">
        <x:v>실제 실행별 evidence manifest 생성</x:v>
      </x:c>
      <x:c r="M299" s="13" t="str">
        <x:v>경로존재·hash·commit 일치와 실제 로그 확인</x:v>
      </x:c>
      <x:c r="N299" s="13" t="str">
        <x:v>개발·QA</x:v>
      </x:c>
      <x:c r="O299" s="13" t="str">
        <x:v>P1</x:v>
      </x:c>
      <x:c r="P299" s="15" t="str">
        <x:v>계획</x:v>
      </x:c>
      <x:c r="Q299" s="15" t="str">
        <x:v>미실행</x:v>
      </x:c>
      <x:c r="R299" s="15" t="str">
        <x:v>미실행</x:v>
      </x:c>
      <x:c r="S299" s="15" t="str">
        <x:v>자동+수동</x:v>
      </x:c>
      <x:c r="T299" s="15" t="str"/>
      <x:c r="U299" s="15" t="str"/>
      <x:c r="V299" s="15" t="str"/>
      <x:c r="W299" s="15" t="str"/>
      <x:c r="X299" s="16" t="str"/>
      <x:c r="Y299" s="15" t="str"/>
      <x:c r="Z299" s="13" t="str">
        <x:f>IF(J299&lt;&gt;"적용","산정제외",IF(OR(Q299="실패",R299="실패"),"실패",IF(AND(P299="구현",T299&lt;&gt;"",U299&lt;&gt;"",V299&lt;&gt;"",W299&lt;&gt;"",ISNUMBER(X299),Y299="",OR(S299="수동",Q299="통과"),OR(S299="자동",R299="통과")),"통과","미검증")))</x:f>
        <x:v>미검증</x:v>
      </x:c>
      <x:c r="AA299" s="13" t="str"/>
      <x:c r="AB299" s="13" t="str">
        <x:v>S01~S08 / 공통</x:v>
      </x:c>
    </x:row>
    <x:row r="300" ht="37.5" customHeight="1">
      <x:c r="A300" s="14" t="str">
        <x:v>DOC-003</x:v>
      </x:c>
      <x:c r="B300" s="14" t="str">
        <x:v>검증·운영·보고</x:v>
      </x:c>
      <x:c r="C300" s="14" t="str">
        <x:v>보고·추적</x:v>
      </x:c>
      <x:c r="D300" s="14" t="str">
        <x:v>통과의 전제조건</x:v>
      </x:c>
      <x:c r="E300" s="14" t="str">
        <x:v>구현·필요 자동/수동 시험·증빙·검토가 모두 있어야 통과다.</x:v>
      </x:c>
      <x:c r="F300" s="14" t="str">
        <x:v>SRC-003</x:v>
      </x:c>
      <x:c r="G300" s="14" t="str"/>
      <x:c r="H300" s="14" t="str">
        <x:v>해당없음(사내 기준)</x:v>
      </x:c>
      <x:c r="I300" s="14" t="str">
        <x:v>MUST(안)</x:v>
      </x:c>
      <x:c r="J300" s="14" t="str">
        <x:v>적용</x:v>
      </x:c>
      <x:c r="K300" s="14" t="str">
        <x:v>현재 샘플의 회사 필수 기준으로 채택 제안</x:v>
      </x:c>
      <x:c r="L300" s="14" t="str">
        <x:v>증빙 없는 PASS를 집계에서 제외</x:v>
      </x:c>
      <x:c r="M300" s="14" t="str">
        <x:v>일부 필드만 채운 상태가 통과되지 않음을 확인</x:v>
      </x:c>
      <x:c r="N300" s="14" t="str">
        <x:v>개발·QA</x:v>
      </x:c>
      <x:c r="O300" s="14" t="str">
        <x:v>P1</x:v>
      </x:c>
      <x:c r="P300" s="15" t="str">
        <x:v>계획</x:v>
      </x:c>
      <x:c r="Q300" s="15" t="str">
        <x:v>미실행</x:v>
      </x:c>
      <x:c r="R300" s="15" t="str">
        <x:v>미실행</x:v>
      </x:c>
      <x:c r="S300" s="15" t="str">
        <x:v>자동</x:v>
      </x:c>
      <x:c r="T300" s="15" t="str"/>
      <x:c r="U300" s="15" t="str"/>
      <x:c r="V300" s="15" t="str"/>
      <x:c r="W300" s="15" t="str"/>
      <x:c r="X300" s="16" t="str"/>
      <x:c r="Y300" s="15" t="str"/>
      <x:c r="Z300" s="14" t="str">
        <x:f>IF(J300&lt;&gt;"적용","산정제외",IF(OR(Q300="실패",R300="실패"),"실패",IF(AND(P300="구현",T300&lt;&gt;"",U300&lt;&gt;"",V300&lt;&gt;"",W300&lt;&gt;"",ISNUMBER(X300),Y300="",OR(S300="수동",Q300="통과"),OR(S300="자동",R300="통과")),"통과","미검증")))</x:f>
        <x:v>미검증</x:v>
      </x:c>
      <x:c r="AA300" s="14" t="str"/>
      <x:c r="AB300" s="14" t="str">
        <x:v>S01~S08 / 공통</x:v>
      </x:c>
    </x:row>
    <x:row r="301" ht="24" customHeight="1">
      <x:c r="A301" s="13" t="str">
        <x:v>DOC-004</x:v>
      </x:c>
      <x:c r="B301" s="13" t="str">
        <x:v>검증·운영·보고</x:v>
      </x:c>
      <x:c r="C301" s="13" t="str">
        <x:v>보고·추적</x:v>
      </x:c>
      <x:c r="D301" s="13" t="str">
        <x:v>예외와 미실행 구분</x:v>
      </x:c>
      <x:c r="E301" s="13" t="str">
        <x:v>공식 허용 예외·회사 편차·미실행을 분리한다.</x:v>
      </x:c>
      <x:c r="F301" s="13" t="str">
        <x:v>SRC-003</x:v>
      </x:c>
      <x:c r="G301" s="13" t="str"/>
      <x:c r="H301" s="13" t="str">
        <x:v>해당없음(사내 기준)</x:v>
      </x:c>
      <x:c r="I301" s="13" t="str">
        <x:v>MUST(안)</x:v>
      </x:c>
      <x:c r="J301" s="13" t="str">
        <x:v>적용</x:v>
      </x:c>
      <x:c r="K301" s="13" t="str">
        <x:v>현재 샘플의 회사 필수 기준으로 채택 제안</x:v>
      </x:c>
      <x:c r="L301" s="13" t="str">
        <x:v>공식조항/조건증빙과 회사 승인/만료일 별도</x:v>
      </x:c>
      <x:c r="M301" s="13" t="str">
        <x:v>회사 승인 편차를 외부표준 PASS로 집계 금지</x:v>
      </x:c>
      <x:c r="N301" s="13" t="str">
        <x:v>개발·QA</x:v>
      </x:c>
      <x:c r="O301" s="13" t="str">
        <x:v>P1</x:v>
      </x:c>
      <x:c r="P301" s="15" t="str">
        <x:v>계획</x:v>
      </x:c>
      <x:c r="Q301" s="15" t="str">
        <x:v>미실행</x:v>
      </x:c>
      <x:c r="R301" s="15" t="str">
        <x:v>미실행</x:v>
      </x:c>
      <x:c r="S301" s="15" t="str">
        <x:v>수동</x:v>
      </x:c>
      <x:c r="T301" s="15" t="str"/>
      <x:c r="U301" s="15" t="str"/>
      <x:c r="V301" s="15" t="str"/>
      <x:c r="W301" s="15" t="str"/>
      <x:c r="X301" s="16" t="str"/>
      <x:c r="Y301" s="15" t="str"/>
      <x:c r="Z301" s="13" t="str">
        <x:f>IF(J301&lt;&gt;"적용","산정제외",IF(OR(Q301="실패",R301="실패"),"실패",IF(AND(P301="구현",T301&lt;&gt;"",U301&lt;&gt;"",V301&lt;&gt;"",W301&lt;&gt;"",ISNUMBER(X301),Y301="",OR(S301="수동",Q301="통과"),OR(S301="자동",R301="통과")),"통과","미검증")))</x:f>
        <x:v>미검증</x:v>
      </x:c>
      <x:c r="AA301" s="13" t="str"/>
      <x:c r="AB301" s="13" t="str">
        <x:v>S01~S08 / 공통</x:v>
      </x:c>
    </x:row>
    <x:row r="302" ht="37.5" customHeight="1">
      <x:c r="A302" s="14" t="str">
        <x:v>DOC-005</x:v>
      </x:c>
      <x:c r="B302" s="14" t="str">
        <x:v>검증·운영·보고</x:v>
      </x:c>
      <x:c r="C302" s="14" t="str">
        <x:v>보고·추적</x:v>
      </x:c>
      <x:c r="D302" s="14" t="str">
        <x:v>접근 가능한 보고서</x:v>
      </x:c>
      <x:c r="E302" s="14" t="str">
        <x:v>편집 가능한 표·제목·대체텍스트·대비와 HTML 대안을 제공한다.</x:v>
      </x:c>
      <x:c r="F302" s="14" t="str">
        <x:v>SRC-003</x:v>
      </x:c>
      <x:c r="G302" s="14" t="str"/>
      <x:c r="H302" s="14" t="str">
        <x:v>해당없음(사내 기준)</x:v>
      </x:c>
      <x:c r="I302" s="14" t="str">
        <x:v>MUST(안)</x:v>
      </x:c>
      <x:c r="J302" s="14" t="str">
        <x:v>적용</x:v>
      </x:c>
      <x:c r="K302" s="14" t="str">
        <x:v>현재 샘플의 회사 필수 기준으로 채택 제안</x:v>
      </x:c>
      <x:c r="L302" s="14" t="str">
        <x:v>PPT native objects, Excel 헤더/필터, HTML 보고서</x:v>
      </x:c>
      <x:c r="M302" s="14" t="str">
        <x:v>읽기순서·텍스트 검색·배율·시각 QA</x:v>
      </x:c>
      <x:c r="N302" s="14" t="str">
        <x:v>개발·QA</x:v>
      </x:c>
      <x:c r="O302" s="14" t="str">
        <x:v>P1</x:v>
      </x:c>
      <x:c r="P302" s="15" t="str">
        <x:v>계획</x:v>
      </x:c>
      <x:c r="Q302" s="15" t="str">
        <x:v>미실행</x:v>
      </x:c>
      <x:c r="R302" s="15" t="str">
        <x:v>미실행</x:v>
      </x:c>
      <x:c r="S302" s="15" t="str">
        <x:v>수동</x:v>
      </x:c>
      <x:c r="T302" s="15" t="str"/>
      <x:c r="U302" s="15" t="str"/>
      <x:c r="V302" s="15" t="str"/>
      <x:c r="W302" s="15" t="str"/>
      <x:c r="X302" s="16" t="str"/>
      <x:c r="Y302" s="15" t="str"/>
      <x:c r="Z302" s="14" t="str">
        <x:f>IF(J302&lt;&gt;"적용","산정제외",IF(OR(Q302="실패",R302="실패"),"실패",IF(AND(P302="구현",T302&lt;&gt;"",U302&lt;&gt;"",V302&lt;&gt;"",W302&lt;&gt;"",ISNUMBER(X302),Y302="",OR(S302="수동",Q302="통과"),OR(S302="자동",R302="통과")),"통과","미검증")))</x:f>
        <x:v>미검증</x:v>
      </x:c>
      <x:c r="AA302" s="14" t="str"/>
      <x:c r="AB302" s="14" t="str">
        <x:v>S03</x:v>
      </x:c>
    </x:row>
    <x:row r="303" ht="24" customHeight="1">
      <x:c r="A303" s="13" t="str">
        <x:v>DOC-006</x:v>
      </x:c>
      <x:c r="B303" s="13" t="str">
        <x:v>검증·운영·보고</x:v>
      </x:c>
      <x:c r="C303" s="13" t="str">
        <x:v>보고·추적</x:v>
      </x:c>
      <x:c r="D303" s="13" t="str">
        <x:v>변경요약과 재사용</x:v>
      </x:c>
      <x:c r="E303" s="13" t="str">
        <x:v>표준·코드·도구설정 변경과 영향규칙을 함께 남긴다.</x:v>
      </x:c>
      <x:c r="F303" s="13" t="str">
        <x:v>SRC-003</x:v>
      </x:c>
      <x:c r="G303" s="13" t="str"/>
      <x:c r="H303" s="13" t="str">
        <x:v>해당없음(사내 기준)</x:v>
      </x:c>
      <x:c r="I303" s="13" t="str">
        <x:v>MUST(안)</x:v>
      </x:c>
      <x:c r="J303" s="13" t="str">
        <x:v>적용</x:v>
      </x:c>
      <x:c r="K303" s="13" t="str">
        <x:v>현재 샘플의 회사 필수 기준으로 채택 제안</x:v>
      </x:c>
      <x:c r="L303" s="13" t="str">
        <x:v>CHANGE_SUMMARY와 ADR, 회사 템플릿 분리</x:v>
      </x:c>
      <x:c r="M303" s="13" t="str">
        <x:v>새 프로젝트가 동일 기준을 재현하는지 검토</x:v>
      </x:c>
      <x:c r="N303" s="13" t="str">
        <x:v>개발·QA</x:v>
      </x:c>
      <x:c r="O303" s="13" t="str">
        <x:v>P1</x:v>
      </x:c>
      <x:c r="P303" s="15" t="str">
        <x:v>계획</x:v>
      </x:c>
      <x:c r="Q303" s="15" t="str">
        <x:v>미실행</x:v>
      </x:c>
      <x:c r="R303" s="15" t="str">
        <x:v>미실행</x:v>
      </x:c>
      <x:c r="S303" s="15" t="str">
        <x:v>수동</x:v>
      </x:c>
      <x:c r="T303" s="15" t="str"/>
      <x:c r="U303" s="15" t="str"/>
      <x:c r="V303" s="15" t="str"/>
      <x:c r="W303" s="15" t="str"/>
      <x:c r="X303" s="16" t="str"/>
      <x:c r="Y303" s="15" t="str"/>
      <x:c r="Z303" s="13" t="str">
        <x:f>IF(J303&lt;&gt;"적용","산정제외",IF(OR(Q303="실패",R303="실패"),"실패",IF(AND(P303="구현",T303&lt;&gt;"",U303&lt;&gt;"",V303&lt;&gt;"",W303&lt;&gt;"",ISNUMBER(X303),Y303="",OR(S303="수동",Q303="통과"),OR(S303="자동",R303="통과")),"통과","미검증")))</x:f>
        <x:v>미검증</x:v>
      </x:c>
      <x:c r="AA303" s="13" t="str"/>
      <x:c r="AB303" s="13" t="str">
        <x:v>S01~S08 / 공통</x:v>
      </x:c>
    </x:row>
  </x:sheetData>
  <x:conditionalFormatting sqref="J7:J303">
    <x:cfRule type="containsText" dxfId="0" priority="1" operator="containsText" text="실패"/>
    <x:cfRule type="containsText" dxfId="1" priority="2" operator="containsText" text="미실행"/>
    <x:cfRule type="containsText" dxfId="2" priority="3" operator="containsText" text="확인필요"/>
    <x:cfRule type="containsText" dxfId="3" priority="4" operator="containsText" text="통과"/>
  </x:conditionalFormatting>
  <x:conditionalFormatting sqref="Q7:R303">
    <x:cfRule type="containsText" dxfId="4" priority="5" operator="containsText" text="실패"/>
    <x:cfRule type="containsText" dxfId="5" priority="6" operator="containsText" text="미실행"/>
    <x:cfRule type="containsText" dxfId="6" priority="7" operator="containsText" text="확인필요"/>
    <x:cfRule type="containsText" dxfId="7" priority="8" operator="containsText" text="통과"/>
  </x:conditionalFormatting>
  <x:conditionalFormatting sqref="Z7:Z303">
    <x:cfRule type="containsText" dxfId="8" priority="9" operator="containsText" text="실패"/>
    <x:cfRule type="containsText" dxfId="9" priority="10" operator="containsText" text="미실행"/>
    <x:cfRule type="containsText" dxfId="10" priority="11" operator="containsText" text="확인필요"/>
    <x:cfRule type="containsText" dxfId="11" priority="12" operator="containsText" text="통과"/>
  </x:conditionalFormatting>
  <x:dataValidations count="4">
    <x:dataValidation type="list" sqref="J7:J303">
      <x:formula1>"적용,조건부,해당없음,확인필요"</x:formula1>
    </x:dataValidation>
    <x:dataValidation type="list" sqref="P7:P303">
      <x:formula1>"계획,진행,구현,예외,해당없음"</x:formula1>
    </x:dataValidation>
    <x:dataValidation type="list" sqref="Q7:R303">
      <x:formula1>"미실행,통과,실패,부분확인,해당없음"</x:formula1>
    </x:dataValidation>
    <x:dataValidation type="list" sqref="S7:S303">
      <x:formula1>"자동,수동,자동+수동"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a57668235f43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670000076293945" hidden="0" customWidth="1"/>
    <x:col min="2" max="2" width="21.110000610351562" hidden="0" customWidth="1"/>
    <x:col min="3" max="3" width="21.110000610351562" hidden="0" customWidth="1"/>
    <x:col min="4" max="4" width="46.66999816894531" hidden="0" customWidth="1"/>
    <x:col min="5" max="5" width="50" hidden="0" customWidth="1"/>
    <x:col min="6" max="6" width="37.779998779296875" hidden="0" customWidth="1"/>
    <x:col min="7" max="7" width="20" hidden="0" customWidth="1"/>
    <x:col min="8" max="8" width="35.560001373291016" hidden="0" customWidth="1"/>
    <x:col min="9" max="9" width="11.109999656677246" hidden="0" customWidth="1"/>
    <x:col min="10" max="10" width="44.439998626708984" hidden="0" customWidth="1"/>
    <x:col min="11" max="11" width="13.329999923706055" hidden="0" customWidth="1"/>
    <x:col min="12" max="12" width="12.779999732971191" hidden="0" customWidth="1"/>
    <x:col min="13" max="13" width="33.33000183105469" hidden="0" customWidth="1"/>
    <x:col min="14" max="14" width="51.110000610351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3" t="str">
        <x:v>접근성 수동시험 계획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1" customHeight="1">
      <x:c r="A3" s="4" t="str">
        <x:v>실제 환경·검사자·관찰결과가 없는 시험은 미실행 상태를 유지합니다.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1" customHeight="1">
      <x:c r="A4" s="4" t="str">
        <x:v>15개는 대표 과업 시나리오입니다. 구현 후 미연결 기준별 자동·수동 시험을 추가해야 합니다.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9" t="str">
        <x:v>시험 ID</x:v>
      </x:c>
      <x:c r="B6" s="10" t="str">
        <x:v>사용자·제약</x:v>
      </x:c>
      <x:c r="C6" s="10" t="str">
        <x:v>시험 과업</x:v>
      </x:c>
      <x:c r="D6" s="10" t="str">
        <x:v>절차</x:v>
      </x:c>
      <x:c r="E6" s="10" t="str">
        <x:v>통과 조건</x:v>
      </x:c>
      <x:c r="F6" s="10" t="str">
        <x:v>환경 / 보조기술</x:v>
      </x:c>
      <x:c r="G6" s="10" t="str">
        <x:v>대상 범위</x:v>
      </x:c>
      <x:c r="H6" s="10" t="str">
        <x:v>관련 규칙</x:v>
      </x:c>
      <x:c r="I6" s="10" t="str">
        <x:v>상태</x:v>
      </x:c>
      <x:c r="J6" s="10" t="str">
        <x:v>실제 관찰결과</x:v>
      </x:c>
      <x:c r="K6" s="10" t="str">
        <x:v>검사자</x:v>
      </x:c>
      <x:c r="L6" s="10" t="str">
        <x:v>시험일</x:v>
      </x:c>
      <x:c r="M6" s="10" t="str">
        <x:v>증빙 경로</x:v>
      </x:c>
      <x:c r="N6" s="11" t="str">
        <x:v>관련 범위·유의사항</x:v>
      </x:c>
    </x:row>
    <x:row r="7" ht="37.5" customHeight="1">
      <x:c r="A7" s="13" t="str">
        <x:v>AT-01</x:v>
      </x:c>
      <x:c r="B7" s="13" t="str">
        <x:v>시각장애 / 키보드</x:v>
      </x:c>
      <x:c r="C7" s="13" t="str">
        <x:v>키보드 전체 업무</x:v>
      </x:c>
      <x:c r="D7" s="13" t="str">
        <x:v>로그인 → 요청 검색 → 상세 → 등록 → 첨부 → 완료 → 상태 확인</x:v>
      </x:c>
      <x:c r="E7" s="13" t="str">
        <x:v>Tab/Shift+Tab/Enter/Space/Escape로 모든 단계 완료, 초점 손실·함정 없음</x:v>
      </x:c>
      <x:c r="F7" s="13" t="str">
        <x:v>PC Chrome/Edge + 키보드</x:v>
      </x:c>
      <x:c r="G7" s="13" t="str">
        <x:v>전체 업무</x:v>
      </x:c>
      <x:c r="H7" s="13" t="str">
        <x:v>KWA-010,KWA-011,WCA-021,WCA-022</x:v>
      </x:c>
      <x:c r="I7" s="15" t="str">
        <x:v>미실행</x:v>
      </x:c>
      <x:c r="J7" s="15" t="str"/>
      <x:c r="K7" s="15" t="str"/>
      <x:c r="L7" s="16" t="str"/>
      <x:c r="M7" s="15" t="str"/>
      <x:c r="N7" s="13" t="str">
        <x:v>대표 과업 시나리오. 관련 기준 전체의 적합성을 이 시험 하나로 보증하지 않음. 구현 후 미연결 기준의 자동·수동 시험을 추가할 것.</x:v>
      </x:c>
    </x:row>
    <x:row r="8" ht="37.5" customHeight="1">
      <x:c r="A8" s="14" t="str">
        <x:v>AT-02</x:v>
      </x:c>
      <x:c r="B8" s="14" t="str">
        <x:v>시각장애</x:v>
      </x:c>
      <x:c r="C8" s="14" t="str">
        <x:v>화면낭독 전체 업무</x:v>
      </x:c>
      <x:c r="D8" s="14" t="str">
        <x:v>문서 제목·영역 탐색, 폼 입력, 오류 정정, 제출 완료 확인</x:v>
      </x:c>
      <x:c r="E8" s="14" t="str">
        <x:v>레이블·설명·오류·진행상태를 문맥에 맞게 낭독, 핵심업무 독립완수</x:v>
      </x:c>
      <x:c r="F8" s="14" t="str">
        <x:v>Windows NVDA + Chrome 또는 Firefox (실제 버전 기록)</x:v>
      </x:c>
      <x:c r="G8" s="14" t="str">
        <x:v>등록·상세·목록</x:v>
      </x:c>
      <x:c r="H8" s="14" t="str">
        <x:v>KWA-003,KWA-029,KWA-033,WCA-054,WCA-055</x:v>
      </x:c>
      <x:c r="I8" s="15" t="str">
        <x:v>미실행</x:v>
      </x:c>
      <x:c r="J8" s="15" t="str"/>
      <x:c r="K8" s="15" t="str"/>
      <x:c r="L8" s="16" t="str"/>
      <x:c r="M8" s="15" t="str"/>
      <x:c r="N8" s="14" t="str">
        <x:v>대표 과업 시나리오. 관련 기준 전체의 적합성을 이 시험 하나로 보증하지 않음. 구현 후 미연결 기준의 자동·수동 시험을 추가할 것.</x:v>
      </x:c>
    </x:row>
    <x:row r="9" ht="37.5" customHeight="1">
      <x:c r="A9" s="13" t="str">
        <x:v>AT-03</x:v>
      </x:c>
      <x:c r="B9" s="13" t="str">
        <x:v>시각장애 / 모바일</x:v>
      </x:c>
      <x:c r="C9" s="13" t="str">
        <x:v>모바일 화면낭독</x:v>
      </x:c>
      <x:c r="D9" s="13" t="str">
        <x:v>스와이프로 메뉴·입력·첨부·완료 이동 후 활성화</x:v>
      </x:c>
      <x:c r="E9" s="13" t="str">
        <x:v>읽기순서와 이름 정확, 가려진 요소 중복 탐색 없음</x:v>
      </x:c>
      <x:c r="F9" s="13" t="str">
        <x:v>Android TalkBack + Chrome 및 iOS VoiceOver + Safari 중 실제 확보 조합</x:v>
      </x:c>
      <x:c r="G9" s="13" t="str">
        <x:v>모바일 전 과정</x:v>
      </x:c>
      <x:c r="H9" s="13" t="str">
        <x:v>KWA-004,KWA-023,WCA-037</x:v>
      </x:c>
      <x:c r="I9" s="15" t="str">
        <x:v>미실행</x:v>
      </x:c>
      <x:c r="J9" s="15" t="str"/>
      <x:c r="K9" s="15" t="str"/>
      <x:c r="L9" s="16" t="str"/>
      <x:c r="M9" s="15" t="str"/>
      <x:c r="N9" s="13" t="str">
        <x:v>대표 과업 시나리오. 관련 기준 전체의 적합성을 이 시험 하나로 보증하지 않음. 구현 후 미연결 기준의 자동·수동 시험을 추가할 것.</x:v>
      </x:c>
    </x:row>
    <x:row r="10" ht="37.5" customHeight="1">
      <x:c r="A10" s="14" t="str">
        <x:v>AT-04</x:v>
      </x:c>
      <x:c r="B10" s="14" t="str">
        <x:v>저시력 / 고령</x:v>
      </x:c>
      <x:c r="C10" s="14" t="str">
        <x:v>확대와 재배치</x:v>
      </x:c>
      <x:c r="D10" s="14" t="str">
        <x:v>텍스트200%와 1280px뷰포트400% 확대, 320CSS px 폭에서 등록</x:v>
      </x:c>
      <x:c r="E10" s="14" t="str">
        <x:v>정보·기능 손실 없음. 본문 양방향 스크롤 없음. 본질적 2D표는 해당 영역의 예외 근거</x:v>
      </x:c>
      <x:c r="F10" s="14" t="str">
        <x:v>데스크톱 브라우저 확대·텍스트확대</x:v>
      </x:c>
      <x:c r="G10" s="14" t="str">
        <x:v>목록·단계폼·대화상자</x:v>
      </x:c>
      <x:c r="H10" s="14" t="str">
        <x:v>WCA-015,WCA-017</x:v>
      </x:c>
      <x:c r="I10" s="15" t="str">
        <x:v>미실행</x:v>
      </x:c>
      <x:c r="J10" s="15" t="str"/>
      <x:c r="K10" s="15" t="str"/>
      <x:c r="L10" s="16" t="str"/>
      <x:c r="M10" s="15" t="str"/>
      <x:c r="N10" s="14" t="str">
        <x:v>대표 과업 시나리오. 관련 기준 전체의 적합성을 이 시험 하나로 보증하지 않음. 구현 후 미연결 기준의 자동·수동 시험을 추가할 것.</x:v>
      </x:c>
    </x:row>
    <x:row r="11" ht="64.5" customHeight="1">
      <x:c r="A11" s="13" t="str">
        <x:v>AT-05</x:v>
      </x:c>
      <x:c r="B11" s="13" t="str">
        <x:v>저시력 / 색각</x:v>
      </x:c>
      <x:c r="C11" s="13" t="str">
        <x:v>고대비·색 단독정보</x:v>
      </x:c>
      <x:c r="D11" s="13" t="str">
        <x:v>기본 화면과 모든 제공 테마의 문자·필수 비텍스트 대비비를 측정한다. OS forced-colors 및 흑백에서 상태·오류·선택·초점을 별도 확인한다.</x:v>
      </x:c>
      <x:c r="E11" s="13" t="str">
        <x:v>일반 문자 4.5:1, 해당 큰 문자 3:1, 필요한 비텍스트 정보 3:1 이상(공식 예외별 근거 기록). 선명한 모드의 회사 채택 KRDS 역할별 목표는 별도 확인. 고대비에서 초점·입력테두리·상태문구가 유지되고 색·아이콘만으로 의미를 전달하지 않음.</x:v>
      </x:c>
      <x:c r="F11" s="13" t="str">
        <x:v>Windows 고대비 + 브라우저</x:v>
      </x:c>
      <x:c r="G11" s="13" t="str">
        <x:v>전체 공통 컴포넌트</x:v>
      </x:c>
      <x:c r="H11" s="13" t="str">
        <x:v>KWA-006,KWA-008,WCA-014,WCA-018</x:v>
      </x:c>
      <x:c r="I11" s="15" t="str">
        <x:v>미실행</x:v>
      </x:c>
      <x:c r="J11" s="15" t="str"/>
      <x:c r="K11" s="15" t="str"/>
      <x:c r="L11" s="16" t="str"/>
      <x:c r="M11" s="15" t="str"/>
      <x:c r="N11" s="13" t="str">
        <x:v>대표 과업 시나리오. 관련 기준 전체의 적합성을 이 시험 하나로 보증하지 않음. 구현 후 미연결 기준의 자동·수동 시험을 추가할 것.</x:v>
      </x:c>
    </x:row>
    <x:row r="12" ht="37.5" customHeight="1">
      <x:c r="A12" s="14" t="str">
        <x:v>AT-06</x:v>
      </x:c>
      <x:c r="B12" s="14" t="str">
        <x:v>상지·운동장애 / 한손</x:v>
      </x:c>
      <x:c r="C12" s="14" t="str">
        <x:v>크기와 포인터 취소</x:v>
      </x:c>
      <x:c r="D12" s="14" t="str">
        <x:v>주요 제어 터치, 누른 채 밖으로 이동, 파일선택으로 첨부</x:v>
      </x:c>
      <x:c r="E12" s="14" t="str">
        <x:v>핵심 타깃 회사목표44~48, AA 최소24/간격예외 점검, 오작동 확정 없음</x:v>
      </x:c>
      <x:c r="F12" s="14" t="str">
        <x:v>터치 실기기·마우스</x:v>
      </x:c>
      <x:c r="G12" s="14" t="str">
        <x:v>첨부·목록·확인</x:v>
      </x:c>
      <x:c r="H12" s="14" t="str">
        <x:v>KWA-012,KWA-021,KWA-022,WCA-039,WCA-040</x:v>
      </x:c>
      <x:c r="I12" s="15" t="str">
        <x:v>미실행</x:v>
      </x:c>
      <x:c r="J12" s="15" t="str"/>
      <x:c r="K12" s="15" t="str"/>
      <x:c r="L12" s="16" t="str"/>
      <x:c r="M12" s="15" t="str"/>
      <x:c r="N12" s="14" t="str">
        <x:v>대표 과업 시나리오. 관련 기준 전체의 적합성을 이 시험 하나로 보증하지 않음. 구현 후 미연결 기준의 자동·수동 시험을 추가할 것.</x:v>
      </x:c>
    </x:row>
    <x:row r="13" ht="37.5" customHeight="1">
      <x:c r="A13" s="13" t="str">
        <x:v>AT-07</x:v>
      </x:c>
      <x:c r="B13" s="13" t="str">
        <x:v>상지·운동장애 / 음성입력</x:v>
      </x:c>
      <x:c r="C13" s="13" t="str">
        <x:v>표시문구로 조작</x:v>
      </x:c>
      <x:c r="D13" s="13" t="str">
        <x:v>보이는 버튼명으로 활성화, 텍스트 받아쓰기 중 단축키 간섭 확인</x:v>
      </x:c>
      <x:c r="E13" s="13" t="str">
        <x:v>표시문구와 접근명 일치, 전역 한글자 단축키 오작동 없음</x:v>
      </x:c>
      <x:c r="F13" s="13" t="str">
        <x:v>OS 음성제어/음성입력 (실제 확보 도구 기록)</x:v>
      </x:c>
      <x:c r="G13" s="13" t="str">
        <x:v>검색·폼·버튼</x:v>
      </x:c>
      <x:c r="H13" s="13" t="str">
        <x:v>KWA-013,KWA-023,WCA-037</x:v>
      </x:c>
      <x:c r="I13" s="15" t="str">
        <x:v>미실행</x:v>
      </x:c>
      <x:c r="J13" s="15" t="str"/>
      <x:c r="K13" s="15" t="str"/>
      <x:c r="L13" s="16" t="str"/>
      <x:c r="M13" s="15" t="str"/>
      <x:c r="N13" s="13" t="str">
        <x:v>대표 과업 시나리오. 관련 기준 전체의 적합성을 이 시험 하나로 보증하지 않음. 구현 후 미연결 기준의 자동·수동 시험을 추가할 것.</x:v>
      </x:c>
    </x:row>
    <x:row r="14" ht="37.5" customHeight="1">
      <x:c r="A14" s="14" t="str">
        <x:v>AT-08</x:v>
      </x:c>
      <x:c r="B14" s="14" t="str">
        <x:v>인지·학습장애 / 고령</x:v>
      </x:c>
      <x:c r="C14" s="14" t="str">
        <x:v>쉬운 입력과 복구</x:v>
      </x:c>
      <x:c r="D14" s="14" t="str">
        <x:v>설명만 읽고 단계형 폼 작성, 이전 단계 복귀, 잘못된 값 수정</x:v>
      </x:c>
      <x:c r="E14" s="14" t="str">
        <x:v>현재 단계·남은 단계·필수조건 명확, 입력 보존, 오류 수정방법 설명</x:v>
      </x:c>
      <x:c r="F14" s="14" t="str">
        <x:v>대표사용자 과업평가 + 진행기록</x:v>
      </x:c>
      <x:c r="G14" s="14" t="str">
        <x:v>단계형 등록</x:v>
      </x:c>
      <x:c r="H14" s="14" t="str">
        <x:v>KWA-028,KWA-031,WCA-048,WCA-050,WCA-052</x:v>
      </x:c>
      <x:c r="I14" s="15" t="str">
        <x:v>미실행</x:v>
      </x:c>
      <x:c r="J14" s="15" t="str"/>
      <x:c r="K14" s="15" t="str"/>
      <x:c r="L14" s="16" t="str"/>
      <x:c r="M14" s="15" t="str"/>
      <x:c r="N14" s="14" t="str">
        <x:v>대표 과업 시나리오. 관련 기준 전체의 적합성을 이 시험 하나로 보증하지 않음. 구현 후 미연결 기준의 자동·수동 시험을 추가할 것.</x:v>
      </x:c>
    </x:row>
    <x:row r="15" ht="37.5" customHeight="1">
      <x:c r="A15" s="13" t="str">
        <x:v>AT-09</x:v>
      </x:c>
      <x:c r="B15" s="13" t="str">
        <x:v>인지·기억 부담</x:v>
      </x:c>
      <x:c r="C15" s="13" t="str">
        <x:v>로그인 접근성</x:v>
      </x:c>
      <x:c r="D15" s="13" t="str">
        <x:v>암호관리자·붙여넣기 사용, 오류 후 재시도, 인증 도움말 탐색</x:v>
      </x:c>
      <x:c r="E15" s="13" t="str">
        <x:v>암호입력 보조 차단 없음, 기억·퍼즐 과제만으로 인증 강제 안 함</x:v>
      </x:c>
      <x:c r="F15" s="13" t="str">
        <x:v>브라우저 암호관리자 + 키보드·화면낭독</x:v>
      </x:c>
      <x:c r="G15" s="13" t="str">
        <x:v>로그인</x:v>
      </x:c>
      <x:c r="H15" s="13" t="str">
        <x:v>KWA-030,WCA-053</x:v>
      </x:c>
      <x:c r="I15" s="15" t="str">
        <x:v>미실행</x:v>
      </x:c>
      <x:c r="J15" s="15" t="str"/>
      <x:c r="K15" s="15" t="str"/>
      <x:c r="L15" s="16" t="str"/>
      <x:c r="M15" s="15" t="str"/>
      <x:c r="N15" s="13" t="str">
        <x:v>대표 과업 시나리오. 관련 기준 전체의 적합성을 이 시험 하나로 보증하지 않음. 구현 후 미연결 기준의 자동·수동 시험을 추가할 것.</x:v>
      </x:c>
    </x:row>
    <x:row r="16" ht="37.5" customHeight="1">
      <x:c r="A16" s="14" t="str">
        <x:v>AT-10</x:v>
      </x:c>
      <x:c r="B16" s="14" t="str">
        <x:v>청각장애 / 소음환경</x:v>
      </x:c>
      <x:c r="C16" s="14" t="str">
        <x:v>무음 상태 사용</x:v>
      </x:c>
      <x:c r="D16" s="14" t="str">
        <x:v>기기 소리 끄고 요청완료·실패·상태변경 확인</x:v>
      </x:c>
      <x:c r="E16" s="14" t="str">
        <x:v>모든 중요 피드백이 시각적 텍스트로 제공, 전화만 가능한 문의 경로 없음</x:v>
      </x:c>
      <x:c r="F16" s="14" t="str">
        <x:v>음소거 + 화면 검토</x:v>
      </x:c>
      <x:c r="G16" s="14" t="str">
        <x:v>상태·알림·도움말</x:v>
      </x:c>
      <x:c r="H16" s="14" t="str">
        <x:v>INC-005,INC-010</x:v>
      </x:c>
      <x:c r="I16" s="15" t="str">
        <x:v>미실행</x:v>
      </x:c>
      <x:c r="J16" s="15" t="str"/>
      <x:c r="K16" s="15" t="str"/>
      <x:c r="L16" s="16" t="str"/>
      <x:c r="M16" s="15" t="str"/>
      <x:c r="N16" s="14" t="str">
        <x:v>INC-005의 시각적 전달 부분과 INC-010의 비음성 문의 경로를 확인. 프로그램적 상태 알림은 AT-02의 실제 화면낭독 시험에서 별도 확인.</x:v>
      </x:c>
    </x:row>
    <x:row r="17" ht="37.5" customHeight="1">
      <x:c r="A17" s="13" t="str">
        <x:v>AT-11</x:v>
      </x:c>
      <x:c r="B17" s="13" t="str">
        <x:v>광과민 / 전정 민감</x:v>
      </x:c>
      <x:c r="C17" s="13" t="str">
        <x:v>움직임 줄이기</x:v>
      </x:c>
      <x:c r="D17" s="13" t="str">
        <x:v>OS prefers-reduced-motion 적용 후 화면전환·로딩·알림 사용</x:v>
      </x:c>
      <x:c r="E17" s="13" t="str">
        <x:v>불필요 모션 제거·감소, 점멸효과 없음, 제어되지 않는 자동회전 없음</x:v>
      </x:c>
      <x:c r="F17" s="13" t="str">
        <x:v>OS 모션감소 + 브라우저</x:v>
      </x:c>
      <x:c r="G17" s="13" t="str">
        <x:v>전체 전환·애니메이션</x:v>
      </x:c>
      <x:c r="H17" s="13" t="str">
        <x:v>KWA-015,KWA-016,WCA-025,WCA-026</x:v>
      </x:c>
      <x:c r="I17" s="15" t="str">
        <x:v>미실행</x:v>
      </x:c>
      <x:c r="J17" s="15" t="str"/>
      <x:c r="K17" s="15" t="str"/>
      <x:c r="L17" s="16" t="str"/>
      <x:c r="M17" s="15" t="str"/>
      <x:c r="N17" s="13" t="str">
        <x:v>대표 과업 시나리오. 관련 기준 전체의 적합성을 이 시험 하나로 보증하지 않음. 구현 후 미연결 기준의 자동·수동 시험을 추가할 것.</x:v>
      </x:c>
    </x:row>
    <x:row r="18" ht="37.5" customHeight="1">
      <x:c r="A18" s="14" t="str">
        <x:v>AT-12</x:v>
      </x:c>
      <x:c r="B18" s="14" t="str">
        <x:v>시각·운동장애</x:v>
      </x:c>
      <x:c r="C18" s="14" t="str">
        <x:v>대화상자·툴팁</x:v>
      </x:c>
      <x:c r="D18" s="14" t="str">
        <x:v>삭제 확인 열기·초점순환·Escape·닫기 및 도움말 호버/초점</x:v>
      </x:c>
      <x:c r="E18" s="14" t="str">
        <x:v>대화상자 이름 낭독, 배경 비활성, 종료 후 원래 버튼 복귀, 툴팁 유지·닫기 가능</x:v>
      </x:c>
      <x:c r="F18" s="14" t="str">
        <x:v>키보드 + NVDA</x:v>
      </x:c>
      <x:c r="G18" s="14" t="str">
        <x:v>대화상자·툴팁</x:v>
      </x:c>
      <x:c r="H18" s="14" t="str">
        <x:v>KWA-011,WCA-020,WCA-022,WCA-029</x:v>
      </x:c>
      <x:c r="I18" s="15" t="str">
        <x:v>미실행</x:v>
      </x:c>
      <x:c r="J18" s="15" t="str"/>
      <x:c r="K18" s="15" t="str"/>
      <x:c r="L18" s="16" t="str"/>
      <x:c r="M18" s="15" t="str"/>
      <x:c r="N18" s="14" t="str">
        <x:v>대표 과업 시나리오. 관련 기준 전체의 적합성을 이 시험 하나로 보증하지 않음. 구현 후 미연결 기준의 자동·수동 시험을 추가할 것.</x:v>
      </x:c>
    </x:row>
    <x:row r="19" ht="37.5" customHeight="1">
      <x:c r="A19" s="13" t="str">
        <x:v>AT-13</x:v>
      </x:c>
      <x:c r="B19" s="13" t="str">
        <x:v>저시력 / 학습장애</x:v>
      </x:c>
      <x:c r="C19" s="13" t="str">
        <x:v>문자간격과 고정요소</x:v>
      </x:c>
      <x:c r="D19" s="13" t="str">
        <x:v>문자간격 커스텀CSS 적용, 고정헤더·하단바 아래 폼 이동</x:v>
      </x:c>
      <x:c r="E19" s="13" t="str">
        <x:v>텍스트 잘림·중첩 없음, 초점요소 완전 가림 없음</x:v>
      </x:c>
      <x:c r="F19" s="13" t="str">
        <x:v>데스크톱·모바일 좁은 폭</x:v>
      </x:c>
      <x:c r="G19" s="13" t="str">
        <x:v>등록·오류·메뉴</x:v>
      </x:c>
      <x:c r="H19" s="13" t="str">
        <x:v>WCA-019,WCA-034</x:v>
      </x:c>
      <x:c r="I19" s="15" t="str">
        <x:v>미실행</x:v>
      </x:c>
      <x:c r="J19" s="15" t="str"/>
      <x:c r="K19" s="15" t="str"/>
      <x:c r="L19" s="16" t="str"/>
      <x:c r="M19" s="15" t="str"/>
      <x:c r="N19" s="13" t="str">
        <x:v>대표 과업 시나리오. 관련 기준 전체의 적합성을 이 시험 하나로 보증하지 않음. 구현 후 미연결 기준의 자동·수동 시험을 추가할 것.</x:v>
      </x:c>
    </x:row>
    <x:row r="20" ht="64.5" customHeight="1">
      <x:c r="A20" s="14" t="str">
        <x:v>AT-14</x:v>
      </x:c>
      <x:c r="B20" s="14" t="str">
        <x:v>인지·운동장애 / 일시중단</x:v>
      </x:c>
      <x:c r="C20" s="14" t="str">
        <x:v>시간제한과 복구</x:v>
      </x:c>
      <x:c r="D20" s="14" t="str">
        <x:v>만료 임박 경고를 기다려 연장하고 저장 실패 후 다시 제출</x:v>
      </x:c>
      <x:c r="E20" s="14" t="str">
        <x:v>시간 연장 방식을 채택하면 만료 전 최소 20초의 조작 기회와 최소 10회 연장을 제공한다. 다른 공식 허용 방법·예외를 쓰면 조항과 조건 증빙을 기록한다. 경고·연장이 키보드·화면낭독기로 가능하며 입력 손실이 없고 서버가 중복 처리를 차단함.</x:v>
      </x:c>
      <x:c r="F20" s="14" t="str">
        <x:v>테스트환경 짧은 만료 + 네트워크 오류</x:v>
      </x:c>
      <x:c r="G20" s="14" t="str">
        <x:v>로그인·등록·첨부</x:v>
      </x:c>
      <x:c r="H20" s="14" t="str">
        <x:v>KWA-014,WCA-024</x:v>
      </x:c>
      <x:c r="I20" s="15" t="str">
        <x:v>미실행</x:v>
      </x:c>
      <x:c r="J20" s="15" t="str"/>
      <x:c r="K20" s="15" t="str"/>
      <x:c r="L20" s="16" t="str"/>
      <x:c r="M20" s="15" t="str"/>
      <x:c r="N20" s="14" t="str">
        <x:v>대표 과업 시나리오. 관련 기준 전체의 적합성을 이 시험 하나로 보증하지 않음. 구현 후 미연결 기준의 자동·수동 시험을 추가할 것.</x:v>
      </x:c>
    </x:row>
    <x:row r="21" ht="37.5" customHeight="1">
      <x:c r="A21" s="13" t="str">
        <x:v>AT-15</x:v>
      </x:c>
      <x:c r="B21" s="13" t="str">
        <x:v>복합장애 / 다양한 사용자</x:v>
      </x:c>
      <x:c r="C21" s="13" t="str">
        <x:v>실사용자 과업평가</x:v>
      </x:c>
      <x:c r="D21" s="13" t="str">
        <x:v>요청 찾기·신규등록·오류복구·처리확인 과업 수행</x:v>
      </x:c>
      <x:c r="E21" s="13" t="str">
        <x:v>성공여부·도움요청·막힘원인 기록, 대표적 장애유형 포함, 보조기술 시험으로 대체 주장 금지</x:v>
      </x:c>
      <x:c r="F21" s="13" t="str">
        <x:v>사용자 동의하 실제 참여; 미확보 시 미실시</x:v>
      </x:c>
      <x:c r="G21" s="13" t="str">
        <x:v>서비스 완결성</x:v>
      </x:c>
      <x:c r="H21" s="13" t="str">
        <x:v>INC-001,QA-007,QA-008</x:v>
      </x:c>
      <x:c r="I21" s="15" t="str">
        <x:v>미실행</x:v>
      </x:c>
      <x:c r="J21" s="15" t="str"/>
      <x:c r="K21" s="15" t="str"/>
      <x:c r="L21" s="16" t="str"/>
      <x:c r="M21" s="15" t="str"/>
      <x:c r="N21" s="13" t="str">
        <x:v>전체 핵심 업무흐름을 실제 대표 사용자와 평가. 이 과업 평가만으로 전체 기준 준수를 선언하지 않음.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</x:sheetData>
  <x:conditionalFormatting sqref="I7:I21">
    <x:cfRule type="containsText" dxfId="12" priority="1" operator="containsText" text="실패"/>
    <x:cfRule type="containsText" dxfId="13" priority="2" operator="containsText" text="미실행"/>
    <x:cfRule type="containsText" dxfId="14" priority="3" operator="containsText" text="확인필요"/>
    <x:cfRule type="containsText" dxfId="15" priority="4" operator="containsText" text="통과"/>
  </x:conditionalFormatting>
  <x:dataValidations count="1">
    <x:dataValidation type="list" sqref="I7:I21">
      <x:formula1>"미실행,통과,실패,부분확인,환경없음"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17c93f17c49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.670000076293945" hidden="0" customWidth="1"/>
    <x:col min="2" max="2" width="14.4399995803833" hidden="0" customWidth="1"/>
    <x:col min="3" max="3" width="15" hidden="0" customWidth="1"/>
    <x:col min="4" max="4" width="24.440000534057617" hidden="0" customWidth="1"/>
    <x:col min="5" max="5" width="19.440000534057617" hidden="0" customWidth="1"/>
    <x:col min="6" max="6" width="10" hidden="0" customWidth="1"/>
    <x:col min="7" max="7" width="10" hidden="0" customWidth="1"/>
    <x:col min="8" max="8" width="10" hidden="0" customWidth="1"/>
    <x:col min="9" max="9" width="14.4399995803833" hidden="0" customWidth="1"/>
    <x:col min="10" max="10" width="64.44000244140625" hidden="0" customWidth="1"/>
    <x:col min="11" max="11" width="22.219999313354492" hidden="0" customWidth="1"/>
    <x:col min="12" max="12" width="41.11000061035156" hidden="0" customWidth="1"/>
    <x:col min="13" max="13" width="11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1" customHeight="1">
      <x:c r="A2" s="3" t="str">
        <x:v>KRDS 번호별 원문 참조 후보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4" t="str">
        <x:v>725개 추출후보. 원문 등급·조건·그림·비번호 규칙까지 검토한 공식 체크리스트가 아닙니다.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0" customHeight="1">
      <x:c r="A6" s="9" t="str">
        <x:v>참조 후보 ID</x:v>
      </x:c>
      <x:c r="B6" s="10" t="str">
        <x:v>장</x:v>
      </x:c>
      <x:c r="C6" s="10" t="str">
        <x:v>분류</x:v>
      </x:c>
      <x:c r="D6" s="10" t="str">
        <x:v>구성요소 / 단계</x:v>
      </x:c>
      <x:c r="E6" s="10" t="str">
        <x:v>가이드 유형</x:v>
      </x:c>
      <x:c r="F6" s="10" t="str">
        <x:v>원문 번호</x:v>
      </x:c>
      <x:c r="G6" s="10" t="str">
        <x:v>인쇄 쪽</x:v>
      </x:c>
      <x:c r="H6" s="10" t="str">
        <x:v>PDF 쪽</x:v>
      </x:c>
      <x:c r="I6" s="10" t="str">
        <x:v>상세 쪽</x:v>
      </x:c>
      <x:c r="J6" s="10" t="str">
        <x:v>번호 문장</x:v>
      </x:c>
      <x:c r="K6" s="10" t="str">
        <x:v>연결 회사규칙</x:v>
      </x:c>
      <x:c r="L6" s="10" t="str">
        <x:v>원문 검토상태</x:v>
      </x:c>
      <x:c r="M6" s="11" t="str">
        <x:v>원문 등급</x:v>
      </x:c>
    </x:row>
    <x:row r="7" ht="37.5" customHeight="1">
      <x:c r="A7" s="13" t="str">
        <x:v>KRDS-SEC-017-U-01</x:v>
      </x:c>
      <x:c r="B7" s="13" t="str">
        <x:v>컴포넌트</x:v>
      </x:c>
      <x:c r="C7" s="13" t="str">
        <x:v>아이덴티티</x:v>
      </x:c>
      <x:c r="D7" s="13" t="str">
        <x:v>공식 배너</x:v>
      </x:c>
      <x:c r="E7" s="13" t="str">
        <x:v>사용성 가이드라인</x:v>
      </x:c>
      <x:c r="F7" s="13" t="str">
        <x:v>01</x:v>
      </x:c>
      <x:c r="G7" s="13" t="n">
        <x:v>221</x:v>
      </x:c>
      <x:c r="H7" s="13" t="n">
        <x:v>221</x:v>
      </x:c>
      <x:c r="I7" s="13" t="str">
        <x:v>222</x:v>
      </x:c>
      <x:c r="J7" s="13" t="str">
        <x:v>배너는 모든 화면의 최상단에 제공한다.</x:v>
      </x:c>
      <x:c r="K7" s="13" t="str">
        <x:v>UI-016</x:v>
      </x:c>
      <x:c r="L7" s="13" t="str">
        <x:v>추출 후 기본 구조 검토; 원문 적용수준·전체 맥락 재확인 필요</x:v>
      </x:c>
      <x:c r="M7" s="13" t="str">
        <x:v>미확인</x:v>
      </x:c>
    </x:row>
    <x:row r="8" ht="37.5" customHeight="1">
      <x:c r="A8" s="14" t="str">
        <x:v>KRDS-SEC-017-U-02</x:v>
      </x:c>
      <x:c r="B8" s="14" t="str">
        <x:v>컴포넌트</x:v>
      </x:c>
      <x:c r="C8" s="14" t="str">
        <x:v>아이덴티티</x:v>
      </x:c>
      <x:c r="D8" s="14" t="str">
        <x:v>공식 배너</x:v>
      </x:c>
      <x:c r="E8" s="14" t="str">
        <x:v>사용성 가이드라인</x:v>
      </x:c>
      <x:c r="F8" s="14" t="str">
        <x:v>02</x:v>
      </x:c>
      <x:c r="G8" s="14" t="n">
        <x:v>221</x:v>
      </x:c>
      <x:c r="H8" s="14" t="n">
        <x:v>221</x:v>
      </x:c>
      <x:c r="I8" s="14" t="str">
        <x:v>223</x:v>
      </x:c>
      <x:c r="J8" s="14" t="str">
        <x:v>배너가 지나치게 주의를 끌지 않도록 표현한다.</x:v>
      </x:c>
      <x:c r="K8" s="14" t="str">
        <x:v>UI-016</x:v>
      </x:c>
      <x:c r="L8" s="14" t="str">
        <x:v>추출 후 기본 구조 검토; 원문 적용수준·전체 맥락 재확인 필요</x:v>
      </x:c>
      <x:c r="M8" s="14" t="str">
        <x:v>미확인</x:v>
      </x:c>
    </x:row>
    <x:row r="9" ht="37.5" customHeight="1">
      <x:c r="A9" s="13" t="str">
        <x:v>KRDS-SEC-017-U-03</x:v>
      </x:c>
      <x:c r="B9" s="13" t="str">
        <x:v>컴포넌트</x:v>
      </x:c>
      <x:c r="C9" s="13" t="str">
        <x:v>아이덴티티</x:v>
      </x:c>
      <x:c r="D9" s="13" t="str">
        <x:v>공식 배너</x:v>
      </x:c>
      <x:c r="E9" s="13" t="str">
        <x:v>사용성 가이드라인</x:v>
      </x:c>
      <x:c r="F9" s="13" t="str">
        <x:v>03</x:v>
      </x:c>
      <x:c r="G9" s="13" t="n">
        <x:v>221</x:v>
      </x:c>
      <x:c r="H9" s="13" t="n">
        <x:v>221</x:v>
      </x:c>
      <x:c r="I9" s="13" t="str">
        <x:v>224</x:v>
      </x:c>
      <x:c r="J9" s="13" t="str">
        <x:v>배너 텍스트와 스타일을 변형하지 않는다.</x:v>
      </x:c>
      <x:c r="K9" s="13" t="str">
        <x:v>UI-016</x:v>
      </x:c>
      <x:c r="L9" s="13" t="str">
        <x:v>추출 후 기본 구조 검토; 원문 적용수준·전체 맥락 재확인 필요</x:v>
      </x:c>
      <x:c r="M9" s="13" t="str">
        <x:v>미확인</x:v>
      </x:c>
    </x:row>
    <x:row r="10" ht="37.5" customHeight="1">
      <x:c r="A10" s="14" t="str">
        <x:v>KRDS-SEC-017-U-04</x:v>
      </x:c>
      <x:c r="B10" s="14" t="str">
        <x:v>컴포넌트</x:v>
      </x:c>
      <x:c r="C10" s="14" t="str">
        <x:v>아이덴티티</x:v>
      </x:c>
      <x:c r="D10" s="14" t="str">
        <x:v>공식 배너</x:v>
      </x:c>
      <x:c r="E10" s="14" t="str">
        <x:v>사용성 가이드라인</x:v>
      </x:c>
      <x:c r="F10" s="14" t="str">
        <x:v>04</x:v>
      </x:c>
      <x:c r="G10" s="14" t="n">
        <x:v>221</x:v>
      </x:c>
      <x:c r="H10" s="14" t="n">
        <x:v>221</x:v>
      </x:c>
      <x:c r="I10" s="14" t="str">
        <x:v>225</x:v>
      </x:c>
      <x:c r="J10" s="14" t="str">
        <x:v>공식 디지털 정부서비스가 아닌 사이트에서는 배너를 사용하지 않아야 한다.</x:v>
      </x:c>
      <x:c r="K10" s="14" t="str">
        <x:v>UI-016</x:v>
      </x:c>
      <x:c r="L10" s="14" t="str">
        <x:v>추출 후 기본 구조 검토; 원문 적용수준·전체 맥락 재확인 필요</x:v>
      </x:c>
      <x:c r="M10" s="14" t="str">
        <x:v>미확인</x:v>
      </x:c>
    </x:row>
    <x:row r="11" ht="37.5" customHeight="1">
      <x:c r="A11" s="13" t="str">
        <x:v>KRDS-SEC-017-A-01</x:v>
      </x:c>
      <x:c r="B11" s="13" t="str">
        <x:v>컴포넌트</x:v>
      </x:c>
      <x:c r="C11" s="13" t="str">
        <x:v>아이덴티티</x:v>
      </x:c>
      <x:c r="D11" s="13" t="str">
        <x:v>공식 배너</x:v>
      </x:c>
      <x:c r="E11" s="13" t="str">
        <x:v>접근성 가이드라인</x:v>
      </x:c>
      <x:c r="F11" s="13" t="str">
        <x:v>01</x:v>
      </x:c>
      <x:c r="G11" s="13" t="n">
        <x:v>226</x:v>
      </x:c>
      <x:c r="H11" s="13" t="n">
        <x:v>226</x:v>
      </x:c>
      <x:c r="I11" s="13" t="str"/>
      <x:c r="J11" s="13" t="str">
        <x:v>건너뛰기 링크는 공식 배너 이전에 제공한다.</x:v>
      </x:c>
      <x:c r="K11" s="13" t="str">
        <x:v>UI-016</x:v>
      </x:c>
      <x:c r="L11" s="13" t="str">
        <x:v>추출 후 기본 구조 검토; 원문 적용수준·전체 맥락 재확인 필요</x:v>
      </x:c>
      <x:c r="M11" s="13" t="str">
        <x:v>미확인</x:v>
      </x:c>
    </x:row>
    <x:row r="12" ht="37.5" customHeight="1">
      <x:c r="A12" s="14" t="str">
        <x:v>KRDS-SEC-018-U-01</x:v>
      </x:c>
      <x:c r="B12" s="14" t="str">
        <x:v>컴포넌트</x:v>
      </x:c>
      <x:c r="C12" s="14" t="str">
        <x:v>아이덴티티</x:v>
      </x:c>
      <x:c r="D12" s="14" t="str">
        <x:v>운영기관 식별자</x:v>
      </x:c>
      <x:c r="E12" s="14" t="str">
        <x:v>사용성 가이드라인</x:v>
      </x:c>
      <x:c r="F12" s="14" t="str">
        <x:v>01</x:v>
      </x:c>
      <x:c r="G12" s="14" t="n">
        <x:v>230</x:v>
      </x:c>
      <x:c r="H12" s="14" t="n">
        <x:v>230</x:v>
      </x:c>
      <x:c r="I12" s="14" t="str"/>
      <x:c r="J12" s="14" t="str">
        <x:v>식별자가 지나치게 주의를 끌지 않도록 표현한다.</x:v>
      </x:c>
      <x:c r="K12" s="14" t="str">
        <x:v>UI-017, UI-126</x:v>
      </x:c>
      <x:c r="L12" s="14" t="str">
        <x:v>추출 후 기본 구조 검토; 원문 적용수준·전체 맥락 재확인 필요</x:v>
      </x:c>
      <x:c r="M12" s="14" t="str">
        <x:v>미확인</x:v>
      </x:c>
    </x:row>
    <x:row r="13" ht="37.5" customHeight="1">
      <x:c r="A13" s="13" t="str">
        <x:v>KRDS-SEC-018-U-02</x:v>
      </x:c>
      <x:c r="B13" s="13" t="str">
        <x:v>컴포넌트</x:v>
      </x:c>
      <x:c r="C13" s="13" t="str">
        <x:v>아이덴티티</x:v>
      </x:c>
      <x:c r="D13" s="13" t="str">
        <x:v>운영기관 식별자</x:v>
      </x:c>
      <x:c r="E13" s="13" t="str">
        <x:v>사용성 가이드라인</x:v>
      </x:c>
      <x:c r="F13" s="13" t="str">
        <x:v>02</x:v>
      </x:c>
      <x:c r="G13" s="13" t="n">
        <x:v>230</x:v>
      </x:c>
      <x:c r="H13" s="13" t="n">
        <x:v>230</x:v>
      </x:c>
      <x:c r="I13" s="13" t="str"/>
      <x:c r="J13" s="13" t="str">
        <x:v>로고 영역에는 서비스의 로고가 아니라 서비스 운영 주체와 관련된 기관의 로고를 제공한다.</x:v>
      </x:c>
      <x:c r="K13" s="13" t="str">
        <x:v>UI-017, UI-126</x:v>
      </x:c>
      <x:c r="L13" s="13" t="str">
        <x:v>추출 후 기본 구조 검토; 원문 적용수준·전체 맥락 재확인 필요</x:v>
      </x:c>
      <x:c r="M13" s="13" t="str">
        <x:v>미확인</x:v>
      </x:c>
    </x:row>
    <x:row r="14" ht="37.5" customHeight="1">
      <x:c r="A14" s="14" t="str">
        <x:v>KRDS-SEC-018-U-03</x:v>
      </x:c>
      <x:c r="B14" s="14" t="str">
        <x:v>컴포넌트</x:v>
      </x:c>
      <x:c r="C14" s="14" t="str">
        <x:v>아이덴티티</x:v>
      </x:c>
      <x:c r="D14" s="14" t="str">
        <x:v>운영기관 식별자</x:v>
      </x:c>
      <x:c r="E14" s="14" t="str">
        <x:v>사용성 가이드라인</x:v>
      </x:c>
      <x:c r="F14" s="14" t="str">
        <x:v>03</x:v>
      </x:c>
      <x:c r="G14" s="14" t="n">
        <x:v>231</x:v>
      </x:c>
      <x:c r="H14" s="14" t="n">
        <x:v>231</x:v>
      </x:c>
      <x:c r="I14" s="14" t="str"/>
      <x:c r="J14" s="14" t="str">
        <x:v>안내 텍스트와 요소의 배치를 변경하지 않는다.</x:v>
      </x:c>
      <x:c r="K14" s="14" t="str">
        <x:v>UI-017, UI-126</x:v>
      </x:c>
      <x:c r="L14" s="14" t="str">
        <x:v>추출 후 기본 구조 검토; 원문 적용수준·전체 맥락 재확인 필요</x:v>
      </x:c>
      <x:c r="M14" s="14" t="str">
        <x:v>미확인</x:v>
      </x:c>
    </x:row>
    <x:row r="15" ht="37.5" customHeight="1">
      <x:c r="A15" s="13" t="str">
        <x:v>KRDS-SEC-018-U-04</x:v>
      </x:c>
      <x:c r="B15" s="13" t="str">
        <x:v>컴포넌트</x:v>
      </x:c>
      <x:c r="C15" s="13" t="str">
        <x:v>아이덴티티</x:v>
      </x:c>
      <x:c r="D15" s="13" t="str">
        <x:v>운영기관 식별자</x:v>
      </x:c>
      <x:c r="E15" s="13" t="str">
        <x:v>사용성 가이드라인</x:v>
      </x:c>
      <x:c r="F15" s="13" t="str">
        <x:v>04</x:v>
      </x:c>
      <x:c r="G15" s="13" t="n">
        <x:v>231</x:v>
      </x:c>
      <x:c r="H15" s="13" t="n">
        <x:v>231</x:v>
      </x:c>
      <x:c r="I15" s="13" t="str"/>
      <x:c r="J15" s="13" t="str">
        <x:v>공식 디지털 정부서비스가 아닌 사이트에서는 식별자를 사용하지 않아야 한다.</x:v>
      </x:c>
      <x:c r="K15" s="13" t="str">
        <x:v>UI-017, UI-126</x:v>
      </x:c>
      <x:c r="L15" s="13" t="str">
        <x:v>추출 후 기본 구조 검토; 원문 적용수준·전체 맥락 재확인 필요</x:v>
      </x:c>
      <x:c r="M15" s="13" t="str">
        <x:v>미확인</x:v>
      </x:c>
    </x:row>
    <x:row r="16" ht="37.5" customHeight="1">
      <x:c r="A16" s="14" t="str">
        <x:v>KRDS-SEC-018-A-01</x:v>
      </x:c>
      <x:c r="B16" s="14" t="str">
        <x:v>컴포넌트</x:v>
      </x:c>
      <x:c r="C16" s="14" t="str">
        <x:v>아이덴티티</x:v>
      </x:c>
      <x:c r="D16" s="14" t="str">
        <x:v>운영기관 식별자</x:v>
      </x:c>
      <x:c r="E16" s="14" t="str">
        <x:v>접근성 가이드라인</x:v>
      </x:c>
      <x:c r="F16" s="14" t="str">
        <x:v>01</x:v>
      </x:c>
      <x:c r="G16" s="14" t="n">
        <x:v>232</x:v>
      </x:c>
      <x:c r="H16" s="14" t="n">
        <x:v>232</x:v>
      </x:c>
      <x:c r="I16" s="14" t="str"/>
      <x:c r="J16" s="14" t="str">
        <x:v>식별자 영역은 구조적으로 푸터 내부에 포함되도록 제공한다.</x:v>
      </x:c>
      <x:c r="K16" s="14" t="str">
        <x:v>UI-017, UI-126</x:v>
      </x:c>
      <x:c r="L16" s="14" t="str">
        <x:v>추출 후 기본 구조 검토; 원문 적용수준·전체 맥락 재확인 필요</x:v>
      </x:c>
      <x:c r="M16" s="14" t="str">
        <x:v>미확인</x:v>
      </x:c>
    </x:row>
    <x:row r="17" ht="37.5" customHeight="1">
      <x:c r="A17" s="13" t="str">
        <x:v>KRDS-SEC-018-A-02</x:v>
      </x:c>
      <x:c r="B17" s="13" t="str">
        <x:v>컴포넌트</x:v>
      </x:c>
      <x:c r="C17" s="13" t="str">
        <x:v>아이덴티티</x:v>
      </x:c>
      <x:c r="D17" s="13" t="str">
        <x:v>운영기관 식별자</x:v>
      </x:c>
      <x:c r="E17" s="13" t="str">
        <x:v>접근성 가이드라인</x:v>
      </x:c>
      <x:c r="F17" s="13" t="str">
        <x:v>02</x:v>
      </x:c>
      <x:c r="G17" s="13" t="n">
        <x:v>232</x:v>
      </x:c>
      <x:c r="H17" s="13" t="n">
        <x:v>232</x:v>
      </x:c>
      <x:c r="I17" s="13" t="str"/>
      <x:c r="J17" s="13" t="str">
        <x:v>로고 이미지에 대체 텍스트를 제공한다.</x:v>
      </x:c>
      <x:c r="K17" s="13" t="str">
        <x:v>UI-017, UI-126</x:v>
      </x:c>
      <x:c r="L17" s="13" t="str">
        <x:v>추출 후 기본 구조 검토; 원문 적용수준·전체 맥락 재확인 필요</x:v>
      </x:c>
      <x:c r="M17" s="13" t="str">
        <x:v>미확인</x:v>
      </x:c>
    </x:row>
    <x:row r="18" ht="37.5" customHeight="1">
      <x:c r="A18" s="14" t="str">
        <x:v>KRDS-SEC-019-U-01</x:v>
      </x:c>
      <x:c r="B18" s="14" t="str">
        <x:v>컴포넌트</x:v>
      </x:c>
      <x:c r="C18" s="14" t="str">
        <x:v>아이덴티티</x:v>
      </x:c>
      <x:c r="D18" s="14" t="str">
        <x:v>헤더</x:v>
      </x:c>
      <x:c r="E18" s="14" t="str">
        <x:v>사용성 가이드라인</x:v>
      </x:c>
      <x:c r="F18" s="14" t="str">
        <x:v>01</x:v>
      </x:c>
      <x:c r="G18" s="14" t="n">
        <x:v>235</x:v>
      </x:c>
      <x:c r="H18" s="14" t="n">
        <x:v>235</x:v>
      </x:c>
      <x:c r="I18" s="14" t="str">
        <x:v>236</x:v>
      </x:c>
      <x:c r="J18" s="14" t="str">
        <x:v>헤더의 스타일 수정을 최소화한다.</x:v>
      </x:c>
      <x:c r="K18" s="14" t="str">
        <x:v>UI-018, UI-101</x:v>
      </x:c>
      <x:c r="L18" s="14" t="str">
        <x:v>추출 후 기본 구조 검토; 원문 적용수준·전체 맥락 재확인 필요</x:v>
      </x:c>
      <x:c r="M18" s="14" t="str">
        <x:v>미확인</x:v>
      </x:c>
    </x:row>
    <x:row r="19" ht="37.5" customHeight="1">
      <x:c r="A19" s="13" t="str">
        <x:v>KRDS-SEC-019-U-02</x:v>
      </x:c>
      <x:c r="B19" s="13" t="str">
        <x:v>컴포넌트</x:v>
      </x:c>
      <x:c r="C19" s="13" t="str">
        <x:v>아이덴티티</x:v>
      </x:c>
      <x:c r="D19" s="13" t="str">
        <x:v>헤더</x:v>
      </x:c>
      <x:c r="E19" s="13" t="str">
        <x:v>사용성 가이드라인</x:v>
      </x:c>
      <x:c r="F19" s="13" t="str">
        <x:v>02</x:v>
      </x:c>
      <x:c r="G19" s="13" t="n">
        <x:v>235</x:v>
      </x:c>
      <x:c r="H19" s="13" t="n">
        <x:v>235</x:v>
      </x:c>
      <x:c r="I19" s="13" t="str">
        <x:v>236</x:v>
      </x:c>
      <x:c r="J19" s="13" t="str">
        <x:v>정부 로고는 항상 헤더의 왼쪽 상단에 제공한다.</x:v>
      </x:c>
      <x:c r="K19" s="13" t="str">
        <x:v>UI-018, UI-101</x:v>
      </x:c>
      <x:c r="L19" s="13" t="str">
        <x:v>추출 후 기본 구조 검토; 원문 적용수준·전체 맥락 재확인 필요</x:v>
      </x:c>
      <x:c r="M19" s="13" t="str">
        <x:v>미확인</x:v>
      </x:c>
    </x:row>
    <x:row r="20" ht="37.5" customHeight="1">
      <x:c r="A20" s="14" t="str">
        <x:v>KRDS-SEC-019-U-03</x:v>
      </x:c>
      <x:c r="B20" s="14" t="str">
        <x:v>컴포넌트</x:v>
      </x:c>
      <x:c r="C20" s="14" t="str">
        <x:v>아이덴티티</x:v>
      </x:c>
      <x:c r="D20" s="14" t="str">
        <x:v>헤더</x:v>
      </x:c>
      <x:c r="E20" s="14" t="str">
        <x:v>사용성 가이드라인</x:v>
      </x:c>
      <x:c r="F20" s="14" t="str">
        <x:v>03</x:v>
      </x:c>
      <x:c r="G20" s="14" t="n">
        <x:v>235</x:v>
      </x:c>
      <x:c r="H20" s="14" t="n">
        <x:v>235</x:v>
      </x:c>
      <x:c r="I20" s="14" t="str">
        <x:v>236</x:v>
      </x:c>
      <x:c r="J20" s="14" t="str">
        <x:v>헤더의 내부 컴포넌트를 일관된 순서로 배치한다.</x:v>
      </x:c>
      <x:c r="K20" s="14" t="str">
        <x:v>UI-018, UI-101</x:v>
      </x:c>
      <x:c r="L20" s="14" t="str">
        <x:v>추출 후 기본 구조 검토; 원문 적용수준·전체 맥락 재확인 필요</x:v>
      </x:c>
      <x:c r="M20" s="14" t="str">
        <x:v>미확인</x:v>
      </x:c>
    </x:row>
    <x:row r="21" ht="37.5" customHeight="1">
      <x:c r="A21" s="13" t="str">
        <x:v>KRDS-SEC-019-U-04</x:v>
      </x:c>
      <x:c r="B21" s="13" t="str">
        <x:v>컴포넌트</x:v>
      </x:c>
      <x:c r="C21" s="13" t="str">
        <x:v>아이덴티티</x:v>
      </x:c>
      <x:c r="D21" s="13" t="str">
        <x:v>헤더</x:v>
      </x:c>
      <x:c r="E21" s="13" t="str">
        <x:v>사용성 가이드라인</x:v>
      </x:c>
      <x:c r="F21" s="13" t="str">
        <x:v>04</x:v>
      </x:c>
      <x:c r="G21" s="13" t="n">
        <x:v>235</x:v>
      </x:c>
      <x:c r="H21" s="13" t="n">
        <x:v>235</x:v>
      </x:c>
      <x:c r="I21" s="13" t="str">
        <x:v>236</x:v>
      </x:c>
      <x:c r="J21" s="13" t="str">
        <x:v>핵심적인 정보만 간결하게 제공한다.</x:v>
      </x:c>
      <x:c r="K21" s="13" t="str">
        <x:v>UI-018, UI-101</x:v>
      </x:c>
      <x:c r="L21" s="13" t="str">
        <x:v>추출 후 기본 구조 검토; 원문 적용수준·전체 맥락 재확인 필요</x:v>
      </x:c>
      <x:c r="M21" s="13" t="str">
        <x:v>미확인</x:v>
      </x:c>
    </x:row>
    <x:row r="22" ht="37.5" customHeight="1">
      <x:c r="A22" s="14" t="str">
        <x:v>KRDS-SEC-019-U-05</x:v>
      </x:c>
      <x:c r="B22" s="14" t="str">
        <x:v>컴포넌트</x:v>
      </x:c>
      <x:c r="C22" s="14" t="str">
        <x:v>아이덴티티</x:v>
      </x:c>
      <x:c r="D22" s="14" t="str">
        <x:v>헤더</x:v>
      </x:c>
      <x:c r="E22" s="14" t="str">
        <x:v>사용성 가이드라인</x:v>
      </x:c>
      <x:c r="F22" s="14" t="str">
        <x:v>05</x:v>
      </x:c>
      <x:c r="G22" s="14" t="n">
        <x:v>235</x:v>
      </x:c>
      <x:c r="H22" s="14" t="n">
        <x:v>235</x:v>
      </x:c>
      <x:c r="I22" s="14" t="str">
        <x:v>237</x:v>
      </x:c>
      <x:c r="J22" s="14" t="str">
        <x:v>유틸리티 링크 그룹은 헤더 우측 상단에 제공한다.</x:v>
      </x:c>
      <x:c r="K22" s="14" t="str">
        <x:v>UI-018, UI-101</x:v>
      </x:c>
      <x:c r="L22" s="14" t="str">
        <x:v>추출 후 기본 구조 검토; 원문 적용수준·전체 맥락 재확인 필요</x:v>
      </x:c>
      <x:c r="M22" s="14" t="str">
        <x:v>미확인</x:v>
      </x:c>
    </x:row>
    <x:row r="23" ht="37.5" customHeight="1">
      <x:c r="A23" s="13" t="str">
        <x:v>KRDS-SEC-019-U-06</x:v>
      </x:c>
      <x:c r="B23" s="13" t="str">
        <x:v>컴포넌트</x:v>
      </x:c>
      <x:c r="C23" s="13" t="str">
        <x:v>아이덴티티</x:v>
      </x:c>
      <x:c r="D23" s="13" t="str">
        <x:v>헤더</x:v>
      </x:c>
      <x:c r="E23" s="13" t="str">
        <x:v>사용성 가이드라인</x:v>
      </x:c>
      <x:c r="F23" s="13" t="str">
        <x:v>06</x:v>
      </x:c>
      <x:c r="G23" s="13" t="n">
        <x:v>235</x:v>
      </x:c>
      <x:c r="H23" s="13" t="n">
        <x:v>235</x:v>
      </x:c>
      <x:c r="I23" s="13" t="str">
        <x:v>237</x:v>
      </x:c>
      <x:c r="J23" s="13" t="str">
        <x:v>유틸리티 링크 그룹을 디바이더로 구분하여 표현한다.</x:v>
      </x:c>
      <x:c r="K23" s="13" t="str">
        <x:v>UI-018, UI-101</x:v>
      </x:c>
      <x:c r="L23" s="13" t="str">
        <x:v>추출 후 기본 구조 검토; 원문 적용수준·전체 맥락 재확인 필요</x:v>
      </x:c>
      <x:c r="M23" s="13" t="str">
        <x:v>미확인</x:v>
      </x:c>
    </x:row>
    <x:row r="24" ht="37.5" customHeight="1">
      <x:c r="A24" s="14" t="str">
        <x:v>KRDS-SEC-019-U-07</x:v>
      </x:c>
      <x:c r="B24" s="14" t="str">
        <x:v>컴포넌트</x:v>
      </x:c>
      <x:c r="C24" s="14" t="str">
        <x:v>아이덴티티</x:v>
      </x:c>
      <x:c r="D24" s="14" t="str">
        <x:v>헤더</x:v>
      </x:c>
      <x:c r="E24" s="14" t="str">
        <x:v>사용성 가이드라인</x:v>
      </x:c>
      <x:c r="F24" s="14" t="str">
        <x:v>07</x:v>
      </x:c>
      <x:c r="G24" s="14" t="n">
        <x:v>235</x:v>
      </x:c>
      <x:c r="H24" s="14" t="n">
        <x:v>235</x:v>
      </x:c>
      <x:c r="I24" s="14" t="str">
        <x:v>238</x:v>
      </x:c>
      <x:c r="J24" s="14" t="str">
        <x:v>유틸리티 링크가 5개 이상 필요한 경우 드롭다운 메뉴를 사용한다.</x:v>
      </x:c>
      <x:c r="K24" s="14" t="str">
        <x:v>UI-018, UI-101</x:v>
      </x:c>
      <x:c r="L24" s="14" t="str">
        <x:v>추출 후 기본 구조 검토; 원문 적용수준·전체 맥락 재확인 필요</x:v>
      </x:c>
      <x:c r="M24" s="14" t="str">
        <x:v>미확인</x:v>
      </x:c>
    </x:row>
    <x:row r="25" ht="37.5" customHeight="1">
      <x:c r="A25" s="13" t="str">
        <x:v>KRDS-SEC-019-U-08</x:v>
      </x:c>
      <x:c r="B25" s="13" t="str">
        <x:v>컴포넌트</x:v>
      </x:c>
      <x:c r="C25" s="13" t="str">
        <x:v>아이덴티티</x:v>
      </x:c>
      <x:c r="D25" s="13" t="str">
        <x:v>헤더</x:v>
      </x:c>
      <x:c r="E25" s="13" t="str">
        <x:v>사용성 가이드라인</x:v>
      </x:c>
      <x:c r="F25" s="13" t="str">
        <x:v>08</x:v>
      </x:c>
      <x:c r="G25" s="13" t="n">
        <x:v>235</x:v>
      </x:c>
      <x:c r="H25" s="13" t="n">
        <x:v>235</x:v>
      </x:c>
      <x:c r="I25" s="13" t="str">
        <x:v>239</x:v>
      </x:c>
      <x:c r="J25" s="13" t="str">
        <x:v>언어 설정을 위한 드롭다운 메뉴에 국기를 사용하지 않는다.</x:v>
      </x:c>
      <x:c r="K25" s="13" t="str">
        <x:v>UI-018, UI-101</x:v>
      </x:c>
      <x:c r="L25" s="13" t="str">
        <x:v>추출 후 기본 구조 검토; 원문 적용수준·전체 맥락 재확인 필요</x:v>
      </x:c>
      <x:c r="M25" s="13" t="str">
        <x:v>미확인</x:v>
      </x:c>
    </x:row>
    <x:row r="26" ht="37.5" customHeight="1">
      <x:c r="A26" s="14" t="str">
        <x:v>KRDS-SEC-019-U-09</x:v>
      </x:c>
      <x:c r="B26" s="14" t="str">
        <x:v>컴포넌트</x:v>
      </x:c>
      <x:c r="C26" s="14" t="str">
        <x:v>아이덴티티</x:v>
      </x:c>
      <x:c r="D26" s="14" t="str">
        <x:v>헤더</x:v>
      </x:c>
      <x:c r="E26" s="14" t="str">
        <x:v>사용성 가이드라인</x:v>
      </x:c>
      <x:c r="F26" s="14" t="str">
        <x:v>09</x:v>
      </x:c>
      <x:c r="G26" s="14" t="n">
        <x:v>235</x:v>
      </x:c>
      <x:c r="H26" s="14" t="n">
        <x:v>235</x:v>
      </x:c>
      <x:c r="I26" s="14" t="str">
        <x:v>240</x:v>
      </x:c>
      <x:c r="J26" s="14" t="str">
        <x:v>아이콘 버튼/링크에 텍스트 레이블을 제공한다.</x:v>
      </x:c>
      <x:c r="K26" s="14" t="str">
        <x:v>UI-018, UI-101</x:v>
      </x:c>
      <x:c r="L26" s="14" t="str">
        <x:v>추출 후 기본 구조 검토; 원문 적용수준·전체 맥락 재확인 필요</x:v>
      </x:c>
      <x:c r="M26" s="14" t="str">
        <x:v>미확인</x:v>
      </x:c>
    </x:row>
    <x:row r="27" ht="37.5" customHeight="1">
      <x:c r="A27" s="13" t="str">
        <x:v>KRDS-SEC-019-U-10</x:v>
      </x:c>
      <x:c r="B27" s="13" t="str">
        <x:v>컴포넌트</x:v>
      </x:c>
      <x:c r="C27" s="13" t="str">
        <x:v>아이덴티티</x:v>
      </x:c>
      <x:c r="D27" s="13" t="str">
        <x:v>헤더</x:v>
      </x:c>
      <x:c r="E27" s="13" t="str">
        <x:v>사용성 가이드라인</x:v>
      </x:c>
      <x:c r="F27" s="13" t="str">
        <x:v>10</x:v>
      </x:c>
      <x:c r="G27" s="13" t="n">
        <x:v>235</x:v>
      </x:c>
      <x:c r="H27" s="13" t="n">
        <x:v>235</x:v>
      </x:c>
      <x:c r="I27" s="13" t="str">
        <x:v>241</x:v>
      </x:c>
      <x:c r="J27" s="13" t="str">
        <x:v>메인 메뉴와 검색의 위치는 웹사이트의 목적에 적합한 형태로 제공한다.</x:v>
      </x:c>
      <x:c r="K27" s="13" t="str">
        <x:v>UI-018, UI-101</x:v>
      </x:c>
      <x:c r="L27" s="13" t="str">
        <x:v>추출 후 기본 구조 검토; 원문 적용수준·전체 맥락 재확인 필요</x:v>
      </x:c>
      <x:c r="M27" s="13" t="str">
        <x:v>미확인</x:v>
      </x:c>
    </x:row>
    <x:row r="28" ht="37.5" customHeight="1">
      <x:c r="A28" s="14" t="str">
        <x:v>KRDS-SEC-019-U-11</x:v>
      </x:c>
      <x:c r="B28" s="14" t="str">
        <x:v>컴포넌트</x:v>
      </x:c>
      <x:c r="C28" s="14" t="str">
        <x:v>아이덴티티</x:v>
      </x:c>
      <x:c r="D28" s="14" t="str">
        <x:v>헤더</x:v>
      </x:c>
      <x:c r="E28" s="14" t="str">
        <x:v>사용성 가이드라인</x:v>
      </x:c>
      <x:c r="F28" s="14" t="str">
        <x:v>11</x:v>
      </x:c>
      <x:c r="G28" s="14" t="n">
        <x:v>235</x:v>
      </x:c>
      <x:c r="H28" s="14" t="n">
        <x:v>235</x:v>
      </x:c>
      <x:c r="I28" s="14" t="str">
        <x:v>242</x:v>
      </x:c>
      <x:c r="J28" s="14" t="str">
        <x:v>화면을 스크롤 했을 때 헤더를 뷰포트 상단에 고정할 수 있다.</x:v>
      </x:c>
      <x:c r="K28" s="14" t="str">
        <x:v>UI-018, UI-101</x:v>
      </x:c>
      <x:c r="L28" s="14" t="str">
        <x:v>추출 후 기본 구조 검토; 원문 적용수준·전체 맥락 재확인 필요</x:v>
      </x:c>
      <x:c r="M28" s="14" t="str">
        <x:v>미확인</x:v>
      </x:c>
    </x:row>
    <x:row r="29" ht="37.5" customHeight="1">
      <x:c r="A29" s="13" t="str">
        <x:v>KRDS-SEC-019-P-01</x:v>
      </x:c>
      <x:c r="B29" s="13" t="str">
        <x:v>컴포넌트</x:v>
      </x:c>
      <x:c r="C29" s="13" t="str">
        <x:v>아이덴티티</x:v>
      </x:c>
      <x:c r="D29" s="13" t="str">
        <x:v>헤더</x:v>
      </x:c>
      <x:c r="E29" s="13" t="str">
        <x:v>플랫폼에 대한 고려 사항</x:v>
      </x:c>
      <x:c r="F29" s="13" t="str">
        <x:v>01</x:v>
      </x:c>
      <x:c r="G29" s="13" t="n">
        <x:v>244</x:v>
      </x:c>
      <x:c r="H29" s="13" t="n">
        <x:v>244</x:v>
      </x:c>
      <x:c r="I29" s="13" t="str"/>
      <x:c r="J29" s="13" t="str">
        <x:v>화면 너비가 충분하지 않아 메인 메뉴를 표시할 수 없을 때 햄버거 메뉴 형태로 제공할 수 있다.</x:v>
      </x:c>
      <x:c r="K29" s="13" t="str">
        <x:v>UI-018, UI-101</x:v>
      </x:c>
      <x:c r="L29" s="13" t="str">
        <x:v>추출 후 기본 구조 검토; 원문 적용수준·전체 맥락 재확인 필요</x:v>
      </x:c>
      <x:c r="M29" s="13" t="str">
        <x:v>미확인</x:v>
      </x:c>
    </x:row>
    <x:row r="30" ht="37.5" customHeight="1">
      <x:c r="A30" s="14" t="str">
        <x:v>KRDS-SEC-019-A-01</x:v>
      </x:c>
      <x:c r="B30" s="14" t="str">
        <x:v>컴포넌트</x:v>
      </x:c>
      <x:c r="C30" s="14" t="str">
        <x:v>아이덴티티</x:v>
      </x:c>
      <x:c r="D30" s="14" t="str">
        <x:v>헤더</x:v>
      </x:c>
      <x:c r="E30" s="14" t="str">
        <x:v>접근성 가이드라인</x:v>
      </x:c>
      <x:c r="F30" s="14" t="str">
        <x:v>01</x:v>
      </x:c>
      <x:c r="G30" s="14" t="n">
        <x:v>245</x:v>
      </x:c>
      <x:c r="H30" s="14" t="n">
        <x:v>245</x:v>
      </x:c>
      <x:c r="I30" s="14" t="str"/>
      <x:c r="J30" s="14" t="str">
        <x:v>건너뛰기 링크를 최상단에 배치한다.</x:v>
      </x:c>
      <x:c r="K30" s="14" t="str">
        <x:v>UI-018, UI-101</x:v>
      </x:c>
      <x:c r="L30" s="14" t="str">
        <x:v>추출 후 기본 구조 검토; 원문 적용수준·전체 맥락 재확인 필요</x:v>
      </x:c>
      <x:c r="M30" s="14" t="str">
        <x:v>미확인</x:v>
      </x:c>
    </x:row>
    <x:row r="31" ht="37.5" customHeight="1">
      <x:c r="A31" s="13" t="str">
        <x:v>KRDS-SEC-019-A-02</x:v>
      </x:c>
      <x:c r="B31" s="13" t="str">
        <x:v>컴포넌트</x:v>
      </x:c>
      <x:c r="C31" s="13" t="str">
        <x:v>아이덴티티</x:v>
      </x:c>
      <x:c r="D31" s="13" t="str">
        <x:v>헤더</x:v>
      </x:c>
      <x:c r="E31" s="13" t="str">
        <x:v>접근성 가이드라인</x:v>
      </x:c>
      <x:c r="F31" s="13" t="str">
        <x:v>02</x:v>
      </x:c>
      <x:c r="G31" s="13" t="n">
        <x:v>245</x:v>
      </x:c>
      <x:c r="H31" s="13" t="n">
        <x:v>245</x:v>
      </x:c>
      <x:c r="I31" s="13" t="str"/>
      <x:c r="J31" s="13" t="str">
        <x:v>로고 이미지에 대체 텍스트를 제공한다.</x:v>
      </x:c>
      <x:c r="K31" s="13" t="str">
        <x:v>UI-018, UI-101</x:v>
      </x:c>
      <x:c r="L31" s="13" t="str">
        <x:v>추출 후 기본 구조 검토; 원문 적용수준·전체 맥락 재확인 필요</x:v>
      </x:c>
      <x:c r="M31" s="13" t="str">
        <x:v>미확인</x:v>
      </x:c>
    </x:row>
    <x:row r="32" ht="37.5" customHeight="1">
      <x:c r="A32" s="14" t="str">
        <x:v>KRDS-SEC-020-U-01</x:v>
      </x:c>
      <x:c r="B32" s="14" t="str">
        <x:v>컴포넌트</x:v>
      </x:c>
      <x:c r="C32" s="14" t="str">
        <x:v>아이덴티티</x:v>
      </x:c>
      <x:c r="D32" s="14" t="str">
        <x:v>푸터</x:v>
      </x:c>
      <x:c r="E32" s="14" t="str">
        <x:v>사용성 가이드라인</x:v>
      </x:c>
      <x:c r="F32" s="14" t="str">
        <x:v>01</x:v>
      </x:c>
      <x:c r="G32" s="14" t="n">
        <x:v>247</x:v>
      </x:c>
      <x:c r="H32" s="14" t="n">
        <x:v>247</x:v>
      </x:c>
      <x:c r="I32" s="14" t="str">
        <x:v>248</x:v>
      </x:c>
      <x:c r="J32" s="14" t="str">
        <x:v>모든 화면에 푸터를 일관된 위치에 제공해야 한다.</x:v>
      </x:c>
      <x:c r="K32" s="14" t="str">
        <x:v>UI-019, UI-125, UI-127</x:v>
      </x:c>
      <x:c r="L32" s="14" t="str">
        <x:v>추출 후 기본 구조 검토; 원문 적용수준·전체 맥락 재확인 필요</x:v>
      </x:c>
      <x:c r="M32" s="14" t="str">
        <x:v>미확인</x:v>
      </x:c>
    </x:row>
    <x:row r="33" ht="37.5" customHeight="1">
      <x:c r="A33" s="13" t="str">
        <x:v>KRDS-SEC-020-U-02</x:v>
      </x:c>
      <x:c r="B33" s="13" t="str">
        <x:v>컴포넌트</x:v>
      </x:c>
      <x:c r="C33" s="13" t="str">
        <x:v>아이덴티티</x:v>
      </x:c>
      <x:c r="D33" s="13" t="str">
        <x:v>푸터</x:v>
      </x:c>
      <x:c r="E33" s="13" t="str">
        <x:v>사용성 가이드라인</x:v>
      </x:c>
      <x:c r="F33" s="13" t="str">
        <x:v>02</x:v>
      </x:c>
      <x:c r="G33" s="13" t="n">
        <x:v>247</x:v>
      </x:c>
      <x:c r="H33" s="13" t="n">
        <x:v>247</x:v>
      </x:c>
      <x:c r="I33" s="13" t="str">
        <x:v>249</x:v>
      </x:c>
      <x:c r="J33" s="13" t="str">
        <x:v>모든 디지털 정부서비스에서 푸터 섹션의 정보는 일관된 순서로 제공한다.</x:v>
      </x:c>
      <x:c r="K33" s="13" t="str">
        <x:v>UI-019, UI-125, UI-127</x:v>
      </x:c>
      <x:c r="L33" s="13" t="str">
        <x:v>추출 후 기본 구조 검토; 원문 적용수준·전체 맥락 재확인 필요</x:v>
      </x:c>
      <x:c r="M33" s="13" t="str">
        <x:v>미확인</x:v>
      </x:c>
    </x:row>
    <x:row r="34" ht="37.5" customHeight="1">
      <x:c r="A34" s="14" t="str">
        <x:v>KRDS-SEC-020-U-03</x:v>
      </x:c>
      <x:c r="B34" s="14" t="str">
        <x:v>컴포넌트</x:v>
      </x:c>
      <x:c r="C34" s="14" t="str">
        <x:v>아이덴티티</x:v>
      </x:c>
      <x:c r="D34" s="14" t="str">
        <x:v>푸터</x:v>
      </x:c>
      <x:c r="E34" s="14" t="str">
        <x:v>사용성 가이드라인</x:v>
      </x:c>
      <x:c r="F34" s="14" t="str">
        <x:v>03</x:v>
      </x:c>
      <x:c r="G34" s="14" t="n">
        <x:v>247</x:v>
      </x:c>
      <x:c r="H34" s="14" t="n">
        <x:v>247</x:v>
      </x:c>
      <x:c r="I34" s="14" t="str">
        <x:v>249</x:v>
      </x:c>
      <x:c r="J34" s="14" t="str">
        <x:v>개인정보처리방침을 반드시 표시한다.</x:v>
      </x:c>
      <x:c r="K34" s="14" t="str">
        <x:v>UI-019, UI-125, UI-127</x:v>
      </x:c>
      <x:c r="L34" s="14" t="str">
        <x:v>추출 후 기본 구조 검토; 원문 적용수준·전체 맥락 재확인 필요</x:v>
      </x:c>
      <x:c r="M34" s="14" t="str">
        <x:v>미확인</x:v>
      </x:c>
    </x:row>
    <x:row r="35" ht="37.5" customHeight="1">
      <x:c r="A35" s="13" t="str">
        <x:v>KRDS-SEC-020-U-04</x:v>
      </x:c>
      <x:c r="B35" s="13" t="str">
        <x:v>컴포넌트</x:v>
      </x:c>
      <x:c r="C35" s="13" t="str">
        <x:v>아이덴티티</x:v>
      </x:c>
      <x:c r="D35" s="13" t="str">
        <x:v>푸터</x:v>
      </x:c>
      <x:c r="E35" s="13" t="str">
        <x:v>사용성 가이드라인</x:v>
      </x:c>
      <x:c r="F35" s="13" t="str">
        <x:v>04</x:v>
      </x:c>
      <x:c r="G35" s="13" t="n">
        <x:v>247</x:v>
      </x:c>
      <x:c r="H35" s="13" t="n">
        <x:v>247</x:v>
      </x:c>
      <x:c r="I35" s="13" t="str">
        <x:v>249</x:v>
      </x:c>
      <x:c r="J35" s="13" t="str">
        <x:v>전자상거래가 포함된 경우 이용약관을 반드시 표시한다.</x:v>
      </x:c>
      <x:c r="K35" s="13" t="str">
        <x:v>UI-019, UI-125, UI-127</x:v>
      </x:c>
      <x:c r="L35" s="13" t="str">
        <x:v>추출 후 기본 구조 검토; 원문 적용수준·전체 맥락 재확인 필요</x:v>
      </x:c>
      <x:c r="M35" s="13" t="str">
        <x:v>미확인</x:v>
      </x:c>
    </x:row>
    <x:row r="36" ht="37.5" customHeight="1">
      <x:c r="A36" s="14" t="str">
        <x:v>KRDS-SEC-020-U-05</x:v>
      </x:c>
      <x:c r="B36" s="14" t="str">
        <x:v>컴포넌트</x:v>
      </x:c>
      <x:c r="C36" s="14" t="str">
        <x:v>아이덴티티</x:v>
      </x:c>
      <x:c r="D36" s="14" t="str">
        <x:v>푸터</x:v>
      </x:c>
      <x:c r="E36" s="14" t="str">
        <x:v>사용성 가이드라인</x:v>
      </x:c>
      <x:c r="F36" s="14" t="str">
        <x:v>05</x:v>
      </x:c>
      <x:c r="G36" s="14" t="n">
        <x:v>247</x:v>
      </x:c>
      <x:c r="H36" s="14" t="n">
        <x:v>247</x:v>
      </x:c>
      <x:c r="I36" s="14" t="str">
        <x:v>250</x:v>
      </x:c>
      <x:c r="J36" s="14" t="str">
        <x:v>사용자들이 빈번하게 찾는 링크를 배치한다.</x:v>
      </x:c>
      <x:c r="K36" s="14" t="str">
        <x:v>UI-019, UI-125, UI-127</x:v>
      </x:c>
      <x:c r="L36" s="14" t="str">
        <x:v>추출 후 기본 구조 검토; 원문 적용수준·전체 맥락 재확인 필요</x:v>
      </x:c>
      <x:c r="M36" s="14" t="str">
        <x:v>미확인</x:v>
      </x:c>
    </x:row>
    <x:row r="37" ht="37.5" customHeight="1">
      <x:c r="A37" s="13" t="str">
        <x:v>KRDS-SEC-020-U-06</x:v>
      </x:c>
      <x:c r="B37" s="13" t="str">
        <x:v>컴포넌트</x:v>
      </x:c>
      <x:c r="C37" s="13" t="str">
        <x:v>아이덴티티</x:v>
      </x:c>
      <x:c r="D37" s="13" t="str">
        <x:v>푸터</x:v>
      </x:c>
      <x:c r="E37" s="13" t="str">
        <x:v>사용성 가이드라인</x:v>
      </x:c>
      <x:c r="F37" s="13" t="str">
        <x:v>06</x:v>
      </x:c>
      <x:c r="G37" s="13" t="n">
        <x:v>247</x:v>
      </x:c>
      <x:c r="H37" s="13" t="n">
        <x:v>247</x:v>
      </x:c>
      <x:c r="I37" s="13" t="str">
        <x:v>250</x:v>
      </x:c>
      <x:c r="J37" s="13" t="str">
        <x:v>푸터에 제공하는 서비스 내비게이션은 기본 내비게이션과 동일한 구조 및 레이블을 따라야 한다.</x:v>
      </x:c>
      <x:c r="K37" s="13" t="str">
        <x:v>UI-019, UI-125, UI-127</x:v>
      </x:c>
      <x:c r="L37" s="13" t="str">
        <x:v>추출 후 기본 구조 검토; 원문 적용수준·전체 맥락 재확인 필요</x:v>
      </x:c>
      <x:c r="M37" s="13" t="str">
        <x:v>미확인</x:v>
      </x:c>
    </x:row>
    <x:row r="38" ht="37.5" customHeight="1">
      <x:c r="A38" s="14" t="str">
        <x:v>KRDS-SEC-020-U-07</x:v>
      </x:c>
      <x:c r="B38" s="14" t="str">
        <x:v>컴포넌트</x:v>
      </x:c>
      <x:c r="C38" s="14" t="str">
        <x:v>아이덴티티</x:v>
      </x:c>
      <x:c r="D38" s="14" t="str">
        <x:v>푸터</x:v>
      </x:c>
      <x:c r="E38" s="14" t="str">
        <x:v>사용성 가이드라인</x:v>
      </x:c>
      <x:c r="F38" s="14" t="str">
        <x:v>07</x:v>
      </x:c>
      <x:c r="G38" s="14" t="n">
        <x:v>247</x:v>
      </x:c>
      <x:c r="H38" s="14" t="n">
        <x:v>247</x:v>
      </x:c>
      <x:c r="I38" s="14" t="str">
        <x:v>250</x:v>
      </x:c>
      <x:c r="J38" s="14" t="str">
        <x:v>연락처 정보와 각종 링크는 항상 최신 상태로 유지한다.</x:v>
      </x:c>
      <x:c r="K38" s="14" t="str">
        <x:v>UI-019, UI-125, UI-127</x:v>
      </x:c>
      <x:c r="L38" s="14" t="str">
        <x:v>추출 후 기본 구조 검토; 원문 적용수준·전체 맥락 재확인 필요</x:v>
      </x:c>
      <x:c r="M38" s="14" t="str">
        <x:v>미확인</x:v>
      </x:c>
    </x:row>
    <x:row r="39" ht="37.5" customHeight="1">
      <x:c r="A39" s="13" t="str">
        <x:v>KRDS-SEC-020-P-01</x:v>
      </x:c>
      <x:c r="B39" s="13" t="str">
        <x:v>컴포넌트</x:v>
      </x:c>
      <x:c r="C39" s="13" t="str">
        <x:v>아이덴티티</x:v>
      </x:c>
      <x:c r="D39" s="13" t="str">
        <x:v>푸터</x:v>
      </x:c>
      <x:c r="E39" s="13" t="str">
        <x:v>플랫폼에 대한 고려 사항</x:v>
      </x:c>
      <x:c r="F39" s="13" t="str">
        <x:v>01</x:v>
      </x:c>
      <x:c r="G39" s="13" t="n">
        <x:v>251</x:v>
      </x:c>
      <x:c r="H39" s="13" t="n">
        <x:v>251</x:v>
      </x:c>
      <x:c r="I39" s="13" t="str"/>
      <x:c r="J39" s="13" t="str">
        <x:v>작은 화면 너비에서도 푸터의 정보 요소는 상대적으로 동일한 순서로 제공되도록 표현한다.</x:v>
      </x:c>
      <x:c r="K39" s="13" t="str">
        <x:v>UI-019, UI-125, UI-127</x:v>
      </x:c>
      <x:c r="L39" s="13" t="str">
        <x:v>추출 후 기본 구조 검토; 원문 적용수준·전체 맥락 재확인 필요</x:v>
      </x:c>
      <x:c r="M39" s="13" t="str">
        <x:v>미확인</x:v>
      </x:c>
    </x:row>
    <x:row r="40" ht="37.5" customHeight="1">
      <x:c r="A40" s="14" t="str">
        <x:v>KRDS-SEC-020-A-01</x:v>
      </x:c>
      <x:c r="B40" s="14" t="str">
        <x:v>컴포넌트</x:v>
      </x:c>
      <x:c r="C40" s="14" t="str">
        <x:v>아이덴티티</x:v>
      </x:c>
      <x:c r="D40" s="14" t="str">
        <x:v>푸터</x:v>
      </x:c>
      <x:c r="E40" s="14" t="str">
        <x:v>접근성 가이드라인</x:v>
      </x:c>
      <x:c r="F40" s="14" t="str">
        <x:v>01</x:v>
      </x:c>
      <x:c r="G40" s="14" t="n">
        <x:v>252</x:v>
      </x:c>
      <x:c r="H40" s="14" t="n">
        <x:v>252</x:v>
      </x:c>
      <x:c r="I40" s="14" t="str"/>
      <x:c r="J40" s="14" t="str">
        <x:v>푸터 영역이 스크린 리더에 인지될 수 있는 방식으로 제공한다.</x:v>
      </x:c>
      <x:c r="K40" s="14" t="str">
        <x:v>UI-019, UI-125, UI-127</x:v>
      </x:c>
      <x:c r="L40" s="14" t="str">
        <x:v>추출 후 기본 구조 검토; 원문 적용수준·전체 맥락 재확인 필요</x:v>
      </x:c>
      <x:c r="M40" s="14" t="str">
        <x:v>미확인</x:v>
      </x:c>
    </x:row>
    <x:row r="41" ht="37.5" customHeight="1">
      <x:c r="A41" s="13" t="str">
        <x:v>KRDS-SEC-020-A-02</x:v>
      </x:c>
      <x:c r="B41" s="13" t="str">
        <x:v>컴포넌트</x:v>
      </x:c>
      <x:c r="C41" s="13" t="str">
        <x:v>아이덴티티</x:v>
      </x:c>
      <x:c r="D41" s="13" t="str">
        <x:v>푸터</x:v>
      </x:c>
      <x:c r="E41" s="13" t="str">
        <x:v>접근성 가이드라인</x:v>
      </x:c>
      <x:c r="F41" s="13" t="str">
        <x:v>02</x:v>
      </x:c>
      <x:c r="G41" s="13" t="n">
        <x:v>252</x:v>
      </x:c>
      <x:c r="H41" s="13" t="n">
        <x:v>252</x:v>
      </x:c>
      <x:c r="I41" s="13" t="str"/>
      <x:c r="J41" s="13" t="str">
        <x:v>로고 이미지에 대체 텍스트를 제공한다.</x:v>
      </x:c>
      <x:c r="K41" s="13" t="str">
        <x:v>UI-019, UI-125, UI-127</x:v>
      </x:c>
      <x:c r="L41" s="13" t="str">
        <x:v>추출 후 기본 구조 검토; 원문 적용수준·전체 맥락 재확인 필요</x:v>
      </x:c>
      <x:c r="M41" s="13" t="str">
        <x:v>미확인</x:v>
      </x:c>
    </x:row>
    <x:row r="42" ht="37.5" customHeight="1">
      <x:c r="A42" s="14" t="str">
        <x:v>KRDS-SEC-021-U-01</x:v>
      </x:c>
      <x:c r="B42" s="14" t="str">
        <x:v>컴포넌트</x:v>
      </x:c>
      <x:c r="C42" s="14" t="str">
        <x:v>탐색</x:v>
      </x:c>
      <x:c r="D42" s="14" t="str">
        <x:v>건너뛰기 링크</x:v>
      </x:c>
      <x:c r="E42" s="14" t="str">
        <x:v>사용성 가이드라인</x:v>
      </x:c>
      <x:c r="F42" s="14" t="str">
        <x:v>01</x:v>
      </x:c>
      <x:c r="G42" s="14" t="n">
        <x:v>257</x:v>
      </x:c>
      <x:c r="H42" s="14" t="n">
        <x:v>257</x:v>
      </x:c>
      <x:c r="I42" s="14" t="str">
        <x:v>258</x:v>
      </x:c>
      <x:c r="J42" s="14" t="str">
        <x:v>웹사이트의 모든 화면에 건너뛰기 링크를 제공한다.</x:v>
      </x:c>
      <x:c r="K42" s="14" t="str">
        <x:v>UI-020, UI-102</x:v>
      </x:c>
      <x:c r="L42" s="14" t="str">
        <x:v>추출 후 기본 구조 검토; 원문 적용수준·전체 맥락 재확인 필요</x:v>
      </x:c>
      <x:c r="M42" s="14" t="str">
        <x:v>미확인</x:v>
      </x:c>
    </x:row>
    <x:row r="43" ht="37.5" customHeight="1">
      <x:c r="A43" s="13" t="str">
        <x:v>KRDS-SEC-021-U-02</x:v>
      </x:c>
      <x:c r="B43" s="13" t="str">
        <x:v>컴포넌트</x:v>
      </x:c>
      <x:c r="C43" s="13" t="str">
        <x:v>탐색</x:v>
      </x:c>
      <x:c r="D43" s="13" t="str">
        <x:v>건너뛰기 링크</x:v>
      </x:c>
      <x:c r="E43" s="13" t="str">
        <x:v>사용성 가이드라인</x:v>
      </x:c>
      <x:c r="F43" s="13" t="str">
        <x:v>02</x:v>
      </x:c>
      <x:c r="G43" s="13" t="n">
        <x:v>257</x:v>
      </x:c>
      <x:c r="H43" s="13" t="n">
        <x:v>257</x:v>
      </x:c>
      <x:c r="I43" s="13" t="str">
        <x:v>258</x:v>
      </x:c>
      <x:c r="J43" s="13" t="str">
        <x:v>건너뛰기 링크의 개수는 3개 이내로 제공한다.</x:v>
      </x:c>
      <x:c r="K43" s="13" t="str">
        <x:v>UI-020, UI-102</x:v>
      </x:c>
      <x:c r="L43" s="13" t="str">
        <x:v>추출 후 기본 구조 검토; 원문 적용수준·전체 맥락 재확인 필요</x:v>
      </x:c>
      <x:c r="M43" s="13" t="str">
        <x:v>미확인</x:v>
      </x:c>
    </x:row>
    <x:row r="44" ht="37.5" customHeight="1">
      <x:c r="A44" s="14" t="str">
        <x:v>KRDS-SEC-021-U-03</x:v>
      </x:c>
      <x:c r="B44" s="14" t="str">
        <x:v>컴포넌트</x:v>
      </x:c>
      <x:c r="C44" s="14" t="str">
        <x:v>탐색</x:v>
      </x:c>
      <x:c r="D44" s="14" t="str">
        <x:v>건너뛰기 링크</x:v>
      </x:c>
      <x:c r="E44" s="14" t="str">
        <x:v>사용성 가이드라인</x:v>
      </x:c>
      <x:c r="F44" s="14" t="str">
        <x:v>03</x:v>
      </x:c>
      <x:c r="G44" s="14" t="n">
        <x:v>257</x:v>
      </x:c>
      <x:c r="H44" s="14" t="n">
        <x:v>257</x:v>
      </x:c>
      <x:c r="I44" s="14" t="str">
        <x:v>259</x:v>
      </x:c>
      <x:c r="J44" s="14" t="str">
        <x:v>건너뛰기 링크 외에 다른 콘텐츠 섹션 탐색 수단을 제공하는 방안을 고려한다.</x:v>
      </x:c>
      <x:c r="K44" s="14" t="str">
        <x:v>UI-020, UI-102</x:v>
      </x:c>
      <x:c r="L44" s="14" t="str">
        <x:v>추출 후 기본 구조 검토; 원문 적용수준·전체 맥락 재확인 필요</x:v>
      </x:c>
      <x:c r="M44" s="14" t="str">
        <x:v>미확인</x:v>
      </x:c>
    </x:row>
    <x:row r="45" ht="37.5" customHeight="1">
      <x:c r="A45" s="13" t="str">
        <x:v>KRDS-SEC-021-U-04</x:v>
      </x:c>
      <x:c r="B45" s="13" t="str">
        <x:v>컴포넌트</x:v>
      </x:c>
      <x:c r="C45" s="13" t="str">
        <x:v>탐색</x:v>
      </x:c>
      <x:c r="D45" s="13" t="str">
        <x:v>건너뛰기 링크</x:v>
      </x:c>
      <x:c r="E45" s="13" t="str">
        <x:v>사용성 가이드라인</x:v>
      </x:c>
      <x:c r="F45" s="13" t="str">
        <x:v>04</x:v>
      </x:c>
      <x:c r="G45" s="13" t="n">
        <x:v>257</x:v>
      </x:c>
      <x:c r="H45" s="13" t="n">
        <x:v>257</x:v>
      </x:c>
      <x:c r="I45" s="13" t="str">
        <x:v>259</x:v>
      </x:c>
      <x:c r="J45" s="13" t="str">
        <x:v>건너뛰기 링크의 목적지를 적절하게 설정한다.</x:v>
      </x:c>
      <x:c r="K45" s="13" t="str">
        <x:v>UI-020, UI-102</x:v>
      </x:c>
      <x:c r="L45" s="13" t="str">
        <x:v>추출 후 기본 구조 검토; 원문 적용수준·전체 맥락 재확인 필요</x:v>
      </x:c>
      <x:c r="M45" s="13" t="str">
        <x:v>미확인</x:v>
      </x:c>
    </x:row>
    <x:row r="46" ht="37.5" customHeight="1">
      <x:c r="A46" s="14" t="str">
        <x:v>KRDS-SEC-021-P-01</x:v>
      </x:c>
      <x:c r="B46" s="14" t="str">
        <x:v>컴포넌트</x:v>
      </x:c>
      <x:c r="C46" s="14" t="str">
        <x:v>탐색</x:v>
      </x:c>
      <x:c r="D46" s="14" t="str">
        <x:v>건너뛰기 링크</x:v>
      </x:c>
      <x:c r="E46" s="14" t="str">
        <x:v>플랫폼에 대한 고려 사항</x:v>
      </x:c>
      <x:c r="F46" s="14" t="str">
        <x:v>01</x:v>
      </x:c>
      <x:c r="G46" s="14" t="n">
        <x:v>260</x:v>
      </x:c>
      <x:c r="H46" s="14" t="n">
        <x:v>260</x:v>
      </x:c>
      <x:c r="I46" s="14" t="str"/>
      <x:c r="J46" s="14" t="str">
        <x:v>모바일 애플리케이션에서는 건너뛰기 링크를 제공하지 않을 수 있다.</x:v>
      </x:c>
      <x:c r="K46" s="14" t="str">
        <x:v>UI-020, UI-102</x:v>
      </x:c>
      <x:c r="L46" s="14" t="str">
        <x:v>추출 후 기본 구조 검토; 원문 적용수준·전체 맥락 재확인 필요</x:v>
      </x:c>
      <x:c r="M46" s="14" t="str">
        <x:v>미확인</x:v>
      </x:c>
    </x:row>
    <x:row r="47" ht="37.5" customHeight="1">
      <x:c r="A47" s="13" t="str">
        <x:v>KRDS-SEC-021-A-01</x:v>
      </x:c>
      <x:c r="B47" s="13" t="str">
        <x:v>컴포넌트</x:v>
      </x:c>
      <x:c r="C47" s="13" t="str">
        <x:v>탐색</x:v>
      </x:c>
      <x:c r="D47" s="13" t="str">
        <x:v>건너뛰기 링크</x:v>
      </x:c>
      <x:c r="E47" s="13" t="str">
        <x:v>접근성 가이드라인</x:v>
      </x:c>
      <x:c r="F47" s="13" t="str">
        <x:v>01</x:v>
      </x:c>
      <x:c r="G47" s="13" t="n">
        <x:v>261</x:v>
      </x:c>
      <x:c r="H47" s="13" t="n">
        <x:v>261</x:v>
      </x:c>
      <x:c r="I47" s="13" t="str"/>
      <x:c r="J47" s="13" t="str">
        <x:v>건너뛰기 링크 목록은 문서의 가장 첫 요소로 제공한다.</x:v>
      </x:c>
      <x:c r="K47" s="13" t="str">
        <x:v>UI-020, UI-102</x:v>
      </x:c>
      <x:c r="L47" s="13" t="str">
        <x:v>추출 후 기본 구조 검토; 원문 적용수준·전체 맥락 재확인 필요</x:v>
      </x:c>
      <x:c r="M47" s="13" t="str">
        <x:v>미확인</x:v>
      </x:c>
    </x:row>
    <x:row r="48" ht="37.5" customHeight="1">
      <x:c r="A48" s="14" t="str">
        <x:v>KRDS-SEC-021-A-02</x:v>
      </x:c>
      <x:c r="B48" s="14" t="str">
        <x:v>컴포넌트</x:v>
      </x:c>
      <x:c r="C48" s="14" t="str">
        <x:v>탐색</x:v>
      </x:c>
      <x:c r="D48" s="14" t="str">
        <x:v>건너뛰기 링크</x:v>
      </x:c>
      <x:c r="E48" s="14" t="str">
        <x:v>접근성 가이드라인</x:v>
      </x:c>
      <x:c r="F48" s="14" t="str">
        <x:v>02</x:v>
      </x:c>
      <x:c r="G48" s="14" t="n">
        <x:v>261</x:v>
      </x:c>
      <x:c r="H48" s="14" t="n">
        <x:v>261</x:v>
      </x:c>
      <x:c r="I48" s="14" t="str"/>
      <x:c r="J48" s="14" t="str">
        <x:v>건너뛰기 링크의 초점이 명확하게 구분되도록 표현한다.</x:v>
      </x:c>
      <x:c r="K48" s="14" t="str">
        <x:v>UI-020, UI-102</x:v>
      </x:c>
      <x:c r="L48" s="14" t="str">
        <x:v>추출 후 기본 구조 검토; 원문 적용수준·전체 맥락 재확인 필요</x:v>
      </x:c>
      <x:c r="M48" s="14" t="str">
        <x:v>미확인</x:v>
      </x:c>
    </x:row>
    <x:row r="49" ht="37.5" customHeight="1">
      <x:c r="A49" s="13" t="str">
        <x:v>KRDS-SEC-021-A-03</x:v>
      </x:c>
      <x:c r="B49" s="13" t="str">
        <x:v>컴포넌트</x:v>
      </x:c>
      <x:c r="C49" s="13" t="str">
        <x:v>탐색</x:v>
      </x:c>
      <x:c r="D49" s="13" t="str">
        <x:v>건너뛰기 링크</x:v>
      </x:c>
      <x:c r="E49" s="13" t="str">
        <x:v>접근성 가이드라인</x:v>
      </x:c>
      <x:c r="F49" s="13" t="str">
        <x:v>03</x:v>
      </x:c>
      <x:c r="G49" s="13" t="n">
        <x:v>261</x:v>
      </x:c>
      <x:c r="H49" s="13" t="n">
        <x:v>261</x:v>
      </x:c>
      <x:c r="I49" s="13" t="str"/>
      <x:c r="J49" s="13" t="str">
        <x:v>건너뛰기 링크 실행 시 스크롤 동작과 함께 연결된 목적지 섹션으로 Focus 이벤트가 발생해야 한다.</x:v>
      </x:c>
      <x:c r="K49" s="13" t="str">
        <x:v>UI-020, UI-102</x:v>
      </x:c>
      <x:c r="L49" s="13" t="str">
        <x:v>추출 후 기본 구조 검토; 원문 적용수준·전체 맥락 재확인 필요</x:v>
      </x:c>
      <x:c r="M49" s="13" t="str">
        <x:v>미확인</x:v>
      </x:c>
    </x:row>
    <x:row r="50" ht="37.5" customHeight="1">
      <x:c r="A50" s="14" t="str">
        <x:v>KRDS-SEC-022-U-01</x:v>
      </x:c>
      <x:c r="B50" s="14" t="str">
        <x:v>컴포넌트</x:v>
      </x:c>
      <x:c r="C50" s="14" t="str">
        <x:v>탐색</x:v>
      </x:c>
      <x:c r="D50" s="14" t="str">
        <x:v>메인 메뉴</x:v>
      </x:c>
      <x:c r="E50" s="14" t="str">
        <x:v>사용성 가이드라인</x:v>
      </x:c>
      <x:c r="F50" s="14" t="str">
        <x:v>01</x:v>
      </x:c>
      <x:c r="G50" s="14" t="n">
        <x:v>271</x:v>
      </x:c>
      <x:c r="H50" s="14" t="n">
        <x:v>271</x:v>
      </x:c>
      <x:c r="I50" s="14" t="str">
        <x:v>272</x:v>
      </x:c>
      <x:c r="J50" s="14" t="str">
        <x:v>드롭다운 메뉴 영역 내에서 레이블은 좌측으로 정렬한다.</x:v>
      </x:c>
      <x:c r="K50" s="14" t="str">
        <x:v>UI-021, UI-103</x:v>
      </x:c>
      <x:c r="L50" s="14" t="str">
        <x:v>추출 후 기본 구조 검토; 원문 적용수준·전체 맥락 재확인 필요</x:v>
      </x:c>
      <x:c r="M50" s="14" t="str">
        <x:v>미확인</x:v>
      </x:c>
    </x:row>
    <x:row r="51" ht="37.5" customHeight="1">
      <x:c r="A51" s="13" t="str">
        <x:v>KRDS-SEC-022-U-02</x:v>
      </x:c>
      <x:c r="B51" s="13" t="str">
        <x:v>컴포넌트</x:v>
      </x:c>
      <x:c r="C51" s="13" t="str">
        <x:v>탐색</x:v>
      </x:c>
      <x:c r="D51" s="13" t="str">
        <x:v>메인 메뉴</x:v>
      </x:c>
      <x:c r="E51" s="13" t="str">
        <x:v>사용성 가이드라인</x:v>
      </x:c>
      <x:c r="F51" s="13" t="str">
        <x:v>02</x:v>
      </x:c>
      <x:c r="G51" s="13" t="n">
        <x:v>271</x:v>
      </x:c>
      <x:c r="H51" s="13" t="n">
        <x:v>271</x:v>
      </x:c>
      <x:c r="I51" s="13" t="str">
        <x:v>273</x:v>
      </x:c>
      <x:c r="J51" s="13" t="str">
        <x:v>드롭다운 영역의 최대 높이는 뷰포트를 초과하지 않도록 하고 최대 높이를 초과하는 경우에 스크롤이 생성되도록 제공한다.</x:v>
      </x:c>
      <x:c r="K51" s="13" t="str">
        <x:v>UI-021, UI-103</x:v>
      </x:c>
      <x:c r="L51" s="13" t="str">
        <x:v>추출 후 기본 구조 검토; 원문 적용수준·전체 맥락 재확인 필요</x:v>
      </x:c>
      <x:c r="M51" s="13" t="str">
        <x:v>미확인</x:v>
      </x:c>
    </x:row>
    <x:row r="52" ht="37.5" customHeight="1">
      <x:c r="A52" s="14" t="str">
        <x:v>KRDS-SEC-022-U-03</x:v>
      </x:c>
      <x:c r="B52" s="14" t="str">
        <x:v>컴포넌트</x:v>
      </x:c>
      <x:c r="C52" s="14" t="str">
        <x:v>탐색</x:v>
      </x:c>
      <x:c r="D52" s="14" t="str">
        <x:v>메인 메뉴</x:v>
      </x:c>
      <x:c r="E52" s="14" t="str">
        <x:v>사용성 가이드라인</x:v>
      </x:c>
      <x:c r="F52" s="14" t="str">
        <x:v>03</x:v>
      </x:c>
      <x:c r="G52" s="14" t="n">
        <x:v>271</x:v>
      </x:c>
      <x:c r="H52" s="14" t="n">
        <x:v>271</x:v>
      </x:c>
      <x:c r="I52" s="14" t="str">
        <x:v>274</x:v>
      </x:c>
      <x:c r="J52" s="14" t="str">
        <x:v>링크의 활성화 상태, 선택 상태가 명확히 구분되도록 표현한다.</x:v>
      </x:c>
      <x:c r="K52" s="14" t="str">
        <x:v>UI-021, UI-103</x:v>
      </x:c>
      <x:c r="L52" s="14" t="str">
        <x:v>추출 후 기본 구조 검토; 원문 적용수준·전체 맥락 재확인 필요</x:v>
      </x:c>
      <x:c r="M52" s="14" t="str">
        <x:v>미확인</x:v>
      </x:c>
    </x:row>
    <x:row r="53" ht="37.5" customHeight="1">
      <x:c r="A53" s="13" t="str">
        <x:v>KRDS-SEC-022-U-04</x:v>
      </x:c>
      <x:c r="B53" s="13" t="str">
        <x:v>컴포넌트</x:v>
      </x:c>
      <x:c r="C53" s="13" t="str">
        <x:v>탐색</x:v>
      </x:c>
      <x:c r="D53" s="13" t="str">
        <x:v>메인 메뉴</x:v>
      </x:c>
      <x:c r="E53" s="13" t="str">
        <x:v>사용성 가이드라인</x:v>
      </x:c>
      <x:c r="F53" s="13" t="str">
        <x:v>04</x:v>
      </x:c>
      <x:c r="G53" s="13" t="n">
        <x:v>271</x:v>
      </x:c>
      <x:c r="H53" s="13" t="n">
        <x:v>271</x:v>
      </x:c>
      <x:c r="I53" s="13" t="str">
        <x:v>274</x:v>
      </x:c>
      <x:c r="J53" s="13" t="str">
        <x:v>드롭다운 영역에 제목을 제공한다.</x:v>
      </x:c>
      <x:c r="K53" s="13" t="str">
        <x:v>UI-021, UI-103</x:v>
      </x:c>
      <x:c r="L53" s="13" t="str">
        <x:v>추출 후 기본 구조 검토; 원문 적용수준·전체 맥락 재확인 필요</x:v>
      </x:c>
      <x:c r="M53" s="13" t="str">
        <x:v>미확인</x:v>
      </x:c>
    </x:row>
    <x:row r="54" ht="37.5" customHeight="1">
      <x:c r="A54" s="14" t="str">
        <x:v>KRDS-SEC-022-U-05</x:v>
      </x:c>
      <x:c r="B54" s="14" t="str">
        <x:v>컴포넌트</x:v>
      </x:c>
      <x:c r="C54" s="14" t="str">
        <x:v>탐색</x:v>
      </x:c>
      <x:c r="D54" s="14" t="str">
        <x:v>메인 메뉴</x:v>
      </x:c>
      <x:c r="E54" s="14" t="str">
        <x:v>사용성 가이드라인</x:v>
      </x:c>
      <x:c r="F54" s="14" t="str">
        <x:v>05</x:v>
      </x:c>
      <x:c r="G54" s="14" t="n">
        <x:v>271</x:v>
      </x:c>
      <x:c r="H54" s="14" t="n">
        <x:v>271</x:v>
      </x:c>
      <x:c r="I54" s="14" t="str">
        <x:v>274</x:v>
      </x:c>
      <x:c r="J54" s="14" t="str">
        <x:v>링크의 개수를 최소화한다.</x:v>
      </x:c>
      <x:c r="K54" s="14" t="str">
        <x:v>UI-021, UI-103</x:v>
      </x:c>
      <x:c r="L54" s="14" t="str">
        <x:v>추출 후 기본 구조 검토; 원문 적용수준·전체 맥락 재확인 필요</x:v>
      </x:c>
      <x:c r="M54" s="14" t="str">
        <x:v>미확인</x:v>
      </x:c>
    </x:row>
    <x:row r="55" ht="37.5" customHeight="1">
      <x:c r="A55" s="13" t="str">
        <x:v>KRDS-SEC-022-U-06</x:v>
      </x:c>
      <x:c r="B55" s="13" t="str">
        <x:v>컴포넌트</x:v>
      </x:c>
      <x:c r="C55" s="13" t="str">
        <x:v>탐색</x:v>
      </x:c>
      <x:c r="D55" s="13" t="str">
        <x:v>메인 메뉴</x:v>
      </x:c>
      <x:c r="E55" s="13" t="str">
        <x:v>사용성 가이드라인</x:v>
      </x:c>
      <x:c r="F55" s="13" t="str">
        <x:v>06</x:v>
      </x:c>
      <x:c r="G55" s="13" t="n">
        <x:v>271</x:v>
      </x:c>
      <x:c r="H55" s="13" t="n">
        <x:v>271</x:v>
      </x:c>
      <x:c r="I55" s="13" t="str">
        <x:v>275</x:v>
      </x:c>
      <x:c r="J55" s="13" t="str">
        <x:v>서비스 정보 구조를 적절하게 반영하여 메인 메뉴를 구성하고 최대 3수준의 메뉴를 사용한다.</x:v>
      </x:c>
      <x:c r="K55" s="13" t="str">
        <x:v>UI-021, UI-103</x:v>
      </x:c>
      <x:c r="L55" s="13" t="str">
        <x:v>추출 후 기본 구조 검토; 원문 적용수준·전체 맥락 재확인 필요</x:v>
      </x:c>
      <x:c r="M55" s="13" t="str">
        <x:v>미확인</x:v>
      </x:c>
    </x:row>
    <x:row r="56" ht="37.5" customHeight="1">
      <x:c r="A56" s="14" t="str">
        <x:v>KRDS-SEC-022-U-07</x:v>
      </x:c>
      <x:c r="B56" s="14" t="str">
        <x:v>컴포넌트</x:v>
      </x:c>
      <x:c r="C56" s="14" t="str">
        <x:v>탐색</x:v>
      </x:c>
      <x:c r="D56" s="14" t="str">
        <x:v>메인 메뉴</x:v>
      </x:c>
      <x:c r="E56" s="14" t="str">
        <x:v>사용성 가이드라인</x:v>
      </x:c>
      <x:c r="F56" s="14" t="str">
        <x:v>07</x:v>
      </x:c>
      <x:c r="G56" s="14" t="n">
        <x:v>271</x:v>
      </x:c>
      <x:c r="H56" s="14" t="n">
        <x:v>271</x:v>
      </x:c>
      <x:c r="I56" s="14" t="str">
        <x:v>275</x:v>
      </x:c>
      <x:c r="J56" s="14" t="str">
        <x:v>링크명에 이해하기 쉬운 용어를 사용한다.</x:v>
      </x:c>
      <x:c r="K56" s="14" t="str">
        <x:v>UI-021, UI-103</x:v>
      </x:c>
      <x:c r="L56" s="14" t="str">
        <x:v>추출 후 기본 구조 검토; 원문 적용수준·전체 맥락 재확인 필요</x:v>
      </x:c>
      <x:c r="M56" s="14" t="str">
        <x:v>미확인</x:v>
      </x:c>
    </x:row>
    <x:row r="57" ht="37.5" customHeight="1">
      <x:c r="A57" s="13" t="str">
        <x:v>KRDS-SEC-022-U-08</x:v>
      </x:c>
      <x:c r="B57" s="13" t="str">
        <x:v>컴포넌트</x:v>
      </x:c>
      <x:c r="C57" s="13" t="str">
        <x:v>탐색</x:v>
      </x:c>
      <x:c r="D57" s="13" t="str">
        <x:v>메인 메뉴</x:v>
      </x:c>
      <x:c r="E57" s="13" t="str">
        <x:v>사용성 가이드라인</x:v>
      </x:c>
      <x:c r="F57" s="13" t="str">
        <x:v>08</x:v>
      </x:c>
      <x:c r="G57" s="13" t="n">
        <x:v>271</x:v>
      </x:c>
      <x:c r="H57" s="13" t="n">
        <x:v>271</x:v>
      </x:c>
      <x:c r="I57" s="13" t="str">
        <x:v>275</x:v>
      </x:c>
      <x:c r="J57" s="13" t="str">
        <x:v>링크는 우선순위에 따라 배치한다.</x:v>
      </x:c>
      <x:c r="K57" s="13" t="str">
        <x:v>UI-021, UI-103</x:v>
      </x:c>
      <x:c r="L57" s="13" t="str">
        <x:v>추출 후 기본 구조 검토; 원문 적용수준·전체 맥락 재확인 필요</x:v>
      </x:c>
      <x:c r="M57" s="13" t="str">
        <x:v>미확인</x:v>
      </x:c>
    </x:row>
    <x:row r="58" ht="37.5" customHeight="1">
      <x:c r="A58" s="14" t="str">
        <x:v>KRDS-SEC-022-U-09</x:v>
      </x:c>
      <x:c r="B58" s="14" t="str">
        <x:v>컴포넌트</x:v>
      </x:c>
      <x:c r="C58" s="14" t="str">
        <x:v>탐색</x:v>
      </x:c>
      <x:c r="D58" s="14" t="str">
        <x:v>메인 메뉴</x:v>
      </x:c>
      <x:c r="E58" s="14" t="str">
        <x:v>사용성 가이드라인</x:v>
      </x:c>
      <x:c r="F58" s="14" t="str">
        <x:v>09</x:v>
      </x:c>
      <x:c r="G58" s="14" t="n">
        <x:v>271</x:v>
      </x:c>
      <x:c r="H58" s="14" t="n">
        <x:v>271</x:v>
      </x:c>
      <x:c r="I58" s="14" t="str">
        <x:v>275</x:v>
      </x:c>
      <x:c r="J58" s="14" t="str">
        <x:v>마우스오버를 사용하여 드롭다운 목록을 확장하지 않는다.</x:v>
      </x:c>
      <x:c r="K58" s="14" t="str">
        <x:v>UI-021, UI-103</x:v>
      </x:c>
      <x:c r="L58" s="14" t="str">
        <x:v>추출 후 기본 구조 검토; 원문 적용수준·전체 맥락 재확인 필요</x:v>
      </x:c>
      <x:c r="M58" s="14" t="str">
        <x:v>미확인</x:v>
      </x:c>
    </x:row>
    <x:row r="59" ht="37.5" customHeight="1">
      <x:c r="A59" s="13" t="str">
        <x:v>KRDS-SEC-022-P-01</x:v>
      </x:c>
      <x:c r="B59" s="13" t="str">
        <x:v>컴포넌트</x:v>
      </x:c>
      <x:c r="C59" s="13" t="str">
        <x:v>탐색</x:v>
      </x:c>
      <x:c r="D59" s="13" t="str">
        <x:v>메인 메뉴</x:v>
      </x:c>
      <x:c r="E59" s="13" t="str">
        <x:v>플랫폼에 대한 고려 사항</x:v>
      </x:c>
      <x:c r="F59" s="13" t="str">
        <x:v>01</x:v>
      </x:c>
      <x:c r="G59" s="13" t="n">
        <x:v>276</x:v>
      </x:c>
      <x:c r="H59" s="13" t="n">
        <x:v>276</x:v>
      </x:c>
      <x:c r="I59" s="13" t="str"/>
      <x:c r="J59" s="13" t="str">
        <x:v>화면 너비가 충분한 경우에는 1수준 메뉴 전체를 확인할 수 있도록 표현한다.</x:v>
      </x:c>
      <x:c r="K59" s="13" t="str">
        <x:v>UI-021, UI-103</x:v>
      </x:c>
      <x:c r="L59" s="13" t="str">
        <x:v>추출 후 기본 구조 검토; 원문 적용수준·전체 맥락 재확인 필요</x:v>
      </x:c>
      <x:c r="M59" s="13" t="str">
        <x:v>미확인</x:v>
      </x:c>
    </x:row>
    <x:row r="60" ht="37.5" customHeight="1">
      <x:c r="A60" s="14" t="str">
        <x:v>KRDS-SEC-022-A-01</x:v>
      </x:c>
      <x:c r="B60" s="14" t="str">
        <x:v>컴포넌트</x:v>
      </x:c>
      <x:c r="C60" s="14" t="str">
        <x:v>탐색</x:v>
      </x:c>
      <x:c r="D60" s="14" t="str">
        <x:v>메인 메뉴</x:v>
      </x:c>
      <x:c r="E60" s="14" t="str">
        <x:v>접근성 가이드라인</x:v>
      </x:c>
      <x:c r="F60" s="14" t="str">
        <x:v>01</x:v>
      </x:c>
      <x:c r="G60" s="14" t="n">
        <x:v>277</x:v>
      </x:c>
      <x:c r="H60" s="14" t="n">
        <x:v>277</x:v>
      </x:c>
      <x:c r="I60" s="14" t="str"/>
      <x:c r="J60" s="14" t="str">
        <x:v>메뉴의 컨테이너가 내비게이션 섹션임을 스크린 리더에서 인지할 수 있도록 한다.</x:v>
      </x:c>
      <x:c r="K60" s="14" t="str">
        <x:v>UI-021, UI-103</x:v>
      </x:c>
      <x:c r="L60" s="14" t="str">
        <x:v>추출 후 기본 구조 검토; 원문 적용수준·전체 맥락 재확인 필요</x:v>
      </x:c>
      <x:c r="M60" s="14" t="str">
        <x:v>미확인</x:v>
      </x:c>
    </x:row>
    <x:row r="61" ht="37.5" customHeight="1">
      <x:c r="A61" s="13" t="str">
        <x:v>KRDS-SEC-022-A-02</x:v>
      </x:c>
      <x:c r="B61" s="13" t="str">
        <x:v>컴포넌트</x:v>
      </x:c>
      <x:c r="C61" s="13" t="str">
        <x:v>탐색</x:v>
      </x:c>
      <x:c r="D61" s="13" t="str">
        <x:v>메인 메뉴</x:v>
      </x:c>
      <x:c r="E61" s="13" t="str">
        <x:v>접근성 가이드라인</x:v>
      </x:c>
      <x:c r="F61" s="13" t="str">
        <x:v>02</x:v>
      </x:c>
      <x:c r="G61" s="13" t="n">
        <x:v>277</x:v>
      </x:c>
      <x:c r="H61" s="13" t="n">
        <x:v>277</x:v>
      </x:c>
      <x:c r="I61" s="13" t="str"/>
      <x:c r="J61" s="13" t="str">
        <x:v>메뉴 링크의 계층 구조를 표현한다.</x:v>
      </x:c>
      <x:c r="K61" s="13" t="str">
        <x:v>UI-021, UI-103</x:v>
      </x:c>
      <x:c r="L61" s="13" t="str">
        <x:v>추출 후 기본 구조 검토; 원문 적용수준·전체 맥락 재확인 필요</x:v>
      </x:c>
      <x:c r="M61" s="13" t="str">
        <x:v>미확인</x:v>
      </x:c>
    </x:row>
    <x:row r="62" ht="37.5" customHeight="1">
      <x:c r="A62" s="14" t="str">
        <x:v>KRDS-SEC-022-A-03</x:v>
      </x:c>
      <x:c r="B62" s="14" t="str">
        <x:v>컴포넌트</x:v>
      </x:c>
      <x:c r="C62" s="14" t="str">
        <x:v>탐색</x:v>
      </x:c>
      <x:c r="D62" s="14" t="str">
        <x:v>메인 메뉴</x:v>
      </x:c>
      <x:c r="E62" s="14" t="str">
        <x:v>접근성 가이드라인</x:v>
      </x:c>
      <x:c r="F62" s="14" t="str">
        <x:v>03</x:v>
      </x:c>
      <x:c r="G62" s="14" t="n">
        <x:v>277</x:v>
      </x:c>
      <x:c r="H62" s="14" t="n">
        <x:v>277</x:v>
      </x:c>
      <x:c r="I62" s="14" t="str"/>
      <x:c r="J62" s="14" t="str">
        <x:v>활성화된 메뉴 정보가 스크린 리더로 전달될 수 있도록 한다.</x:v>
      </x:c>
      <x:c r="K62" s="14" t="str">
        <x:v>UI-021, UI-103</x:v>
      </x:c>
      <x:c r="L62" s="14" t="str">
        <x:v>추출 후 기본 구조 검토; 원문 적용수준·전체 맥락 재확인 필요</x:v>
      </x:c>
      <x:c r="M62" s="14" t="str">
        <x:v>미확인</x:v>
      </x:c>
    </x:row>
    <x:row r="63" ht="37.5" customHeight="1">
      <x:c r="A63" s="13" t="str">
        <x:v>KRDS-SEC-022-A-04</x:v>
      </x:c>
      <x:c r="B63" s="13" t="str">
        <x:v>컴포넌트</x:v>
      </x:c>
      <x:c r="C63" s="13" t="str">
        <x:v>탐색</x:v>
      </x:c>
      <x:c r="D63" s="13" t="str">
        <x:v>메인 메뉴</x:v>
      </x:c>
      <x:c r="E63" s="13" t="str">
        <x:v>접근성 가이드라인</x:v>
      </x:c>
      <x:c r="F63" s="13" t="str">
        <x:v>04</x:v>
      </x:c>
      <x:c r="G63" s="13" t="n">
        <x:v>278</x:v>
      </x:c>
      <x:c r="H63" s="13" t="n">
        <x:v>278</x:v>
      </x:c>
      <x:c r="I63" s="13" t="str"/>
      <x:c r="J63" s="13" t="str">
        <x:v>메뉴 링크는 키보드로 탐색할 수 있도록 한다.</x:v>
      </x:c>
      <x:c r="K63" s="13" t="str">
        <x:v>UI-021, UI-103</x:v>
      </x:c>
      <x:c r="L63" s="13" t="str">
        <x:v>추출 후 기본 구조 검토; 원문 적용수준·전체 맥락 재확인 필요</x:v>
      </x:c>
      <x:c r="M63" s="13" t="str">
        <x:v>미확인</x:v>
      </x:c>
    </x:row>
    <x:row r="64" ht="37.5" customHeight="1">
      <x:c r="A64" s="14" t="str">
        <x:v>KRDS-SEC-022-A-05</x:v>
      </x:c>
      <x:c r="B64" s="14" t="str">
        <x:v>컴포넌트</x:v>
      </x:c>
      <x:c r="C64" s="14" t="str">
        <x:v>탐색</x:v>
      </x:c>
      <x:c r="D64" s="14" t="str">
        <x:v>메인 메뉴</x:v>
      </x:c>
      <x:c r="E64" s="14" t="str">
        <x:v>접근성 가이드라인</x:v>
      </x:c>
      <x:c r="F64" s="14" t="str">
        <x:v>05</x:v>
      </x:c>
      <x:c r="G64" s="14" t="n">
        <x:v>278</x:v>
      </x:c>
      <x:c r="H64" s="14" t="n">
        <x:v>278</x:v>
      </x:c>
      <x:c r="I64" s="14" t="str"/>
      <x:c r="J64" s="14" t="str">
        <x:v>키보드의 초점은 메뉴의 계층 순서대로 이동하도록 한다.</x:v>
      </x:c>
      <x:c r="K64" s="14" t="str">
        <x:v>UI-021, UI-103</x:v>
      </x:c>
      <x:c r="L64" s="14" t="str">
        <x:v>추출 후 기본 구조 검토; 원문 적용수준·전체 맥락 재확인 필요</x:v>
      </x:c>
      <x:c r="M64" s="14" t="str">
        <x:v>미확인</x:v>
      </x:c>
    </x:row>
    <x:row r="65" ht="37.5" customHeight="1">
      <x:c r="A65" s="13" t="str">
        <x:v>KRDS-SEC-023-U-01</x:v>
      </x:c>
      <x:c r="B65" s="13" t="str">
        <x:v>컴포넌트</x:v>
      </x:c>
      <x:c r="C65" s="13" t="str">
        <x:v>탐색</x:v>
      </x:c>
      <x:c r="D65" s="13" t="str">
        <x:v>브레드크럼</x:v>
      </x:c>
      <x:c r="E65" s="13" t="str">
        <x:v>사용성 가이드라인</x:v>
      </x:c>
      <x:c r="F65" s="13" t="str">
        <x:v>01</x:v>
      </x:c>
      <x:c r="G65" s="13" t="n">
        <x:v>282</x:v>
      </x:c>
      <x:c r="H65" s="13" t="n">
        <x:v>282</x:v>
      </x:c>
      <x:c r="I65" s="13" t="str">
        <x:v>283</x:v>
      </x:c>
      <x:c r="J65" s="13" t="str">
        <x:v>브레드크럼 목록의 가장 첫 번째 항목으로 메인 화면 링크를 제공한다.</x:v>
      </x:c>
      <x:c r="K65" s="13" t="str">
        <x:v>UI-022</x:v>
      </x:c>
      <x:c r="L65" s="13" t="str">
        <x:v>추출 후 기본 구조 검토; 원문 적용수준·전체 맥락 재확인 필요</x:v>
      </x:c>
      <x:c r="M65" s="13" t="str">
        <x:v>미확인</x:v>
      </x:c>
    </x:row>
    <x:row r="66" ht="37.5" customHeight="1">
      <x:c r="A66" s="14" t="str">
        <x:v>KRDS-SEC-023-U-02</x:v>
      </x:c>
      <x:c r="B66" s="14" t="str">
        <x:v>컴포넌트</x:v>
      </x:c>
      <x:c r="C66" s="14" t="str">
        <x:v>탐색</x:v>
      </x:c>
      <x:c r="D66" s="14" t="str">
        <x:v>브레드크럼</x:v>
      </x:c>
      <x:c r="E66" s="14" t="str">
        <x:v>사용성 가이드라인</x:v>
      </x:c>
      <x:c r="F66" s="14" t="str">
        <x:v>02</x:v>
      </x:c>
      <x:c r="G66" s="14" t="n">
        <x:v>282</x:v>
      </x:c>
      <x:c r="H66" s="14" t="n">
        <x:v>282</x:v>
      </x:c>
      <x:c r="I66" s="14" t="str">
        <x:v>284</x:v>
      </x:c>
      <x:c r="J66" s="14" t="str">
        <x:v>브레드크럼 목록의 가장 마지막 항목으로 현재 화면의 상위 화면 링크를 제공한다.</x:v>
      </x:c>
      <x:c r="K66" s="14" t="str">
        <x:v>UI-022</x:v>
      </x:c>
      <x:c r="L66" s="14" t="str">
        <x:v>추출 후 기본 구조 검토; 원문 적용수준·전체 맥락 재확인 필요</x:v>
      </x:c>
      <x:c r="M66" s="14" t="str">
        <x:v>미확인</x:v>
      </x:c>
    </x:row>
    <x:row r="67" ht="37.5" customHeight="1">
      <x:c r="A67" s="13" t="str">
        <x:v>KRDS-SEC-023-U-03</x:v>
      </x:c>
      <x:c r="B67" s="13" t="str">
        <x:v>컴포넌트</x:v>
      </x:c>
      <x:c r="C67" s="13" t="str">
        <x:v>탐색</x:v>
      </x:c>
      <x:c r="D67" s="13" t="str">
        <x:v>브레드크럼</x:v>
      </x:c>
      <x:c r="E67" s="13" t="str">
        <x:v>사용성 가이드라인</x:v>
      </x:c>
      <x:c r="F67" s="13" t="str">
        <x:v>03</x:v>
      </x:c>
      <x:c r="G67" s="13" t="n">
        <x:v>282</x:v>
      </x:c>
      <x:c r="H67" s="13" t="n">
        <x:v>282</x:v>
      </x:c>
      <x:c r="I67" s="13" t="str">
        <x:v>285</x:v>
      </x:c>
      <x:c r="J67" s="13" t="str">
        <x:v>상위 화면으로 연결되는 링크가 없는 경우에도 항상 현재 화면의 전체 정보 계층 구조를 표시한다.</x:v>
      </x:c>
      <x:c r="K67" s="13" t="str">
        <x:v>UI-022</x:v>
      </x:c>
      <x:c r="L67" s="13" t="str">
        <x:v>추출 후 기본 구조 검토; 원문 적용수준·전체 맥락 재확인 필요</x:v>
      </x:c>
      <x:c r="M67" s="13" t="str">
        <x:v>미확인</x:v>
      </x:c>
    </x:row>
    <x:row r="68" ht="37.5" customHeight="1">
      <x:c r="A68" s="14" t="str">
        <x:v>KRDS-SEC-023-U-04</x:v>
      </x:c>
      <x:c r="B68" s="14" t="str">
        <x:v>컴포넌트</x:v>
      </x:c>
      <x:c r="C68" s="14" t="str">
        <x:v>탐색</x:v>
      </x:c>
      <x:c r="D68" s="14" t="str">
        <x:v>브레드크럼</x:v>
      </x:c>
      <x:c r="E68" s="14" t="str">
        <x:v>사용성 가이드라인</x:v>
      </x:c>
      <x:c r="F68" s="14" t="str">
        <x:v>04</x:v>
      </x:c>
      <x:c r="G68" s="14" t="n">
        <x:v>282</x:v>
      </x:c>
      <x:c r="H68" s="14" t="n">
        <x:v>282</x:v>
      </x:c>
      <x:c r="I68" s="14" t="str">
        <x:v>285</x:v>
      </x:c>
      <x:c r="J68" s="14" t="str">
        <x:v>브레드크럼 텍스트 경로가 링크임을 인지할 수 있는 시각적 단서를 제공한다.</x:v>
      </x:c>
      <x:c r="K68" s="14" t="str">
        <x:v>UI-022</x:v>
      </x:c>
      <x:c r="L68" s="14" t="str">
        <x:v>추출 후 기본 구조 검토; 원문 적용수준·전체 맥락 재확인 필요</x:v>
      </x:c>
      <x:c r="M68" s="14" t="str">
        <x:v>미확인</x:v>
      </x:c>
    </x:row>
    <x:row r="69" ht="37.5" customHeight="1">
      <x:c r="A69" s="13" t="str">
        <x:v>KRDS-SEC-023-U-05</x:v>
      </x:c>
      <x:c r="B69" s="13" t="str">
        <x:v>컴포넌트</x:v>
      </x:c>
      <x:c r="C69" s="13" t="str">
        <x:v>탐색</x:v>
      </x:c>
      <x:c r="D69" s="13" t="str">
        <x:v>브레드크럼</x:v>
      </x:c>
      <x:c r="E69" s="13" t="str">
        <x:v>사용성 가이드라인</x:v>
      </x:c>
      <x:c r="F69" s="13" t="str">
        <x:v>05</x:v>
      </x:c>
      <x:c r="G69" s="13" t="n">
        <x:v>282</x:v>
      </x:c>
      <x:c r="H69" s="13" t="n">
        <x:v>282</x:v>
      </x:c>
      <x:c r="I69" s="13" t="str">
        <x:v>286</x:v>
      </x:c>
      <x:c r="J69" s="13" t="str">
        <x:v>브레드크럼은 단일 행으로 제공한다.</x:v>
      </x:c>
      <x:c r="K69" s="13" t="str">
        <x:v>UI-022</x:v>
      </x:c>
      <x:c r="L69" s="13" t="str">
        <x:v>추출 후 기본 구조 검토; 원문 적용수준·전체 맥락 재확인 필요</x:v>
      </x:c>
      <x:c r="M69" s="13" t="str">
        <x:v>미확인</x:v>
      </x:c>
    </x:row>
    <x:row r="70" ht="37.5" customHeight="1">
      <x:c r="A70" s="14" t="str">
        <x:v>KRDS-SEC-023-U-06</x:v>
      </x:c>
      <x:c r="B70" s="14" t="str">
        <x:v>컴포넌트</x:v>
      </x:c>
      <x:c r="C70" s="14" t="str">
        <x:v>탐색</x:v>
      </x:c>
      <x:c r="D70" s="14" t="str">
        <x:v>브레드크럼</x:v>
      </x:c>
      <x:c r="E70" s="14" t="str">
        <x:v>사용성 가이드라인</x:v>
      </x:c>
      <x:c r="F70" s="14" t="str">
        <x:v>06</x:v>
      </x:c>
      <x:c r="G70" s="14" t="n">
        <x:v>282</x:v>
      </x:c>
      <x:c r="H70" s="14" t="n">
        <x:v>282</x:v>
      </x:c>
      <x:c r="I70" s="14" t="str">
        <x:v>287</x:v>
      </x:c>
      <x:c r="J70" s="14" t="str">
        <x:v>브레드크럼은 항상 본문 제목의 왼쪽 상단에 표시한다.</x:v>
      </x:c>
      <x:c r="K70" s="14" t="str">
        <x:v>UI-022</x:v>
      </x:c>
      <x:c r="L70" s="14" t="str">
        <x:v>추출 후 기본 구조 검토; 원문 적용수준·전체 맥락 재확인 필요</x:v>
      </x:c>
      <x:c r="M70" s="14" t="str">
        <x:v>미확인</x:v>
      </x:c>
    </x:row>
    <x:row r="71" ht="37.5" customHeight="1">
      <x:c r="A71" s="13" t="str">
        <x:v>KRDS-SEC-023-U-07</x:v>
      </x:c>
      <x:c r="B71" s="13" t="str">
        <x:v>컴포넌트</x:v>
      </x:c>
      <x:c r="C71" s="13" t="str">
        <x:v>탐색</x:v>
      </x:c>
      <x:c r="D71" s="13" t="str">
        <x:v>브레드크럼</x:v>
      </x:c>
      <x:c r="E71" s="13" t="str">
        <x:v>사용성 가이드라인</x:v>
      </x:c>
      <x:c r="F71" s="13" t="str">
        <x:v>07</x:v>
      </x:c>
      <x:c r="G71" s="13" t="n">
        <x:v>282</x:v>
      </x:c>
      <x:c r="H71" s="13" t="n">
        <x:v>282</x:v>
      </x:c>
      <x:c r="I71" s="13" t="str">
        <x:v>287</x:v>
      </x:c>
      <x:c r="J71" s="13" t="str">
        <x:v>브레드크럼 경로 링크 간 간격을 충분히 제공한다.</x:v>
      </x:c>
      <x:c r="K71" s="13" t="str">
        <x:v>UI-022</x:v>
      </x:c>
      <x:c r="L71" s="13" t="str">
        <x:v>추출 후 기본 구조 검토; 원문 적용수준·전체 맥락 재확인 필요</x:v>
      </x:c>
      <x:c r="M71" s="13" t="str">
        <x:v>미확인</x:v>
      </x:c>
    </x:row>
    <x:row r="72" ht="37.5" customHeight="1">
      <x:c r="A72" s="14" t="str">
        <x:v>KRDS-SEC-023-U-08</x:v>
      </x:c>
      <x:c r="B72" s="14" t="str">
        <x:v>컴포넌트</x:v>
      </x:c>
      <x:c r="C72" s="14" t="str">
        <x:v>탐색</x:v>
      </x:c>
      <x:c r="D72" s="14" t="str">
        <x:v>브레드크럼</x:v>
      </x:c>
      <x:c r="E72" s="14" t="str">
        <x:v>사용성 가이드라인</x:v>
      </x:c>
      <x:c r="F72" s="14" t="str">
        <x:v>08</x:v>
      </x:c>
      <x:c r="G72" s="14" t="n">
        <x:v>282</x:v>
      </x:c>
      <x:c r="H72" s="14" t="n">
        <x:v>282</x:v>
      </x:c>
      <x:c r="I72" s="14" t="str">
        <x:v>288</x:v>
      </x:c>
      <x:c r="J72" s="14" t="str">
        <x:v>브레드크럼이 메인 메뉴나 사이드 메뉴를 대체해서는 안 된다.</x:v>
      </x:c>
      <x:c r="K72" s="14" t="str">
        <x:v>UI-022</x:v>
      </x:c>
      <x:c r="L72" s="14" t="str">
        <x:v>추출 후 기본 구조 검토; 원문 적용수준·전체 맥락 재확인 필요</x:v>
      </x:c>
      <x:c r="M72" s="14" t="str">
        <x:v>미확인</x:v>
      </x:c>
    </x:row>
    <x:row r="73" ht="37.5" customHeight="1">
      <x:c r="A73" s="13" t="str">
        <x:v>KRDS-SEC-023-P-01</x:v>
      </x:c>
      <x:c r="B73" s="13" t="str">
        <x:v>컴포넌트</x:v>
      </x:c>
      <x:c r="C73" s="13" t="str">
        <x:v>탐색</x:v>
      </x:c>
      <x:c r="D73" s="13" t="str">
        <x:v>브레드크럼</x:v>
      </x:c>
      <x:c r="E73" s="13" t="str">
        <x:v>플랫폼에 대한 고려 사항</x:v>
      </x:c>
      <x:c r="F73" s="13" t="str">
        <x:v>01</x:v>
      </x:c>
      <x:c r="G73" s="13" t="n">
        <x:v>289</x:v>
      </x:c>
      <x:c r="H73" s="13" t="n">
        <x:v>289</x:v>
      </x:c>
      <x:c r="I73" s="13" t="str"/>
      <x:c r="J73" s="13" t="str">
        <x:v>화면 너비가 충분하지 않은 경우 첫 번째 경로와 마지막 경로만 표시한다.</x:v>
      </x:c>
      <x:c r="K73" s="13" t="str">
        <x:v>UI-022</x:v>
      </x:c>
      <x:c r="L73" s="13" t="str">
        <x:v>추출 후 기본 구조 검토; 원문 적용수준·전체 맥락 재확인 필요</x:v>
      </x:c>
      <x:c r="M73" s="13" t="str">
        <x:v>미확인</x:v>
      </x:c>
    </x:row>
    <x:row r="74" ht="37.5" customHeight="1">
      <x:c r="A74" s="14" t="str">
        <x:v>KRDS-SEC-023-A-01</x:v>
      </x:c>
      <x:c r="B74" s="14" t="str">
        <x:v>컴포넌트</x:v>
      </x:c>
      <x:c r="C74" s="14" t="str">
        <x:v>탐색</x:v>
      </x:c>
      <x:c r="D74" s="14" t="str">
        <x:v>브레드크럼</x:v>
      </x:c>
      <x:c r="E74" s="14" t="str">
        <x:v>접근성 가이드라인</x:v>
      </x:c>
      <x:c r="F74" s="14" t="str">
        <x:v>01</x:v>
      </x:c>
      <x:c r="G74" s="14" t="n">
        <x:v>290</x:v>
      </x:c>
      <x:c r="H74" s="14" t="n">
        <x:v>290</x:v>
      </x:c>
      <x:c r="I74" s="14" t="str"/>
      <x:c r="J74" s="14" t="str">
        <x:v>경로 목록을 &lt;nav&gt; 구획으로 감싸고 적절한 구획 제목을 제공한다.</x:v>
      </x:c>
      <x:c r="K74" s="14" t="str">
        <x:v>UI-022</x:v>
      </x:c>
      <x:c r="L74" s="14" t="str">
        <x:v>추출 후 기본 구조 검토; 원문 적용수준·전체 맥락 재확인 필요</x:v>
      </x:c>
      <x:c r="M74" s="14" t="str">
        <x:v>미확인</x:v>
      </x:c>
    </x:row>
    <x:row r="75" ht="37.5" customHeight="1">
      <x:c r="A75" s="13" t="str">
        <x:v>KRDS-SEC-023-A-02</x:v>
      </x:c>
      <x:c r="B75" s="13" t="str">
        <x:v>컴포넌트</x:v>
      </x:c>
      <x:c r="C75" s="13" t="str">
        <x:v>탐색</x:v>
      </x:c>
      <x:c r="D75" s="13" t="str">
        <x:v>브레드크럼</x:v>
      </x:c>
      <x:c r="E75" s="13" t="str">
        <x:v>접근성 가이드라인</x:v>
      </x:c>
      <x:c r="F75" s="13" t="str">
        <x:v>02</x:v>
      </x:c>
      <x:c r="G75" s="13" t="n">
        <x:v>290</x:v>
      </x:c>
      <x:c r="H75" s="13" t="n">
        <x:v>290</x:v>
      </x:c>
      <x:c r="I75" s="13" t="str"/>
      <x:c r="J75" s="13" t="str">
        <x:v>순서 있는 목록을 사용한다.</x:v>
      </x:c>
      <x:c r="K75" s="13" t="str">
        <x:v>UI-022</x:v>
      </x:c>
      <x:c r="L75" s="13" t="str">
        <x:v>추출 후 기본 구조 검토; 원문 적용수준·전체 맥락 재확인 필요</x:v>
      </x:c>
      <x:c r="M75" s="13" t="str">
        <x:v>미확인</x:v>
      </x:c>
    </x:row>
    <x:row r="76" ht="37.5" customHeight="1">
      <x:c r="A76" s="14" t="str">
        <x:v>KRDS-SEC-023-A-03</x:v>
      </x:c>
      <x:c r="B76" s="14" t="str">
        <x:v>컴포넌트</x:v>
      </x:c>
      <x:c r="C76" s="14" t="str">
        <x:v>탐색</x:v>
      </x:c>
      <x:c r="D76" s="14" t="str">
        <x:v>브레드크럼</x:v>
      </x:c>
      <x:c r="E76" s="14" t="str">
        <x:v>접근성 가이드라인</x:v>
      </x:c>
      <x:c r="F76" s="14" t="str">
        <x:v>03</x:v>
      </x:c>
      <x:c r="G76" s="14" t="n">
        <x:v>290</x:v>
      </x:c>
      <x:c r="H76" s="14" t="n">
        <x:v>290</x:v>
      </x:c>
      <x:c r="I76" s="14" t="str"/>
      <x:c r="J76" s="14" t="str">
        <x:v>구분자는 배경과 3:1 이상의 명도 대비를 갖도록 표현한다.</x:v>
      </x:c>
      <x:c r="K76" s="14" t="str">
        <x:v>UI-022</x:v>
      </x:c>
      <x:c r="L76" s="14" t="str">
        <x:v>추출 후 기본 구조 검토; 원문 적용수준·전체 맥락 재확인 필요</x:v>
      </x:c>
      <x:c r="M76" s="14" t="str">
        <x:v>미확인</x:v>
      </x:c>
    </x:row>
    <x:row r="77" ht="37.5" customHeight="1">
      <x:c r="A77" s="13" t="str">
        <x:v>KRDS-SEC-023-A-04</x:v>
      </x:c>
      <x:c r="B77" s="13" t="str">
        <x:v>컴포넌트</x:v>
      </x:c>
      <x:c r="C77" s="13" t="str">
        <x:v>탐색</x:v>
      </x:c>
      <x:c r="D77" s="13" t="str">
        <x:v>브레드크럼</x:v>
      </x:c>
      <x:c r="E77" s="13" t="str">
        <x:v>접근성 가이드라인</x:v>
      </x:c>
      <x:c r="F77" s="13" t="str">
        <x:v>04</x:v>
      </x:c>
      <x:c r="G77" s="13" t="n">
        <x:v>291</x:v>
      </x:c>
      <x:c r="H77" s="13" t="n">
        <x:v>291</x:v>
      </x:c>
      <x:c r="I77" s="13" t="str"/>
      <x:c r="J77" s="13" t="str">
        <x:v>스크린 리더에서 구분자 정보가 탐지되지 않도록 한다.</x:v>
      </x:c>
      <x:c r="K77" s="13" t="str">
        <x:v>UI-022</x:v>
      </x:c>
      <x:c r="L77" s="13" t="str">
        <x:v>추출 후 기본 구조 검토; 원문 적용수준·전체 맥락 재확인 필요</x:v>
      </x:c>
      <x:c r="M77" s="13" t="str">
        <x:v>미확인</x:v>
      </x:c>
    </x:row>
    <x:row r="78" ht="37.5" customHeight="1">
      <x:c r="A78" s="14" t="str">
        <x:v>KRDS-SEC-024-U-01</x:v>
      </x:c>
      <x:c r="B78" s="14" t="str">
        <x:v>컴포넌트</x:v>
      </x:c>
      <x:c r="C78" s="14" t="str">
        <x:v>탐색</x:v>
      </x:c>
      <x:c r="D78" s="14" t="str">
        <x:v>사이드 메뉴</x:v>
      </x:c>
      <x:c r="E78" s="14" t="str">
        <x:v>사용성 가이드라인</x:v>
      </x:c>
      <x:c r="F78" s="14" t="str">
        <x:v>01</x:v>
      </x:c>
      <x:c r="G78" s="14" t="n">
        <x:v>298</x:v>
      </x:c>
      <x:c r="H78" s="14" t="n">
        <x:v>298</x:v>
      </x:c>
      <x:c r="I78" s="14" t="str">
        <x:v>299</x:v>
      </x:c>
      <x:c r="J78" s="14" t="str">
        <x:v>현재 탐색 중인 화면에 대한 링크를 강조 표시한다.</x:v>
      </x:c>
      <x:c r="K78" s="14" t="str">
        <x:v>UI-023</x:v>
      </x:c>
      <x:c r="L78" s="14" t="str">
        <x:v>추출 후 기본 구조 검토; 원문 적용수준·전체 맥락 재확인 필요</x:v>
      </x:c>
      <x:c r="M78" s="14" t="str">
        <x:v>미확인</x:v>
      </x:c>
    </x:row>
    <x:row r="79" ht="37.5" customHeight="1">
      <x:c r="A79" s="13" t="str">
        <x:v>KRDS-SEC-024-U-02</x:v>
      </x:c>
      <x:c r="B79" s="13" t="str">
        <x:v>컴포넌트</x:v>
      </x:c>
      <x:c r="C79" s="13" t="str">
        <x:v>탐색</x:v>
      </x:c>
      <x:c r="D79" s="13" t="str">
        <x:v>사이드 메뉴</x:v>
      </x:c>
      <x:c r="E79" s="13" t="str">
        <x:v>사용성 가이드라인</x:v>
      </x:c>
      <x:c r="F79" s="13" t="str">
        <x:v>02</x:v>
      </x:c>
      <x:c r="G79" s="13" t="n">
        <x:v>298</x:v>
      </x:c>
      <x:c r="H79" s="13" t="n">
        <x:v>298</x:v>
      </x:c>
      <x:c r="I79" s="13" t="str">
        <x:v>300</x:v>
      </x:c>
      <x:c r="J79" s="13" t="str">
        <x:v>메뉴의 계층 구조는 최대 2개 수준까지 사용한다.</x:v>
      </x:c>
      <x:c r="K79" s="13" t="str">
        <x:v>UI-023</x:v>
      </x:c>
      <x:c r="L79" s="13" t="str">
        <x:v>추출 후 기본 구조 검토; 원문 적용수준·전체 맥락 재확인 필요</x:v>
      </x:c>
      <x:c r="M79" s="13" t="str">
        <x:v>미확인</x:v>
      </x:c>
    </x:row>
    <x:row r="80" ht="37.5" customHeight="1">
      <x:c r="A80" s="14" t="str">
        <x:v>KRDS-SEC-024-U-03</x:v>
      </x:c>
      <x:c r="B80" s="14" t="str">
        <x:v>컴포넌트</x:v>
      </x:c>
      <x:c r="C80" s="14" t="str">
        <x:v>탐색</x:v>
      </x:c>
      <x:c r="D80" s="14" t="str">
        <x:v>사이드 메뉴</x:v>
      </x:c>
      <x:c r="E80" s="14" t="str">
        <x:v>사용성 가이드라인</x:v>
      </x:c>
      <x:c r="F80" s="14" t="str">
        <x:v>03</x:v>
      </x:c>
      <x:c r="G80" s="14" t="n">
        <x:v>298</x:v>
      </x:c>
      <x:c r="H80" s="14" t="n">
        <x:v>298</x:v>
      </x:c>
      <x:c r="I80" s="14" t="str">
        <x:v>301</x:v>
      </x:c>
      <x:c r="J80" s="14" t="str">
        <x:v>하위 수준 메뉴 표시에 확장 가능한 영역을 사용하는 방안을 고려한다.</x:v>
      </x:c>
      <x:c r="K80" s="14" t="str">
        <x:v>UI-023</x:v>
      </x:c>
      <x:c r="L80" s="14" t="str">
        <x:v>추출 후 기본 구조 검토; 원문 적용수준·전체 맥락 재확인 필요</x:v>
      </x:c>
      <x:c r="M80" s="14" t="str">
        <x:v>미확인</x:v>
      </x:c>
    </x:row>
    <x:row r="81" ht="37.5" customHeight="1">
      <x:c r="A81" s="13" t="str">
        <x:v>KRDS-SEC-024-U-04</x:v>
      </x:c>
      <x:c r="B81" s="13" t="str">
        <x:v>컴포넌트</x:v>
      </x:c>
      <x:c r="C81" s="13" t="str">
        <x:v>탐색</x:v>
      </x:c>
      <x:c r="D81" s="13" t="str">
        <x:v>사이드 메뉴</x:v>
      </x:c>
      <x:c r="E81" s="13" t="str">
        <x:v>사용성 가이드라인</x:v>
      </x:c>
      <x:c r="F81" s="13" t="str">
        <x:v>04</x:v>
      </x:c>
      <x:c r="G81" s="13" t="n">
        <x:v>298</x:v>
      </x:c>
      <x:c r="H81" s="13" t="n">
        <x:v>298</x:v>
      </x:c>
      <x:c r="I81" s="13" t="str">
        <x:v>302</x:v>
      </x:c>
      <x:c r="J81" s="13" t="str">
        <x:v>메뉴의 계층 구조를 명확하게 구분하여 표현한다.</x:v>
      </x:c>
      <x:c r="K81" s="13" t="str">
        <x:v>UI-023</x:v>
      </x:c>
      <x:c r="L81" s="13" t="str">
        <x:v>추출 후 기본 구조 검토; 원문 적용수준·전체 맥락 재확인 필요</x:v>
      </x:c>
      <x:c r="M81" s="13" t="str">
        <x:v>미확인</x:v>
      </x:c>
    </x:row>
    <x:row r="82" ht="37.5" customHeight="1">
      <x:c r="A82" s="14" t="str">
        <x:v>KRDS-SEC-024-P-01</x:v>
      </x:c>
      <x:c r="B82" s="14" t="str">
        <x:v>컴포넌트</x:v>
      </x:c>
      <x:c r="C82" s="14" t="str">
        <x:v>탐색</x:v>
      </x:c>
      <x:c r="D82" s="14" t="str">
        <x:v>사이드 메뉴</x:v>
      </x:c>
      <x:c r="E82" s="14" t="str">
        <x:v>플랫폼에 대한 고려 사항</x:v>
      </x:c>
      <x:c r="F82" s="14" t="str">
        <x:v>01</x:v>
      </x:c>
      <x:c r="G82" s="14" t="n">
        <x:v>303</x:v>
      </x:c>
      <x:c r="H82" s="14" t="n">
        <x:v>303</x:v>
      </x:c>
      <x:c r="I82" s="14" t="str"/>
      <x:c r="J82" s="14" t="str">
        <x:v>화면 너비가 충분하지 않은 경우 사이드 메뉴를 표시하지 않는다.</x:v>
      </x:c>
      <x:c r="K82" s="14" t="str">
        <x:v>UI-023</x:v>
      </x:c>
      <x:c r="L82" s="14" t="str">
        <x:v>추출 후 기본 구조 검토; 원문 적용수준·전체 맥락 재확인 필요</x:v>
      </x:c>
      <x:c r="M82" s="14" t="str">
        <x:v>미확인</x:v>
      </x:c>
    </x:row>
    <x:row r="83" ht="37.5" customHeight="1">
      <x:c r="A83" s="13" t="str">
        <x:v>KRDS-SEC-024-A-01</x:v>
      </x:c>
      <x:c r="B83" s="13" t="str">
        <x:v>컴포넌트</x:v>
      </x:c>
      <x:c r="C83" s="13" t="str">
        <x:v>탐색</x:v>
      </x:c>
      <x:c r="D83" s="13" t="str">
        <x:v>사이드 메뉴</x:v>
      </x:c>
      <x:c r="E83" s="13" t="str">
        <x:v>접근성 가이드라인</x:v>
      </x:c>
      <x:c r="F83" s="13" t="str">
        <x:v>01</x:v>
      </x:c>
      <x:c r="G83" s="13" t="n">
        <x:v>304</x:v>
      </x:c>
      <x:c r="H83" s="13" t="n">
        <x:v>304</x:v>
      </x:c>
      <x:c r="I83" s="13" t="str"/>
      <x:c r="J83" s="13" t="str">
        <x:v>메뉴의 컨테이너가 내비게이션 섹션임을 스크린 리더에서 인지할 수 있도록 한다.</x:v>
      </x:c>
      <x:c r="K83" s="13" t="str">
        <x:v>UI-023</x:v>
      </x:c>
      <x:c r="L83" s="13" t="str">
        <x:v>추출 후 기본 구조 검토; 원문 적용수준·전체 맥락 재확인 필요</x:v>
      </x:c>
      <x:c r="M83" s="13" t="str">
        <x:v>미확인</x:v>
      </x:c>
    </x:row>
    <x:row r="84" ht="37.5" customHeight="1">
      <x:c r="A84" s="14" t="str">
        <x:v>KRDS-SEC-024-A-02</x:v>
      </x:c>
      <x:c r="B84" s="14" t="str">
        <x:v>컴포넌트</x:v>
      </x:c>
      <x:c r="C84" s="14" t="str">
        <x:v>탐색</x:v>
      </x:c>
      <x:c r="D84" s="14" t="str">
        <x:v>사이드 메뉴</x:v>
      </x:c>
      <x:c r="E84" s="14" t="str">
        <x:v>접근성 가이드라인</x:v>
      </x:c>
      <x:c r="F84" s="14" t="str">
        <x:v>02</x:v>
      </x:c>
      <x:c r="G84" s="14" t="n">
        <x:v>304</x:v>
      </x:c>
      <x:c r="H84" s="14" t="n">
        <x:v>304</x:v>
      </x:c>
      <x:c r="I84" s="14" t="str"/>
      <x:c r="J84" s="14" t="str">
        <x:v>메뉴 링크의 계층 구조를 표현한다.</x:v>
      </x:c>
      <x:c r="K84" s="14" t="str">
        <x:v>UI-023</x:v>
      </x:c>
      <x:c r="L84" s="14" t="str">
        <x:v>추출 후 기본 구조 검토; 원문 적용수준·전체 맥락 재확인 필요</x:v>
      </x:c>
      <x:c r="M84" s="14" t="str">
        <x:v>미확인</x:v>
      </x:c>
    </x:row>
    <x:row r="85" ht="37.5" customHeight="1">
      <x:c r="A85" s="13" t="str">
        <x:v>KRDS-SEC-024-A-03</x:v>
      </x:c>
      <x:c r="B85" s="13" t="str">
        <x:v>컴포넌트</x:v>
      </x:c>
      <x:c r="C85" s="13" t="str">
        <x:v>탐색</x:v>
      </x:c>
      <x:c r="D85" s="13" t="str">
        <x:v>사이드 메뉴</x:v>
      </x:c>
      <x:c r="E85" s="13" t="str">
        <x:v>접근성 가이드라인</x:v>
      </x:c>
      <x:c r="F85" s="13" t="str">
        <x:v>03</x:v>
      </x:c>
      <x:c r="G85" s="13" t="n">
        <x:v>304</x:v>
      </x:c>
      <x:c r="H85" s="13" t="n">
        <x:v>304</x:v>
      </x:c>
      <x:c r="I85" s="13" t="str"/>
      <x:c r="J85" s="13" t="str">
        <x:v>활성화된 메뉴 정보가 스크린 리더로 전달될 수 있도록 한다.</x:v>
      </x:c>
      <x:c r="K85" s="13" t="str">
        <x:v>UI-023</x:v>
      </x:c>
      <x:c r="L85" s="13" t="str">
        <x:v>추출 후 기본 구조 검토; 원문 적용수준·전체 맥락 재확인 필요</x:v>
      </x:c>
      <x:c r="M85" s="13" t="str">
        <x:v>미확인</x:v>
      </x:c>
    </x:row>
    <x:row r="86" ht="37.5" customHeight="1">
      <x:c r="A86" s="14" t="str">
        <x:v>KRDS-SEC-024-A-04</x:v>
      </x:c>
      <x:c r="B86" s="14" t="str">
        <x:v>컴포넌트</x:v>
      </x:c>
      <x:c r="C86" s="14" t="str">
        <x:v>탐색</x:v>
      </x:c>
      <x:c r="D86" s="14" t="str">
        <x:v>사이드 메뉴</x:v>
      </x:c>
      <x:c r="E86" s="14" t="str">
        <x:v>접근성 가이드라인</x:v>
      </x:c>
      <x:c r="F86" s="14" t="str">
        <x:v>04</x:v>
      </x:c>
      <x:c r="G86" s="14" t="n">
        <x:v>305</x:v>
      </x:c>
      <x:c r="H86" s="14" t="n">
        <x:v>305</x:v>
      </x:c>
      <x:c r="I86" s="14" t="str"/>
      <x:c r="J86" s="14" t="str">
        <x:v>메뉴 링크는 키보드로 탐색할 수 있도록 한다.</x:v>
      </x:c>
      <x:c r="K86" s="14" t="str">
        <x:v>UI-023</x:v>
      </x:c>
      <x:c r="L86" s="14" t="str">
        <x:v>추출 후 기본 구조 검토; 원문 적용수준·전체 맥락 재확인 필요</x:v>
      </x:c>
      <x:c r="M86" s="14" t="str">
        <x:v>미확인</x:v>
      </x:c>
    </x:row>
    <x:row r="87" ht="37.5" customHeight="1">
      <x:c r="A87" s="13" t="str">
        <x:v>KRDS-SEC-024-A-05</x:v>
      </x:c>
      <x:c r="B87" s="13" t="str">
        <x:v>컴포넌트</x:v>
      </x:c>
      <x:c r="C87" s="13" t="str">
        <x:v>탐색</x:v>
      </x:c>
      <x:c r="D87" s="13" t="str">
        <x:v>사이드 메뉴</x:v>
      </x:c>
      <x:c r="E87" s="13" t="str">
        <x:v>접근성 가이드라인</x:v>
      </x:c>
      <x:c r="F87" s="13" t="str">
        <x:v>05</x:v>
      </x:c>
      <x:c r="G87" s="13" t="n">
        <x:v>305</x:v>
      </x:c>
      <x:c r="H87" s="13" t="n">
        <x:v>305</x:v>
      </x:c>
      <x:c r="I87" s="13" t="str"/>
      <x:c r="J87" s="13" t="str">
        <x:v>키보드의 초점은 메뉴의 계층 순서대로 이동하도록 한다.</x:v>
      </x:c>
      <x:c r="K87" s="13" t="str">
        <x:v>UI-023</x:v>
      </x:c>
      <x:c r="L87" s="13" t="str">
        <x:v>추출 후 기본 구조 검토; 원문 적용수준·전체 맥락 재확인 필요</x:v>
      </x:c>
      <x:c r="M87" s="13" t="str">
        <x:v>미확인</x:v>
      </x:c>
    </x:row>
    <x:row r="88" ht="37.5" customHeight="1">
      <x:c r="A88" s="14" t="str">
        <x:v>KRDS-SEC-024-A-06</x:v>
      </x:c>
      <x:c r="B88" s="14" t="str">
        <x:v>컴포넌트</x:v>
      </x:c>
      <x:c r="C88" s="14" t="str">
        <x:v>탐색</x:v>
      </x:c>
      <x:c r="D88" s="14" t="str">
        <x:v>사이드 메뉴</x:v>
      </x:c>
      <x:c r="E88" s="14" t="str">
        <x:v>접근성 가이드라인</x:v>
      </x:c>
      <x:c r="F88" s="14" t="str">
        <x:v>06</x:v>
      </x:c>
      <x:c r="G88" s="14" t="n">
        <x:v>305</x:v>
      </x:c>
      <x:c r="H88" s="14" t="n">
        <x:v>305</x:v>
      </x:c>
      <x:c r="I88" s="14" t="str"/>
      <x:c r="J88" s="14" t="str">
        <x:v>스크린 리더에서 하위 수준 메뉴의 확장/축소 상태를 확인할 수 있도록 한다.</x:v>
      </x:c>
      <x:c r="K88" s="14" t="str">
        <x:v>UI-023</x:v>
      </x:c>
      <x:c r="L88" s="14" t="str">
        <x:v>추출 후 기본 구조 검토; 원문 적용수준·전체 맥락 재확인 필요</x:v>
      </x:c>
      <x:c r="M88" s="14" t="str">
        <x:v>미확인</x:v>
      </x:c>
    </x:row>
    <x:row r="89" ht="37.5" customHeight="1">
      <x:c r="A89" s="13" t="str">
        <x:v>KRDS-SEC-024-A-07</x:v>
      </x:c>
      <x:c r="B89" s="13" t="str">
        <x:v>컴포넌트</x:v>
      </x:c>
      <x:c r="C89" s="13" t="str">
        <x:v>탐색</x:v>
      </x:c>
      <x:c r="D89" s="13" t="str">
        <x:v>사이드 메뉴</x:v>
      </x:c>
      <x:c r="E89" s="13" t="str">
        <x:v>접근성 가이드라인</x:v>
      </x:c>
      <x:c r="F89" s="13" t="str">
        <x:v>07</x:v>
      </x:c>
      <x:c r="G89" s="13" t="n">
        <x:v>306</x:v>
      </x:c>
      <x:c r="H89" s="13" t="n">
        <x:v>306</x:v>
      </x:c>
      <x:c r="I89" s="13" t="str"/>
      <x:c r="J89" s="13" t="str">
        <x:v>축소된 메뉴 링크에 보조 기술이 접근되지 않도록 제공한다.</x:v>
      </x:c>
      <x:c r="K89" s="13" t="str">
        <x:v>UI-023</x:v>
      </x:c>
      <x:c r="L89" s="13" t="str">
        <x:v>추출 후 기본 구조 검토; 원문 적용수준·전체 맥락 재확인 필요</x:v>
      </x:c>
      <x:c r="M89" s="13" t="str">
        <x:v>미확인</x:v>
      </x:c>
    </x:row>
    <x:row r="90" ht="37.5" customHeight="1">
      <x:c r="A90" s="14" t="str">
        <x:v>KRDS-SEC-025-U-01</x:v>
      </x:c>
      <x:c r="B90" s="14" t="str">
        <x:v>컴포넌트</x:v>
      </x:c>
      <x:c r="C90" s="14" t="str">
        <x:v>탐색</x:v>
      </x:c>
      <x:c r="D90" s="14" t="str">
        <x:v>콘텐츠 내 탐색</x:v>
      </x:c>
      <x:c r="E90" s="14" t="str">
        <x:v>사용성 가이드라인</x:v>
      </x:c>
      <x:c r="F90" s="14" t="str">
        <x:v>01</x:v>
      </x:c>
      <x:c r="G90" s="14" t="n">
        <x:v>311</x:v>
      </x:c>
      <x:c r="H90" s="14" t="n">
        <x:v>311</x:v>
      </x:c>
      <x:c r="I90" s="14" t="str">
        <x:v>312</x:v>
      </x:c>
      <x:c r="J90" s="14" t="str">
        <x:v>적절한 너비로 표현한다.</x:v>
      </x:c>
      <x:c r="K90" s="14" t="str">
        <x:v>UI-024</x:v>
      </x:c>
      <x:c r="L90" s="14" t="str">
        <x:v>추출 후 기본 구조 검토; 원문 적용수준·전체 맥락 재확인 필요</x:v>
      </x:c>
      <x:c r="M90" s="14" t="str">
        <x:v>미확인</x:v>
      </x:c>
    </x:row>
    <x:row r="91" ht="37.5" customHeight="1">
      <x:c r="A91" s="13" t="str">
        <x:v>KRDS-SEC-025-U-02</x:v>
      </x:c>
      <x:c r="B91" s="13" t="str">
        <x:v>컴포넌트</x:v>
      </x:c>
      <x:c r="C91" s="13" t="str">
        <x:v>탐색</x:v>
      </x:c>
      <x:c r="D91" s="13" t="str">
        <x:v>콘텐츠 내 탐색</x:v>
      </x:c>
      <x:c r="E91" s="13" t="str">
        <x:v>사용성 가이드라인</x:v>
      </x:c>
      <x:c r="F91" s="13" t="str">
        <x:v>02</x:v>
      </x:c>
      <x:c r="G91" s="13" t="n">
        <x:v>311</x:v>
      </x:c>
      <x:c r="H91" s="13" t="n">
        <x:v>311</x:v>
      </x:c>
      <x:c r="I91" s="13" t="str">
        <x:v>312</x:v>
      </x:c>
      <x:c r="J91" s="13" t="str">
        <x:v>콘텐츠 내 탐색은 본문 우측에 표시한다.</x:v>
      </x:c>
      <x:c r="K91" s="13" t="str">
        <x:v>UI-024</x:v>
      </x:c>
      <x:c r="L91" s="13" t="str">
        <x:v>추출 후 기본 구조 검토; 원문 적용수준·전체 맥락 재확인 필요</x:v>
      </x:c>
      <x:c r="M91" s="13" t="str">
        <x:v>미확인</x:v>
      </x:c>
    </x:row>
    <x:row r="92" ht="37.5" customHeight="1">
      <x:c r="A92" s="14" t="str">
        <x:v>KRDS-SEC-025-U-03</x:v>
      </x:c>
      <x:c r="B92" s="14" t="str">
        <x:v>컴포넌트</x:v>
      </x:c>
      <x:c r="C92" s="14" t="str">
        <x:v>탐색</x:v>
      </x:c>
      <x:c r="D92" s="14" t="str">
        <x:v>콘텐츠 내 탐색</x:v>
      </x:c>
      <x:c r="E92" s="14" t="str">
        <x:v>사용성 가이드라인</x:v>
      </x:c>
      <x:c r="F92" s="14" t="str">
        <x:v>03</x:v>
      </x:c>
      <x:c r="G92" s="14" t="n">
        <x:v>311</x:v>
      </x:c>
      <x:c r="H92" s="14" t="n">
        <x:v>311</x:v>
      </x:c>
      <x:c r="I92" s="14" t="str">
        <x:v>312</x:v>
      </x:c>
      <x:c r="J92" s="14" t="str">
        <x:v>개요 목록 텍스트는 연결된 섹션 제목과 일치하는 내용으로 제공한다.</x:v>
      </x:c>
      <x:c r="K92" s="14" t="str">
        <x:v>UI-024</x:v>
      </x:c>
      <x:c r="L92" s="14" t="str">
        <x:v>추출 후 기본 구조 검토; 원문 적용수준·전체 맥락 재확인 필요</x:v>
      </x:c>
      <x:c r="M92" s="14" t="str">
        <x:v>미확인</x:v>
      </x:c>
    </x:row>
    <x:row r="93" ht="37.5" customHeight="1">
      <x:c r="A93" s="13" t="str">
        <x:v>KRDS-SEC-025-U-04</x:v>
      </x:c>
      <x:c r="B93" s="13" t="str">
        <x:v>컴포넌트</x:v>
      </x:c>
      <x:c r="C93" s="13" t="str">
        <x:v>탐색</x:v>
      </x:c>
      <x:c r="D93" s="13" t="str">
        <x:v>콘텐츠 내 탐색</x:v>
      </x:c>
      <x:c r="E93" s="13" t="str">
        <x:v>사용성 가이드라인</x:v>
      </x:c>
      <x:c r="F93" s="13" t="str">
        <x:v>04</x:v>
      </x:c>
      <x:c r="G93" s="13" t="n">
        <x:v>311</x:v>
      </x:c>
      <x:c r="H93" s="13" t="n">
        <x:v>311</x:v>
      </x:c>
      <x:c r="I93" s="13" t="str">
        <x:v>312</x:v>
      </x:c>
      <x:c r="J93" s="13" t="str">
        <x:v>목록 수준은 최대 3단계까지 사용한다.</x:v>
      </x:c>
      <x:c r="K93" s="13" t="str">
        <x:v>UI-024</x:v>
      </x:c>
      <x:c r="L93" s="13" t="str">
        <x:v>추출 후 기본 구조 검토; 원문 적용수준·전체 맥락 재확인 필요</x:v>
      </x:c>
      <x:c r="M93" s="13" t="str">
        <x:v>미확인</x:v>
      </x:c>
    </x:row>
    <x:row r="94" ht="37.5" customHeight="1">
      <x:c r="A94" s="14" t="str">
        <x:v>KRDS-SEC-025-P-01</x:v>
      </x:c>
      <x:c r="B94" s="14" t="str">
        <x:v>컴포넌트</x:v>
      </x:c>
      <x:c r="C94" s="14" t="str">
        <x:v>탐색</x:v>
      </x:c>
      <x:c r="D94" s="14" t="str">
        <x:v>콘텐츠 내 탐색</x:v>
      </x:c>
      <x:c r="E94" s="14" t="str">
        <x:v>플랫폼에 대한 고려 사항</x:v>
      </x:c>
      <x:c r="F94" s="14" t="str">
        <x:v>01</x:v>
      </x:c>
      <x:c r="G94" s="14" t="n">
        <x:v>313</x:v>
      </x:c>
      <x:c r="H94" s="14" t="n">
        <x:v>313</x:v>
      </x:c>
      <x:c r="I94" s="14" t="str"/>
      <x:c r="J94" s="14" t="str">
        <x:v>모바일에서 콘텐츠 내 탐색은 제목과 본문 사이에 배치한다.</x:v>
      </x:c>
      <x:c r="K94" s="14" t="str">
        <x:v>UI-024</x:v>
      </x:c>
      <x:c r="L94" s="14" t="str">
        <x:v>추출 후 기본 구조 검토; 원문 적용수준·전체 맥락 재확인 필요</x:v>
      </x:c>
      <x:c r="M94" s="14" t="str">
        <x:v>미확인</x:v>
      </x:c>
    </x:row>
    <x:row r="95" ht="37.5" customHeight="1">
      <x:c r="A95" s="13" t="str">
        <x:v>KRDS-SEC-025-A-01</x:v>
      </x:c>
      <x:c r="B95" s="13" t="str">
        <x:v>컴포넌트</x:v>
      </x:c>
      <x:c r="C95" s="13" t="str">
        <x:v>탐색</x:v>
      </x:c>
      <x:c r="D95" s="13" t="str">
        <x:v>콘텐츠 내 탐색</x:v>
      </x:c>
      <x:c r="E95" s="13" t="str">
        <x:v>접근성 가이드라인</x:v>
      </x:c>
      <x:c r="F95" s="13" t="str">
        <x:v>01</x:v>
      </x:c>
      <x:c r="G95" s="13" t="n">
        <x:v>314</x:v>
      </x:c>
      <x:c r="H95" s="13" t="n">
        <x:v>314</x:v>
      </x:c>
      <x:c r="I95" s="13" t="str"/>
      <x:c r="J95" s="13" t="str">
        <x:v>키보드로 접근과 조작이 가능하도록 한다.</x:v>
      </x:c>
      <x:c r="K95" s="13" t="str">
        <x:v>UI-024</x:v>
      </x:c>
      <x:c r="L95" s="13" t="str">
        <x:v>추출 후 기본 구조 검토; 원문 적용수준·전체 맥락 재확인 필요</x:v>
      </x:c>
      <x:c r="M95" s="13" t="str">
        <x:v>미확인</x:v>
      </x:c>
    </x:row>
    <x:row r="96" ht="37.5" customHeight="1">
      <x:c r="A96" s="14" t="str">
        <x:v>KRDS-SEC-025-A-02</x:v>
      </x:c>
      <x:c r="B96" s="14" t="str">
        <x:v>컴포넌트</x:v>
      </x:c>
      <x:c r="C96" s="14" t="str">
        <x:v>탐색</x:v>
      </x:c>
      <x:c r="D96" s="14" t="str">
        <x:v>콘텐츠 내 탐색</x:v>
      </x:c>
      <x:c r="E96" s="14" t="str">
        <x:v>접근성 가이드라인</x:v>
      </x:c>
      <x:c r="F96" s="14" t="str">
        <x:v>02</x:v>
      </x:c>
      <x:c r="G96" s="14" t="n">
        <x:v>314</x:v>
      </x:c>
      <x:c r="H96" s="14" t="n">
        <x:v>314</x:v>
      </x:c>
      <x:c r="I96" s="14" t="str"/>
      <x:c r="J96" s="14" t="str">
        <x:v>콘텐츠 내 탐색은 제목과 본문 사이에 배치한다.</x:v>
      </x:c>
      <x:c r="K96" s="14" t="str">
        <x:v>UI-024</x:v>
      </x:c>
      <x:c r="L96" s="14" t="str">
        <x:v>추출 후 기본 구조 검토; 원문 적용수준·전체 맥락 재확인 필요</x:v>
      </x:c>
      <x:c r="M96" s="14" t="str">
        <x:v>미확인</x:v>
      </x:c>
    </x:row>
    <x:row r="97" ht="37.5" customHeight="1">
      <x:c r="A97" s="13" t="str">
        <x:v>KRDS-SEC-025-A-03</x:v>
      </x:c>
      <x:c r="B97" s="13" t="str">
        <x:v>컴포넌트</x:v>
      </x:c>
      <x:c r="C97" s="13" t="str">
        <x:v>탐색</x:v>
      </x:c>
      <x:c r="D97" s="13" t="str">
        <x:v>콘텐츠 내 탐색</x:v>
      </x:c>
      <x:c r="E97" s="13" t="str">
        <x:v>접근성 가이드라인</x:v>
      </x:c>
      <x:c r="F97" s="13" t="str">
        <x:v>03</x:v>
      </x:c>
      <x:c r="G97" s="13" t="n">
        <x:v>314</x:v>
      </x:c>
      <x:c r="H97" s="13" t="n">
        <x:v>314</x:v>
      </x:c>
      <x:c r="I97" s="13" t="str"/>
      <x:c r="J97" s="13" t="str">
        <x:v>키보드로 콘텐츠 내 탐색 링크를 실행하였을 때 화면과 함께 키보드 초점이 해당 섹션으로 이동되도록 한다.</x:v>
      </x:c>
      <x:c r="K97" s="13" t="str">
        <x:v>UI-024</x:v>
      </x:c>
      <x:c r="L97" s="13" t="str">
        <x:v>추출 후 기본 구조 검토; 원문 적용수준·전체 맥락 재확인 필요</x:v>
      </x:c>
      <x:c r="M97" s="13" t="str">
        <x:v>미확인</x:v>
      </x:c>
    </x:row>
    <x:row r="98" ht="37.5" customHeight="1">
      <x:c r="A98" s="14" t="str">
        <x:v>KRDS-SEC-025-A-04</x:v>
      </x:c>
      <x:c r="B98" s="14" t="str">
        <x:v>컴포넌트</x:v>
      </x:c>
      <x:c r="C98" s="14" t="str">
        <x:v>탐색</x:v>
      </x:c>
      <x:c r="D98" s="14" t="str">
        <x:v>콘텐츠 내 탐색</x:v>
      </x:c>
      <x:c r="E98" s="14" t="str">
        <x:v>접근성 가이드라인</x:v>
      </x:c>
      <x:c r="F98" s="14" t="str">
        <x:v>04</x:v>
      </x:c>
      <x:c r="G98" s="14" t="n">
        <x:v>315</x:v>
      </x:c>
      <x:c r="H98" s="14" t="n">
        <x:v>315</x:v>
      </x:c>
      <x:c r="I98" s="14" t="str"/>
      <x:c r="J98" s="14" t="str">
        <x:v>링크 목록에 &lt;h1&gt;을 사용하지 않는다.</x:v>
      </x:c>
      <x:c r="K98" s="14" t="str">
        <x:v>UI-024</x:v>
      </x:c>
      <x:c r="L98" s="14" t="str">
        <x:v>추출 후 기본 구조 검토; 원문 적용수준·전체 맥락 재확인 필요</x:v>
      </x:c>
      <x:c r="M98" s="14" t="str">
        <x:v>미확인</x:v>
      </x:c>
    </x:row>
    <x:row r="99" ht="37.5" customHeight="1">
      <x:c r="A99" s="13" t="str">
        <x:v>KRDS-SEC-026-U-01</x:v>
      </x:c>
      <x:c r="B99" s="13" t="str">
        <x:v>컴포넌트</x:v>
      </x:c>
      <x:c r="C99" s="13" t="str">
        <x:v>탐색</x:v>
      </x:c>
      <x:c r="D99" s="13" t="str">
        <x:v>페이지네이션</x:v>
      </x:c>
      <x:c r="E99" s="13" t="str">
        <x:v>사용성 가이드라인</x:v>
      </x:c>
      <x:c r="F99" s="13" t="str">
        <x:v>01</x:v>
      </x:c>
      <x:c r="G99" s="13" t="n">
        <x:v>325</x:v>
      </x:c>
      <x:c r="H99" s="13" t="n">
        <x:v>325</x:v>
      </x:c>
      <x:c r="I99" s="13" t="str">
        <x:v>326</x:v>
      </x:c>
      <x:c r="J99" s="13" t="str">
        <x:v>페이지네이션에는 첫/마지막 화면, 이전/다음 화면으로 이동할 수 있는 수단을 제공한다.</x:v>
      </x:c>
      <x:c r="K99" s="13" t="str">
        <x:v>UI-025</x:v>
      </x:c>
      <x:c r="L99" s="13" t="str">
        <x:v>추출 후 기본 구조 검토; 원문 적용수준·전체 맥락 재확인 필요</x:v>
      </x:c>
      <x:c r="M99" s="13" t="str">
        <x:v>미확인</x:v>
      </x:c>
    </x:row>
    <x:row r="100" ht="37.5" customHeight="1">
      <x:c r="A100" s="14" t="str">
        <x:v>KRDS-SEC-026-U-02</x:v>
      </x:c>
      <x:c r="B100" s="14" t="str">
        <x:v>컴포넌트</x:v>
      </x:c>
      <x:c r="C100" s="14" t="str">
        <x:v>탐색</x:v>
      </x:c>
      <x:c r="D100" s="14" t="str">
        <x:v>페이지네이션</x:v>
      </x:c>
      <x:c r="E100" s="14" t="str">
        <x:v>사용성 가이드라인</x:v>
      </x:c>
      <x:c r="F100" s="14" t="str">
        <x:v>02</x:v>
      </x:c>
      <x:c r="G100" s="14" t="n">
        <x:v>325</x:v>
      </x:c>
      <x:c r="H100" s="14" t="n">
        <x:v>325</x:v>
      </x:c>
      <x:c r="I100" s="14" t="str">
        <x:v>326</x:v>
      </x:c>
      <x:c r="J100" s="14" t="str">
        <x:v>전체 화면 수를 표시한다.</x:v>
      </x:c>
      <x:c r="K100" s="14" t="str">
        <x:v>UI-025</x:v>
      </x:c>
      <x:c r="L100" s="14" t="str">
        <x:v>추출 후 기본 구조 검토; 원문 적용수준·전체 맥락 재확인 필요</x:v>
      </x:c>
      <x:c r="M100" s="14" t="str">
        <x:v>미확인</x:v>
      </x:c>
    </x:row>
    <x:row r="101" ht="37.5" customHeight="1">
      <x:c r="A101" s="13" t="str">
        <x:v>KRDS-SEC-026-U-03</x:v>
      </x:c>
      <x:c r="B101" s="13" t="str">
        <x:v>컴포넌트</x:v>
      </x:c>
      <x:c r="C101" s="13" t="str">
        <x:v>탐색</x:v>
      </x:c>
      <x:c r="D101" s="13" t="str">
        <x:v>페이지네이션</x:v>
      </x:c>
      <x:c r="E101" s="13" t="str">
        <x:v>사용성 가이드라인</x:v>
      </x:c>
      <x:c r="F101" s="13" t="str">
        <x:v>03</x:v>
      </x:c>
      <x:c r="G101" s="13" t="n">
        <x:v>325</x:v>
      </x:c>
      <x:c r="H101" s="13" t="n">
        <x:v>325</x:v>
      </x:c>
      <x:c r="I101" s="13" t="str">
        <x:v>327</x:v>
      </x:c>
      <x:c r="J101" s="13" t="str">
        <x:v>번호 링크에 현재 화면 숫자를 강조하여 표현한다.</x:v>
      </x:c>
      <x:c r="K101" s="13" t="str">
        <x:v>UI-025</x:v>
      </x:c>
      <x:c r="L101" s="13" t="str">
        <x:v>추출 후 기본 구조 검토; 원문 적용수준·전체 맥락 재확인 필요</x:v>
      </x:c>
      <x:c r="M101" s="13" t="str">
        <x:v>미확인</x:v>
      </x:c>
    </x:row>
    <x:row r="102" ht="37.5" customHeight="1">
      <x:c r="A102" s="14" t="str">
        <x:v>KRDS-SEC-026-U-04</x:v>
      </x:c>
      <x:c r="B102" s="14" t="str">
        <x:v>컴포넌트</x:v>
      </x:c>
      <x:c r="C102" s="14" t="str">
        <x:v>탐색</x:v>
      </x:c>
      <x:c r="D102" s="14" t="str">
        <x:v>페이지네이션</x:v>
      </x:c>
      <x:c r="E102" s="14" t="str">
        <x:v>사용성 가이드라인</x:v>
      </x:c>
      <x:c r="F102" s="14" t="str">
        <x:v>04</x:v>
      </x:c>
      <x:c r="G102" s="14" t="n">
        <x:v>325</x:v>
      </x:c>
      <x:c r="H102" s="14" t="n">
        <x:v>325</x:v>
      </x:c>
      <x:c r="I102" s="14" t="str">
        <x:v>328</x:v>
      </x:c>
      <x:c r="J102" s="14" t="str">
        <x:v>페이지네이션은 전체 서비스에서 일관된 영역에 배치한다.</x:v>
      </x:c>
      <x:c r="K102" s="14" t="str">
        <x:v>UI-025</x:v>
      </x:c>
      <x:c r="L102" s="14" t="str">
        <x:v>추출 후 기본 구조 검토; 원문 적용수준·전체 맥락 재확인 필요</x:v>
      </x:c>
      <x:c r="M102" s="14" t="str">
        <x:v>미확인</x:v>
      </x:c>
    </x:row>
    <x:row r="103" ht="37.5" customHeight="1">
      <x:c r="A103" s="13" t="str">
        <x:v>KRDS-SEC-026-U-05</x:v>
      </x:c>
      <x:c r="B103" s="13" t="str">
        <x:v>컴포넌트</x:v>
      </x:c>
      <x:c r="C103" s="13" t="str">
        <x:v>탐색</x:v>
      </x:c>
      <x:c r="D103" s="13" t="str">
        <x:v>페이지네이션</x:v>
      </x:c>
      <x:c r="E103" s="13" t="str">
        <x:v>사용성 가이드라인</x:v>
      </x:c>
      <x:c r="F103" s="13" t="str">
        <x:v>05</x:v>
      </x:c>
      <x:c r="G103" s="13" t="n">
        <x:v>325</x:v>
      </x:c>
      <x:c r="H103" s="13" t="n">
        <x:v>325</x:v>
      </x:c>
      <x:c r="I103" s="13" t="str">
        <x:v>328</x:v>
      </x:c>
      <x:c r="J103" s="13" t="str">
        <x:v>페이지네이션은 한 화면에 하나만 사용한다.</x:v>
      </x:c>
      <x:c r="K103" s="13" t="str">
        <x:v>UI-025</x:v>
      </x:c>
      <x:c r="L103" s="13" t="str">
        <x:v>추출 후 기본 구조 검토; 원문 적용수준·전체 맥락 재확인 필요</x:v>
      </x:c>
      <x:c r="M103" s="13" t="str">
        <x:v>미확인</x:v>
      </x:c>
    </x:row>
    <x:row r="104" ht="37.5" customHeight="1">
      <x:c r="A104" s="14" t="str">
        <x:v>KRDS-SEC-026-U-06</x:v>
      </x:c>
      <x:c r="B104" s="14" t="str">
        <x:v>컴포넌트</x:v>
      </x:c>
      <x:c r="C104" s="14" t="str">
        <x:v>탐색</x:v>
      </x:c>
      <x:c r="D104" s="14" t="str">
        <x:v>페이지네이션</x:v>
      </x:c>
      <x:c r="E104" s="14" t="str">
        <x:v>사용성 가이드라인</x:v>
      </x:c>
      <x:c r="F104" s="14" t="str">
        <x:v>06</x:v>
      </x:c>
      <x:c r="G104" s="14" t="n">
        <x:v>325</x:v>
      </x:c>
      <x:c r="H104" s="14" t="n">
        <x:v>325</x:v>
      </x:c>
      <x:c r="I104" s="14" t="str">
        <x:v>328</x:v>
      </x:c>
      <x:c r="J104" s="14" t="str">
        <x:v>숫자 링크 목록에는 말줄임표를 포함하여 10개 이내의 항목을 표시한다.</x:v>
      </x:c>
      <x:c r="K104" s="14" t="str">
        <x:v>UI-025</x:v>
      </x:c>
      <x:c r="L104" s="14" t="str">
        <x:v>추출 후 기본 구조 검토; 원문 적용수준·전체 맥락 재확인 필요</x:v>
      </x:c>
      <x:c r="M104" s="14" t="str">
        <x:v>미확인</x:v>
      </x:c>
    </x:row>
    <x:row r="105" ht="37.5" customHeight="1">
      <x:c r="A105" s="13" t="str">
        <x:v>KRDS-SEC-026-U-07</x:v>
      </x:c>
      <x:c r="B105" s="13" t="str">
        <x:v>컴포넌트</x:v>
      </x:c>
      <x:c r="C105" s="13" t="str">
        <x:v>탐색</x:v>
      </x:c>
      <x:c r="D105" s="13" t="str">
        <x:v>페이지네이션</x:v>
      </x:c>
      <x:c r="E105" s="13" t="str">
        <x:v>사용성 가이드라인</x:v>
      </x:c>
      <x:c r="F105" s="13" t="str">
        <x:v>07</x:v>
      </x:c>
      <x:c r="G105" s="13" t="n">
        <x:v>325</x:v>
      </x:c>
      <x:c r="H105" s="13" t="n">
        <x:v>325</x:v>
      </x:c>
      <x:c r="I105" s="13" t="str">
        <x:v>329</x:v>
      </x:c>
      <x:c r="J105" s="13" t="str">
        <x:v>화면당 항목 수를 최적화한다.</x:v>
      </x:c>
      <x:c r="K105" s="13" t="str">
        <x:v>UI-025</x:v>
      </x:c>
      <x:c r="L105" s="13" t="str">
        <x:v>추출 후 기본 구조 검토; 원문 적용수준·전체 맥락 재확인 필요</x:v>
      </x:c>
      <x:c r="M105" s="13" t="str">
        <x:v>미확인</x:v>
      </x:c>
    </x:row>
    <x:row r="106" ht="37.5" customHeight="1">
      <x:c r="A106" s="14" t="str">
        <x:v>KRDS-SEC-026-P-01</x:v>
      </x:c>
      <x:c r="B106" s="14" t="str">
        <x:v>컴포넌트</x:v>
      </x:c>
      <x:c r="C106" s="14" t="str">
        <x:v>탐색</x:v>
      </x:c>
      <x:c r="D106" s="14" t="str">
        <x:v>페이지네이션</x:v>
      </x:c>
      <x:c r="E106" s="14" t="str">
        <x:v>플랫폼에 대한 고려 사항</x:v>
      </x:c>
      <x:c r="F106" s="14" t="str">
        <x:v>01</x:v>
      </x:c>
      <x:c r="G106" s="14" t="n">
        <x:v>330</x:v>
      </x:c>
      <x:c r="H106" s="14" t="n">
        <x:v>330</x:v>
      </x:c>
      <x:c r="I106" s="14" t="str"/>
      <x:c r="J106" s="14" t="str">
        <x:v>화면 너비가 충분하지 않은 경우 이전/다음 버튼, 숫자 링크 목록을 수직으로 배치한다.</x:v>
      </x:c>
      <x:c r="K106" s="14" t="str">
        <x:v>UI-025</x:v>
      </x:c>
      <x:c r="L106" s="14" t="str">
        <x:v>추출 후 기본 구조 검토; 원문 적용수준·전체 맥락 재확인 필요</x:v>
      </x:c>
      <x:c r="M106" s="14" t="str">
        <x:v>미확인</x:v>
      </x:c>
    </x:row>
    <x:row r="107" ht="37.5" customHeight="1">
      <x:c r="A107" s="13" t="str">
        <x:v>KRDS-SEC-026-P-02</x:v>
      </x:c>
      <x:c r="B107" s="13" t="str">
        <x:v>컴포넌트</x:v>
      </x:c>
      <x:c r="C107" s="13" t="str">
        <x:v>탐색</x:v>
      </x:c>
      <x:c r="D107" s="13" t="str">
        <x:v>페이지네이션</x:v>
      </x:c>
      <x:c r="E107" s="13" t="str">
        <x:v>플랫폼에 대한 고려 사항</x:v>
      </x:c>
      <x:c r="F107" s="13" t="str">
        <x:v>02</x:v>
      </x:c>
      <x:c r="G107" s="13" t="n">
        <x:v>331</x:v>
      </x:c>
      <x:c r="H107" s="13" t="n">
        <x:v>331</x:v>
      </x:c>
      <x:c r="I107" s="13" t="str"/>
      <x:c r="J107" s="13" t="str">
        <x:v>화면 너비가 충분하지 않은 경우 숫자 링크 목록은 말줄임표를 포함하여 최대 7개 링크를 표시한다.</x:v>
      </x:c>
      <x:c r="K107" s="13" t="str">
        <x:v>UI-025</x:v>
      </x:c>
      <x:c r="L107" s="13" t="str">
        <x:v>추출 후 기본 구조 검토; 원문 적용수준·전체 맥락 재확인 필요</x:v>
      </x:c>
      <x:c r="M107" s="13" t="str">
        <x:v>미확인</x:v>
      </x:c>
    </x:row>
    <x:row r="108" ht="37.5" customHeight="1">
      <x:c r="A108" s="14" t="str">
        <x:v>KRDS-SEC-026-P-03</x:v>
      </x:c>
      <x:c r="B108" s="14" t="str">
        <x:v>컴포넌트</x:v>
      </x:c>
      <x:c r="C108" s="14" t="str">
        <x:v>탐색</x:v>
      </x:c>
      <x:c r="D108" s="14" t="str">
        <x:v>페이지네이션</x:v>
      </x:c>
      <x:c r="E108" s="14" t="str">
        <x:v>플랫폼에 대한 고려 사항</x:v>
      </x:c>
      <x:c r="F108" s="14" t="str">
        <x:v>03</x:v>
      </x:c>
      <x:c r="G108" s="14" t="n">
        <x:v>332</x:v>
      </x:c>
      <x:c r="H108" s="14" t="n">
        <x:v>332</x:v>
      </x:c>
      <x:c r="I108" s="14" t="str"/>
      <x:c r="J108" s="14" t="str">
        <x:v>화면 크기에 상관없이 전체 화면 수를 일정하게 유지한다.</x:v>
      </x:c>
      <x:c r="K108" s="14" t="str">
        <x:v>UI-025</x:v>
      </x:c>
      <x:c r="L108" s="14" t="str">
        <x:v>추출 후 기본 구조 검토; 원문 적용수준·전체 맥락 재확인 필요</x:v>
      </x:c>
      <x:c r="M108" s="14" t="str">
        <x:v>미확인</x:v>
      </x:c>
    </x:row>
    <x:row r="109" ht="37.5" customHeight="1">
      <x:c r="A109" s="13" t="str">
        <x:v>KRDS-SEC-026-A-01</x:v>
      </x:c>
      <x:c r="B109" s="13" t="str">
        <x:v>컴포넌트</x:v>
      </x:c>
      <x:c r="C109" s="13" t="str">
        <x:v>탐색</x:v>
      </x:c>
      <x:c r="D109" s="13" t="str">
        <x:v>페이지네이션</x:v>
      </x:c>
      <x:c r="E109" s="13" t="str">
        <x:v>접근성 가이드라인</x:v>
      </x:c>
      <x:c r="F109" s="13" t="str">
        <x:v>01</x:v>
      </x:c>
      <x:c r="G109" s="13" t="n">
        <x:v>333</x:v>
      </x:c>
      <x:c r="H109" s="13" t="n">
        <x:v>333</x:v>
      </x:c>
      <x:c r="I109" s="13" t="str"/>
      <x:c r="J109" s="13" t="str">
        <x:v>페이지네이션의 컨테이너가 내비게이션 섹션임을 스크린 리더에서 인지할 수 있도록 한다.</x:v>
      </x:c>
      <x:c r="K109" s="13" t="str">
        <x:v>UI-025</x:v>
      </x:c>
      <x:c r="L109" s="13" t="str">
        <x:v>추출 후 기본 구조 검토; 원문 적용수준·전체 맥락 재확인 필요</x:v>
      </x:c>
      <x:c r="M109" s="13" t="str">
        <x:v>미확인</x:v>
      </x:c>
    </x:row>
    <x:row r="110" ht="37.5" customHeight="1">
      <x:c r="A110" s="14" t="str">
        <x:v>KRDS-SEC-026-A-02</x:v>
      </x:c>
      <x:c r="B110" s="14" t="str">
        <x:v>컴포넌트</x:v>
      </x:c>
      <x:c r="C110" s="14" t="str">
        <x:v>탐색</x:v>
      </x:c>
      <x:c r="D110" s="14" t="str">
        <x:v>페이지네이션</x:v>
      </x:c>
      <x:c r="E110" s="14" t="str">
        <x:v>접근성 가이드라인</x:v>
      </x:c>
      <x:c r="F110" s="14" t="str">
        <x:v>02</x:v>
      </x:c>
      <x:c r="G110" s="14" t="n">
        <x:v>333</x:v>
      </x:c>
      <x:c r="H110" s="14" t="n">
        <x:v>333</x:v>
      </x:c>
      <x:c r="I110" s="14" t="str"/>
      <x:c r="J110" s="14" t="str">
        <x:v>숫자 링크 목록의 구조를 표현한다.</x:v>
      </x:c>
      <x:c r="K110" s="14" t="str">
        <x:v>UI-025</x:v>
      </x:c>
      <x:c r="L110" s="14" t="str">
        <x:v>추출 후 기본 구조 검토; 원문 적용수준·전체 맥락 재확인 필요</x:v>
      </x:c>
      <x:c r="M110" s="14" t="str">
        <x:v>미확인</x:v>
      </x:c>
    </x:row>
    <x:row r="111" ht="37.5" customHeight="1">
      <x:c r="A111" s="13" t="str">
        <x:v>KRDS-SEC-026-A-03</x:v>
      </x:c>
      <x:c r="B111" s="13" t="str">
        <x:v>컴포넌트</x:v>
      </x:c>
      <x:c r="C111" s="13" t="str">
        <x:v>탐색</x:v>
      </x:c>
      <x:c r="D111" s="13" t="str">
        <x:v>페이지네이션</x:v>
      </x:c>
      <x:c r="E111" s="13" t="str">
        <x:v>접근성 가이드라인</x:v>
      </x:c>
      <x:c r="F111" s="13" t="str">
        <x:v>03</x:v>
      </x:c>
      <x:c r="G111" s="13" t="n">
        <x:v>333</x:v>
      </x:c>
      <x:c r="H111" s="13" t="n">
        <x:v>333</x:v>
      </x:c>
      <x:c r="I111" s="13" t="str"/>
      <x:c r="J111" s="13" t="str">
        <x:v>스크린 리더에서 확인할 수 있는 현재 화면 정보를 제공한다.</x:v>
      </x:c>
      <x:c r="K111" s="13" t="str">
        <x:v>UI-025</x:v>
      </x:c>
      <x:c r="L111" s="13" t="str">
        <x:v>추출 후 기본 구조 검토; 원문 적용수준·전체 맥락 재확인 필요</x:v>
      </x:c>
      <x:c r="M111" s="13" t="str">
        <x:v>미확인</x:v>
      </x:c>
    </x:row>
    <x:row r="112" ht="37.5" customHeight="1">
      <x:c r="A112" s="14" t="str">
        <x:v>KRDS-SEC-026-A-04</x:v>
      </x:c>
      <x:c r="B112" s="14" t="str">
        <x:v>컴포넌트</x:v>
      </x:c>
      <x:c r="C112" s="14" t="str">
        <x:v>탐색</x:v>
      </x:c>
      <x:c r="D112" s="14" t="str">
        <x:v>페이지네이션</x:v>
      </x:c>
      <x:c r="E112" s="14" t="str">
        <x:v>접근성 가이드라인</x:v>
      </x:c>
      <x:c r="F112" s="14" t="str">
        <x:v>04</x:v>
      </x:c>
      <x:c r="G112" s="14" t="n">
        <x:v>334</x:v>
      </x:c>
      <x:c r="H112" s="14" t="n">
        <x:v>334</x:v>
      </x:c>
      <x:c r="I112" s="14" t="str"/>
      <x:c r="J112" s="14" t="str">
        <x:v>현재 화면 숫자 링크를 색상만으로 구분하지 않는다.</x:v>
      </x:c>
      <x:c r="K112" s="14" t="str">
        <x:v>UI-025</x:v>
      </x:c>
      <x:c r="L112" s="14" t="str">
        <x:v>추출 후 기본 구조 검토; 원문 적용수준·전체 맥락 재확인 필요</x:v>
      </x:c>
      <x:c r="M112" s="14" t="str">
        <x:v>미확인</x:v>
      </x:c>
    </x:row>
    <x:row r="113" ht="37.5" customHeight="1">
      <x:c r="A113" s="13" t="str">
        <x:v>KRDS-SEC-026-A-05</x:v>
      </x:c>
      <x:c r="B113" s="13" t="str">
        <x:v>컴포넌트</x:v>
      </x:c>
      <x:c r="C113" s="13" t="str">
        <x:v>탐색</x:v>
      </x:c>
      <x:c r="D113" s="13" t="str">
        <x:v>페이지네이션</x:v>
      </x:c>
      <x:c r="E113" s="13" t="str">
        <x:v>접근성 가이드라인</x:v>
      </x:c>
      <x:c r="F113" s="13" t="str">
        <x:v>05</x:v>
      </x:c>
      <x:c r="G113" s="13" t="n">
        <x:v>335</x:v>
      </x:c>
      <x:c r="H113" s="13" t="n">
        <x:v>335</x:v>
      </x:c>
      <x:c r="I113" s="13" t="str"/>
      <x:c r="J113" s="13" t="str">
        <x:v>숫자 링크에 적절한 접근 가능한 이름을 제공한다.</x:v>
      </x:c>
      <x:c r="K113" s="13" t="str">
        <x:v>UI-025</x:v>
      </x:c>
      <x:c r="L113" s="13" t="str">
        <x:v>추출 후 기본 구조 검토; 원문 적용수준·전체 맥락 재확인 필요</x:v>
      </x:c>
      <x:c r="M113" s="13" t="str">
        <x:v>미확인</x:v>
      </x:c>
    </x:row>
    <x:row r="114" ht="37.5" customHeight="1">
      <x:c r="A114" s="14" t="str">
        <x:v>KRDS-SEC-026-A-06</x:v>
      </x:c>
      <x:c r="B114" s="14" t="str">
        <x:v>컴포넌트</x:v>
      </x:c>
      <x:c r="C114" s="14" t="str">
        <x:v>탐색</x:v>
      </x:c>
      <x:c r="D114" s="14" t="str">
        <x:v>페이지네이션</x:v>
      </x:c>
      <x:c r="E114" s="14" t="str">
        <x:v>접근성 가이드라인</x:v>
      </x:c>
      <x:c r="F114" s="14" t="str">
        <x:v>06</x:v>
      </x:c>
      <x:c r="G114" s="14" t="n">
        <x:v>335</x:v>
      </x:c>
      <x:c r="H114" s="14" t="n">
        <x:v>335</x:v>
      </x:c>
      <x:c r="I114" s="14" t="str"/>
      <x:c r="J114" s="14" t="str">
        <x:v>이전/다음 화면 이동 버튼을 아이콘으로만 제공하는 경우 이름을 제공해야 한다.</x:v>
      </x:c>
      <x:c r="K114" s="14" t="str">
        <x:v>UI-025</x:v>
      </x:c>
      <x:c r="L114" s="14" t="str">
        <x:v>추출 후 기본 구조 검토; 원문 적용수준·전체 맥락 재확인 필요</x:v>
      </x:c>
      <x:c r="M114" s="14" t="str">
        <x:v>미확인</x:v>
      </x:c>
    </x:row>
    <x:row r="115" ht="37.5" customHeight="1">
      <x:c r="A115" s="13" t="str">
        <x:v>KRDS-SEC-026-A-07</x:v>
      </x:c>
      <x:c r="B115" s="13" t="str">
        <x:v>컴포넌트</x:v>
      </x:c>
      <x:c r="C115" s="13" t="str">
        <x:v>탐색</x:v>
      </x:c>
      <x:c r="D115" s="13" t="str">
        <x:v>페이지네이션</x:v>
      </x:c>
      <x:c r="E115" s="13" t="str">
        <x:v>접근성 가이드라인</x:v>
      </x:c>
      <x:c r="F115" s="13" t="str">
        <x:v>07</x:v>
      </x:c>
      <x:c r="G115" s="13" t="n">
        <x:v>335</x:v>
      </x:c>
      <x:c r="H115" s="13" t="n">
        <x:v>335</x:v>
      </x:c>
      <x:c r="I115" s="13" t="str"/>
      <x:c r="J115" s="13" t="str">
        <x:v>페이지네이션의 구성 요소를 적절한 크기로 표현하고 영역 간 구분을 제공한다.</x:v>
      </x:c>
      <x:c r="K115" s="13" t="str">
        <x:v>UI-025</x:v>
      </x:c>
      <x:c r="L115" s="13" t="str">
        <x:v>추출 후 기본 구조 검토; 원문 적용수준·전체 맥락 재확인 필요</x:v>
      </x:c>
      <x:c r="M115" s="13" t="str">
        <x:v>미확인</x:v>
      </x:c>
    </x:row>
    <x:row r="116" ht="37.5" customHeight="1">
      <x:c r="A116" s="14" t="str">
        <x:v>KRDS-SEC-026-A-08</x:v>
      </x:c>
      <x:c r="B116" s="14" t="str">
        <x:v>컴포넌트</x:v>
      </x:c>
      <x:c r="C116" s="14" t="str">
        <x:v>탐색</x:v>
      </x:c>
      <x:c r="D116" s="14" t="str">
        <x:v>페이지네이션</x:v>
      </x:c>
      <x:c r="E116" s="14" t="str">
        <x:v>접근성 가이드라인</x:v>
      </x:c>
      <x:c r="F116" s="14" t="str">
        <x:v>08</x:v>
      </x:c>
      <x:c r="G116" s="14" t="n">
        <x:v>336</x:v>
      </x:c>
      <x:c r="H116" s="14" t="n">
        <x:v>336</x:v>
      </x:c>
      <x:c r="I116" s="14" t="str"/>
      <x:c r="J116" s="14" t="str">
        <x:v>페이지네이션의 구성 요소를 일관된 순서로 제공한다.</x:v>
      </x:c>
      <x:c r="K116" s="14" t="str">
        <x:v>UI-025</x:v>
      </x:c>
      <x:c r="L116" s="14" t="str">
        <x:v>추출 후 기본 구조 검토; 원문 적용수준·전체 맥락 재확인 필요</x:v>
      </x:c>
      <x:c r="M116" s="14" t="str">
        <x:v>미확인</x:v>
      </x:c>
    </x:row>
    <x:row r="117" ht="37.5" customHeight="1">
      <x:c r="A117" s="13" t="str">
        <x:v>KRDS-SEC-026-A-09</x:v>
      </x:c>
      <x:c r="B117" s="13" t="str">
        <x:v>컴포넌트</x:v>
      </x:c>
      <x:c r="C117" s="13" t="str">
        <x:v>탐색</x:v>
      </x:c>
      <x:c r="D117" s="13" t="str">
        <x:v>페이지네이션</x:v>
      </x:c>
      <x:c r="E117" s="13" t="str">
        <x:v>접근성 가이드라인</x:v>
      </x:c>
      <x:c r="F117" s="13" t="str">
        <x:v>09</x:v>
      </x:c>
      <x:c r="G117" s="13" t="n">
        <x:v>336</x:v>
      </x:c>
      <x:c r="H117" s="13" t="n">
        <x:v>336</x:v>
      </x:c>
      <x:c r="I117" s="13" t="str"/>
      <x:c r="J117" s="13" t="str">
        <x:v>목록 확장 페이지네이션을 사용할 때, 초점 이동 순서에 유의한다.</x:v>
      </x:c>
      <x:c r="K117" s="13" t="str">
        <x:v>UI-025</x:v>
      </x:c>
      <x:c r="L117" s="13" t="str">
        <x:v>추출 후 기본 구조 검토; 원문 적용수준·전체 맥락 재확인 필요</x:v>
      </x:c>
      <x:c r="M117" s="13" t="str">
        <x:v>미확인</x:v>
      </x:c>
    </x:row>
    <x:row r="118" ht="37.5" customHeight="1">
      <x:c r="A118" s="14" t="str">
        <x:v>KRDS-SEC-027-U-01</x:v>
      </x:c>
      <x:c r="B118" s="14" t="str">
        <x:v>컴포넌트</x:v>
      </x:c>
      <x:c r="C118" s="14" t="str">
        <x:v>탐색</x:v>
      </x:c>
      <x:c r="D118" s="14" t="str">
        <x:v>탭바</x:v>
      </x:c>
      <x:c r="E118" s="14" t="str">
        <x:v>사용성 가이드라인</x:v>
      </x:c>
      <x:c r="F118" s="14" t="str">
        <x:v>01</x:v>
      </x:c>
      <x:c r="G118" s="14" t="n">
        <x:v>341</x:v>
      </x:c>
      <x:c r="H118" s="14" t="n">
        <x:v>341</x:v>
      </x:c>
      <x:c r="I118" s="14" t="str">
        <x:v>342</x:v>
      </x:c>
      <x:c r="J118" s="14" t="str">
        <x:v>탭 메뉴의 크기를 동일하게 유지한다.</x:v>
      </x:c>
      <x:c r="K118" s="14" t="str">
        <x:v>UI-026</x:v>
      </x:c>
      <x:c r="L118" s="14" t="str">
        <x:v>추출 후 기본 구조 검토; 원문 적용수준·전체 맥락 재확인 필요</x:v>
      </x:c>
      <x:c r="M118" s="14" t="str">
        <x:v>미확인</x:v>
      </x:c>
    </x:row>
    <x:row r="119" ht="37.5" customHeight="1">
      <x:c r="A119" s="13" t="str">
        <x:v>KRDS-SEC-027-U-02</x:v>
      </x:c>
      <x:c r="B119" s="13" t="str">
        <x:v>컴포넌트</x:v>
      </x:c>
      <x:c r="C119" s="13" t="str">
        <x:v>탐색</x:v>
      </x:c>
      <x:c r="D119" s="13" t="str">
        <x:v>탭바</x:v>
      </x:c>
      <x:c r="E119" s="13" t="str">
        <x:v>사용성 가이드라인</x:v>
      </x:c>
      <x:c r="F119" s="13" t="str">
        <x:v>02</x:v>
      </x:c>
      <x:c r="G119" s="13" t="n">
        <x:v>341</x:v>
      </x:c>
      <x:c r="H119" s="13" t="n">
        <x:v>341</x:v>
      </x:c>
      <x:c r="I119" s="13" t="str">
        <x:v>343</x:v>
      </x:c>
      <x:c r="J119" s="13" t="str">
        <x:v>선택된 메뉴 상태를 명확하게 표현한다.</x:v>
      </x:c>
      <x:c r="K119" s="13" t="str">
        <x:v>UI-026</x:v>
      </x:c>
      <x:c r="L119" s="13" t="str">
        <x:v>추출 후 기본 구조 검토; 원문 적용수준·전체 맥락 재확인 필요</x:v>
      </x:c>
      <x:c r="M119" s="13" t="str">
        <x:v>미확인</x:v>
      </x:c>
    </x:row>
    <x:row r="120" ht="37.5" customHeight="1">
      <x:c r="A120" s="14" t="str">
        <x:v>KRDS-SEC-027-U-03</x:v>
      </x:c>
      <x:c r="B120" s="14" t="str">
        <x:v>컴포넌트</x:v>
      </x:c>
      <x:c r="C120" s="14" t="str">
        <x:v>탐색</x:v>
      </x:c>
      <x:c r="D120" s="14" t="str">
        <x:v>탭바</x:v>
      </x:c>
      <x:c r="E120" s="14" t="str">
        <x:v>사용성 가이드라인</x:v>
      </x:c>
      <x:c r="F120" s="14" t="str">
        <x:v>03</x:v>
      </x:c>
      <x:c r="G120" s="14" t="n">
        <x:v>341</x:v>
      </x:c>
      <x:c r="H120" s="14" t="n">
        <x:v>341</x:v>
      </x:c>
      <x:c r="I120" s="14" t="str">
        <x:v>344</x:v>
      </x:c>
      <x:c r="J120" s="14" t="str">
        <x:v>모든 탭 버튼을 일관성있게 표현한다.</x:v>
      </x:c>
      <x:c r="K120" s="14" t="str">
        <x:v>UI-026</x:v>
      </x:c>
      <x:c r="L120" s="14" t="str">
        <x:v>추출 후 기본 구조 검토; 원문 적용수준·전체 맥락 재확인 필요</x:v>
      </x:c>
      <x:c r="M120" s="14" t="str">
        <x:v>미확인</x:v>
      </x:c>
    </x:row>
    <x:row r="121" ht="37.5" customHeight="1">
      <x:c r="A121" s="13" t="str">
        <x:v>KRDS-SEC-027-U-04</x:v>
      </x:c>
      <x:c r="B121" s="13" t="str">
        <x:v>컴포넌트</x:v>
      </x:c>
      <x:c r="C121" s="13" t="str">
        <x:v>탐색</x:v>
      </x:c>
      <x:c r="D121" s="13" t="str">
        <x:v>탭바</x:v>
      </x:c>
      <x:c r="E121" s="13" t="str">
        <x:v>사용성 가이드라인</x:v>
      </x:c>
      <x:c r="F121" s="13" t="str">
        <x:v>04</x:v>
      </x:c>
      <x:c r="G121" s="13" t="n">
        <x:v>341</x:v>
      </x:c>
      <x:c r="H121" s="13" t="n">
        <x:v>341</x:v>
      </x:c>
      <x:c r="I121" s="13" t="str">
        <x:v>345</x:v>
      </x:c>
      <x:c r="J121" s="13" t="str">
        <x:v>탭 메뉴의 개수를 5개 이내로 제한한다.</x:v>
      </x:c>
      <x:c r="K121" s="13" t="str">
        <x:v>UI-026</x:v>
      </x:c>
      <x:c r="L121" s="13" t="str">
        <x:v>추출 후 기본 구조 검토; 원문 적용수준·전체 맥락 재확인 필요</x:v>
      </x:c>
      <x:c r="M121" s="13" t="str">
        <x:v>미확인</x:v>
      </x:c>
    </x:row>
    <x:row r="122" ht="37.5" customHeight="1">
      <x:c r="A122" s="14" t="str">
        <x:v>KRDS-SEC-027-U-05</x:v>
      </x:c>
      <x:c r="B122" s="14" t="str">
        <x:v>컴포넌트</x:v>
      </x:c>
      <x:c r="C122" s="14" t="str">
        <x:v>탐색</x:v>
      </x:c>
      <x:c r="D122" s="14" t="str">
        <x:v>탭바</x:v>
      </x:c>
      <x:c r="E122" s="14" t="str">
        <x:v>사용성 가이드라인</x:v>
      </x:c>
      <x:c r="F122" s="14" t="str">
        <x:v>05</x:v>
      </x:c>
      <x:c r="G122" s="14" t="n">
        <x:v>341</x:v>
      </x:c>
      <x:c r="H122" s="14" t="n">
        <x:v>341</x:v>
      </x:c>
      <x:c r="I122" s="14" t="str">
        <x:v>346</x:v>
      </x:c>
      <x:c r="J122" s="14" t="str">
        <x:v>아이콘과 레이블을 함께 사용한다.</x:v>
      </x:c>
      <x:c r="K122" s="14" t="str">
        <x:v>UI-026</x:v>
      </x:c>
      <x:c r="L122" s="14" t="str">
        <x:v>추출 후 기본 구조 검토; 원문 적용수준·전체 맥락 재확인 필요</x:v>
      </x:c>
      <x:c r="M122" s="14" t="str">
        <x:v>미확인</x:v>
      </x:c>
    </x:row>
    <x:row r="123" ht="37.5" customHeight="1">
      <x:c r="A123" s="13" t="str">
        <x:v>KRDS-SEC-027-U-06</x:v>
      </x:c>
      <x:c r="B123" s="13" t="str">
        <x:v>컴포넌트</x:v>
      </x:c>
      <x:c r="C123" s="13" t="str">
        <x:v>탐색</x:v>
      </x:c>
      <x:c r="D123" s="13" t="str">
        <x:v>탭바</x:v>
      </x:c>
      <x:c r="E123" s="13" t="str">
        <x:v>사용성 가이드라인</x:v>
      </x:c>
      <x:c r="F123" s="13" t="str">
        <x:v>06</x:v>
      </x:c>
      <x:c r="G123" s="13" t="n">
        <x:v>341</x:v>
      </x:c>
      <x:c r="H123" s="13" t="n">
        <x:v>341</x:v>
      </x:c>
      <x:c r="I123" s="13" t="str">
        <x:v>347</x:v>
      </x:c>
      <x:c r="J123" s="13" t="str">
        <x:v>레이블 텍스트를 간결하게 작성하여 잘리지 않도록 한다.</x:v>
      </x:c>
      <x:c r="K123" s="13" t="str">
        <x:v>UI-026</x:v>
      </x:c>
      <x:c r="L123" s="13" t="str">
        <x:v>추출 후 기본 구조 검토; 원문 적용수준·전체 맥락 재확인 필요</x:v>
      </x:c>
      <x:c r="M123" s="13" t="str">
        <x:v>미확인</x:v>
      </x:c>
    </x:row>
    <x:row r="124" ht="37.5" customHeight="1">
      <x:c r="A124" s="14" t="str">
        <x:v>KRDS-SEC-027-U-07</x:v>
      </x:c>
      <x:c r="B124" s="14" t="str">
        <x:v>컴포넌트</x:v>
      </x:c>
      <x:c r="C124" s="14" t="str">
        <x:v>탐색</x:v>
      </x:c>
      <x:c r="D124" s="14" t="str">
        <x:v>탭바</x:v>
      </x:c>
      <x:c r="E124" s="14" t="str">
        <x:v>사용성 가이드라인</x:v>
      </x:c>
      <x:c r="F124" s="14" t="str">
        <x:v>07</x:v>
      </x:c>
      <x:c r="G124" s="14" t="n">
        <x:v>341</x:v>
      </x:c>
      <x:c r="H124" s="14" t="n">
        <x:v>341</x:v>
      </x:c>
      <x:c r="I124" s="14" t="str">
        <x:v>348</x:v>
      </x:c>
      <x:c r="J124" s="14" t="str">
        <x:v>탭바에 홈 버튼, 전체 버튼이 사용되는 경우 각각 가장 왼쪽, 가장 오른쪽 항목으로 배치한다.</x:v>
      </x:c>
      <x:c r="K124" s="14" t="str">
        <x:v>UI-026</x:v>
      </x:c>
      <x:c r="L124" s="14" t="str">
        <x:v>추출 후 기본 구조 검토; 원문 적용수준·전체 맥락 재확인 필요</x:v>
      </x:c>
      <x:c r="M124" s="14" t="str">
        <x:v>미확인</x:v>
      </x:c>
    </x:row>
    <x:row r="125" ht="37.5" customHeight="1">
      <x:c r="A125" s="13" t="str">
        <x:v>KRDS-SEC-027-U-08</x:v>
      </x:c>
      <x:c r="B125" s="13" t="str">
        <x:v>컴포넌트</x:v>
      </x:c>
      <x:c r="C125" s="13" t="str">
        <x:v>탐색</x:v>
      </x:c>
      <x:c r="D125" s="13" t="str">
        <x:v>탭바</x:v>
      </x:c>
      <x:c r="E125" s="13" t="str">
        <x:v>사용성 가이드라인</x:v>
      </x:c>
      <x:c r="F125" s="13" t="str">
        <x:v>08</x:v>
      </x:c>
      <x:c r="G125" s="13" t="n">
        <x:v>341</x:v>
      </x:c>
      <x:c r="H125" s="13" t="n">
        <x:v>341</x:v>
      </x:c>
      <x:c r="I125" s="13" t="str">
        <x:v>349</x:v>
      </x:c>
      <x:c r="J125" s="13" t="str">
        <x:v>탭바는 화면 하단에 위치를 고정하여 제공하며, 스크롤 동작 시 숨겨지지 않도록 한다.</x:v>
      </x:c>
      <x:c r="K125" s="13" t="str">
        <x:v>UI-026</x:v>
      </x:c>
      <x:c r="L125" s="13" t="str">
        <x:v>추출 후 기본 구조 검토; 원문 적용수준·전체 맥락 재확인 필요</x:v>
      </x:c>
      <x:c r="M125" s="13" t="str">
        <x:v>미확인</x:v>
      </x:c>
    </x:row>
    <x:row r="126" ht="37.5" customHeight="1">
      <x:c r="A126" s="14" t="str">
        <x:v>KRDS-SEC-027-A-01</x:v>
      </x:c>
      <x:c r="B126" s="14" t="str">
        <x:v>컴포넌트</x:v>
      </x:c>
      <x:c r="C126" s="14" t="str">
        <x:v>탐색</x:v>
      </x:c>
      <x:c r="D126" s="14" t="str">
        <x:v>탭바</x:v>
      </x:c>
      <x:c r="E126" s="14" t="str">
        <x:v>접근성 가이드라인</x:v>
      </x:c>
      <x:c r="F126" s="14" t="str">
        <x:v>01</x:v>
      </x:c>
      <x:c r="G126" s="14" t="n">
        <x:v>350</x:v>
      </x:c>
      <x:c r="H126" s="14" t="n">
        <x:v>350</x:v>
      </x:c>
      <x:c r="I126" s="14" t="str"/>
      <x:c r="J126" s="14" t="str">
        <x:v>탭바의 역할을 스크린 리더에서 인지할 수 있도록 한다.</x:v>
      </x:c>
      <x:c r="K126" s="14" t="str">
        <x:v>UI-026</x:v>
      </x:c>
      <x:c r="L126" s="14" t="str">
        <x:v>추출 후 기본 구조 검토; 원문 적용수준·전체 맥락 재확인 필요</x:v>
      </x:c>
      <x:c r="M126" s="14" t="str">
        <x:v>미확인</x:v>
      </x:c>
    </x:row>
    <x:row r="127" ht="37.5" customHeight="1">
      <x:c r="A127" s="13" t="str">
        <x:v>KRDS-SEC-027-A-02</x:v>
      </x:c>
      <x:c r="B127" s="13" t="str">
        <x:v>컴포넌트</x:v>
      </x:c>
      <x:c r="C127" s="13" t="str">
        <x:v>탐색</x:v>
      </x:c>
      <x:c r="D127" s="13" t="str">
        <x:v>탭바</x:v>
      </x:c>
      <x:c r="E127" s="13" t="str">
        <x:v>접근성 가이드라인</x:v>
      </x:c>
      <x:c r="F127" s="13" t="str">
        <x:v>02</x:v>
      </x:c>
      <x:c r="G127" s="13" t="n">
        <x:v>351</x:v>
      </x:c>
      <x:c r="H127" s="13" t="n">
        <x:v>351</x:v>
      </x:c>
      <x:c r="I127" s="13" t="str"/>
      <x:c r="J127" s="13" t="str">
        <x:v>활성화된 메뉴 정보가 스크린 리더로 전달될 수 있도록 한다.</x:v>
      </x:c>
      <x:c r="K127" s="13" t="str">
        <x:v>UI-026</x:v>
      </x:c>
      <x:c r="L127" s="13" t="str">
        <x:v>추출 후 기본 구조 검토; 원문 적용수준·전체 맥락 재확인 필요</x:v>
      </x:c>
      <x:c r="M127" s="13" t="str">
        <x:v>미확인</x:v>
      </x:c>
    </x:row>
    <x:row r="128" ht="37.5" customHeight="1">
      <x:c r="A128" s="14" t="str">
        <x:v>KRDS-SEC-028-U-01</x:v>
      </x:c>
      <x:c r="B128" s="14" t="str">
        <x:v>컴포넌트</x:v>
      </x:c>
      <x:c r="C128" s="14" t="str">
        <x:v>레이아웃·표현</x:v>
      </x:c>
      <x:c r="D128" s="14" t="str">
        <x:v>구조화 목록</x:v>
      </x:c>
      <x:c r="E128" s="14" t="str">
        <x:v>사용성 가이드라인</x:v>
      </x:c>
      <x:c r="F128" s="14" t="str">
        <x:v>01</x:v>
      </x:c>
      <x:c r="G128" s="14" t="n">
        <x:v>355</x:v>
      </x:c>
      <x:c r="H128" s="14" t="n">
        <x:v>355</x:v>
      </x:c>
      <x:c r="I128" s="14" t="str">
        <x:v>356</x:v>
      </x:c>
      <x:c r="J128" s="14" t="str">
        <x:v>도구 막대를 구성하는 사용자 인터페이스는 모든 화면에서 일관된 위치에 동일한 순서로 배치한다.</x:v>
      </x:c>
      <x:c r="K128" s="14" t="str">
        <x:v>UI-027</x:v>
      </x:c>
      <x:c r="L128" s="14" t="str">
        <x:v>추출 후 기본 구조 검토; 원문 적용수준·전체 맥락 재확인 필요</x:v>
      </x:c>
      <x:c r="M128" s="14" t="str">
        <x:v>미확인</x:v>
      </x:c>
    </x:row>
    <x:row r="129" ht="37.5" customHeight="1">
      <x:c r="A129" s="13" t="str">
        <x:v>KRDS-SEC-028-U-02</x:v>
      </x:c>
      <x:c r="B129" s="13" t="str">
        <x:v>컴포넌트</x:v>
      </x:c>
      <x:c r="C129" s="13" t="str">
        <x:v>레이아웃·표현</x:v>
      </x:c>
      <x:c r="D129" s="13" t="str">
        <x:v>구조화 목록</x:v>
      </x:c>
      <x:c r="E129" s="13" t="str">
        <x:v>사용성 가이드라인</x:v>
      </x:c>
      <x:c r="F129" s="13" t="str">
        <x:v>02</x:v>
      </x:c>
      <x:c r="G129" s="13" t="n">
        <x:v>355</x:v>
      </x:c>
      <x:c r="H129" s="13" t="n">
        <x:v>355</x:v>
      </x:c>
      <x:c r="I129" s="13" t="str">
        <x:v>356</x:v>
      </x:c>
      <x:c r="J129" s="13" t="str">
        <x:v>콜투액션(Call to Action)은 항목과 관련된 가장 중요한 행동을 유도하기 위해 사용한다.</x:v>
      </x:c>
      <x:c r="K129" s="13" t="str">
        <x:v>UI-027</x:v>
      </x:c>
      <x:c r="L129" s="13" t="str">
        <x:v>추출 후 기본 구조 검토; 원문 적용수준·전체 맥락 재확인 필요</x:v>
      </x:c>
      <x:c r="M129" s="13" t="str">
        <x:v>미확인</x:v>
      </x:c>
    </x:row>
    <x:row r="130" ht="37.5" customHeight="1">
      <x:c r="A130" s="14" t="str">
        <x:v>KRDS-SEC-028-U-03</x:v>
      </x:c>
      <x:c r="B130" s="14" t="str">
        <x:v>컴포넌트</x:v>
      </x:c>
      <x:c r="C130" s="14" t="str">
        <x:v>레이아웃·표현</x:v>
      </x:c>
      <x:c r="D130" s="14" t="str">
        <x:v>구조화 목록</x:v>
      </x:c>
      <x:c r="E130" s="14" t="str">
        <x:v>사용성 가이드라인</x:v>
      </x:c>
      <x:c r="F130" s="14" t="str">
        <x:v>03</x:v>
      </x:c>
      <x:c r="G130" s="14" t="n">
        <x:v>355</x:v>
      </x:c>
      <x:c r="H130" s="14" t="n">
        <x:v>355</x:v>
      </x:c>
      <x:c r="I130" s="14" t="str">
        <x:v>357</x:v>
      </x:c>
      <x:c r="J130" s="14" t="str">
        <x:v>사용자가 필요로 하는 기능과 행동 버튼을 제공한다.</x:v>
      </x:c>
      <x:c r="K130" s="14" t="str">
        <x:v>UI-027</x:v>
      </x:c>
      <x:c r="L130" s="14" t="str">
        <x:v>추출 후 기본 구조 검토; 원문 적용수준·전체 맥락 재확인 필요</x:v>
      </x:c>
      <x:c r="M130" s="14" t="str">
        <x:v>미확인</x:v>
      </x:c>
    </x:row>
    <x:row r="131" ht="37.5" customHeight="1">
      <x:c r="A131" s="13" t="str">
        <x:v>KRDS-SEC-028-U-04</x:v>
      </x:c>
      <x:c r="B131" s="13" t="str">
        <x:v>컴포넌트</x:v>
      </x:c>
      <x:c r="C131" s="13" t="str">
        <x:v>레이아웃·표현</x:v>
      </x:c>
      <x:c r="D131" s="13" t="str">
        <x:v>구조화 목록</x:v>
      </x:c>
      <x:c r="E131" s="13" t="str">
        <x:v>사용성 가이드라인</x:v>
      </x:c>
      <x:c r="F131" s="13" t="str">
        <x:v>04</x:v>
      </x:c>
      <x:c r="G131" s="13" t="n">
        <x:v>355</x:v>
      </x:c>
      <x:c r="H131" s="13" t="n">
        <x:v>355</x:v>
      </x:c>
      <x:c r="I131" s="13" t="str">
        <x:v>357</x:v>
      </x:c>
      <x:c r="J131" s="13" t="str">
        <x:v>항목의 콘텐츠에는 모든 정보를 일관된 분류 체계와 순서로 제공한다.</x:v>
      </x:c>
      <x:c r="K131" s="13" t="str">
        <x:v>UI-027</x:v>
      </x:c>
      <x:c r="L131" s="13" t="str">
        <x:v>추출 후 기본 구조 검토; 원문 적용수준·전체 맥락 재확인 필요</x:v>
      </x:c>
      <x:c r="M131" s="13" t="str">
        <x:v>미확인</x:v>
      </x:c>
    </x:row>
    <x:row r="132" ht="37.5" customHeight="1">
      <x:c r="A132" s="14" t="str">
        <x:v>KRDS-SEC-028-A-01</x:v>
      </x:c>
      <x:c r="B132" s="14" t="str">
        <x:v>컴포넌트</x:v>
      </x:c>
      <x:c r="C132" s="14" t="str">
        <x:v>레이아웃·표현</x:v>
      </x:c>
      <x:c r="D132" s="14" t="str">
        <x:v>구조화 목록</x:v>
      </x:c>
      <x:c r="E132" s="14" t="str">
        <x:v>접근성 가이드라인</x:v>
      </x:c>
      <x:c r="F132" s="14" t="str">
        <x:v>01</x:v>
      </x:c>
      <x:c r="G132" s="14" t="n">
        <x:v>358</x:v>
      </x:c>
      <x:c r="H132" s="14" t="n">
        <x:v>358</x:v>
      </x:c>
      <x:c r="I132" s="14" t="str"/>
      <x:c r="J132" s="14" t="str">
        <x:v>구조화 목록에서 제공되는 모든 기능을 키보드로 실행할 수 있도록 한다.</x:v>
      </x:c>
      <x:c r="K132" s="14" t="str">
        <x:v>UI-027</x:v>
      </x:c>
      <x:c r="L132" s="14" t="str">
        <x:v>추출 후 기본 구조 검토; 원문 적용수준·전체 맥락 재확인 필요</x:v>
      </x:c>
      <x:c r="M132" s="14" t="str">
        <x:v>미확인</x:v>
      </x:c>
    </x:row>
    <x:row r="133" ht="37.5" customHeight="1">
      <x:c r="A133" s="13" t="str">
        <x:v>KRDS-SEC-028-A-02</x:v>
      </x:c>
      <x:c r="B133" s="13" t="str">
        <x:v>컴포넌트</x:v>
      </x:c>
      <x:c r="C133" s="13" t="str">
        <x:v>레이아웃·표현</x:v>
      </x:c>
      <x:c r="D133" s="13" t="str">
        <x:v>구조화 목록</x:v>
      </x:c>
      <x:c r="E133" s="13" t="str">
        <x:v>접근성 가이드라인</x:v>
      </x:c>
      <x:c r="F133" s="13" t="str">
        <x:v>02</x:v>
      </x:c>
      <x:c r="G133" s="13" t="n">
        <x:v>358</x:v>
      </x:c>
      <x:c r="H133" s="13" t="n">
        <x:v>358</x:v>
      </x:c>
      <x:c r="I133" s="13" t="str"/>
      <x:c r="J133" s="13" t="str">
        <x:v>구조화 목록에서 제공되는 모든 기능에 키보드 초점이 명확하게 표시되도록 한다.</x:v>
      </x:c>
      <x:c r="K133" s="13" t="str">
        <x:v>UI-027</x:v>
      </x:c>
      <x:c r="L133" s="13" t="str">
        <x:v>추출 후 기본 구조 검토; 원문 적용수준·전체 맥락 재확인 필요</x:v>
      </x:c>
      <x:c r="M133" s="13" t="str">
        <x:v>미확인</x:v>
      </x:c>
    </x:row>
    <x:row r="134" ht="37.5" customHeight="1">
      <x:c r="A134" s="14" t="str">
        <x:v>KRDS-SEC-028-A-03</x:v>
      </x:c>
      <x:c r="B134" s="14" t="str">
        <x:v>컴포넌트</x:v>
      </x:c>
      <x:c r="C134" s="14" t="str">
        <x:v>레이아웃·표현</x:v>
      </x:c>
      <x:c r="D134" s="14" t="str">
        <x:v>구조화 목록</x:v>
      </x:c>
      <x:c r="E134" s="14" t="str">
        <x:v>접근성 가이드라인</x:v>
      </x:c>
      <x:c r="F134" s="14" t="str">
        <x:v>03</x:v>
      </x:c>
      <x:c r="G134" s="14" t="n">
        <x:v>358</x:v>
      </x:c>
      <x:c r="H134" s="14" t="n">
        <x:v>358</x:v>
      </x:c>
      <x:c r="I134" s="14" t="str"/>
      <x:c r="J134" s="14" t="str">
        <x:v>구조화 목록에서 제공되는 모든 기능은 사용자가 예측 가능한 방식으로 작동해야 한다.</x:v>
      </x:c>
      <x:c r="K134" s="14" t="str">
        <x:v>UI-027</x:v>
      </x:c>
      <x:c r="L134" s="14" t="str">
        <x:v>추출 후 기본 구조 검토; 원문 적용수준·전체 맥락 재확인 필요</x:v>
      </x:c>
      <x:c r="M134" s="14" t="str">
        <x:v>미확인</x:v>
      </x:c>
    </x:row>
    <x:row r="135" ht="37.5" customHeight="1">
      <x:c r="A135" s="13" t="str">
        <x:v>KRDS-SEC-029-U-01</x:v>
      </x:c>
      <x:c r="B135" s="13" t="str">
        <x:v>컴포넌트</x:v>
      </x:c>
      <x:c r="C135" s="13" t="str">
        <x:v>레이아웃·표현</x:v>
      </x:c>
      <x:c r="D135" s="13" t="str">
        <x:v>긴급 공지</x:v>
      </x:c>
      <x:c r="E135" s="13" t="str">
        <x:v>사용성 가이드라인</x:v>
      </x:c>
      <x:c r="F135" s="13" t="str">
        <x:v>01</x:v>
      </x:c>
      <x:c r="G135" s="13" t="n">
        <x:v>362</x:v>
      </x:c>
      <x:c r="H135" s="13" t="n">
        <x:v>362</x:v>
      </x:c>
      <x:c r="I135" s="13" t="str">
        <x:v>363</x:v>
      </x:c>
      <x:c r="J135" s="13" t="str">
        <x:v>시급하고 사용자에게 중요한 정보를 전달하는 데 긴급 공지를 사용한다.</x:v>
      </x:c>
      <x:c r="K135" s="13" t="str">
        <x:v>UI-028</x:v>
      </x:c>
      <x:c r="L135" s="13" t="str">
        <x:v>추출 후 기본 구조 검토; 원문 적용수준·전체 맥락 재확인 필요</x:v>
      </x:c>
      <x:c r="M135" s="13" t="str">
        <x:v>미확인</x:v>
      </x:c>
    </x:row>
    <x:row r="136" ht="37.5" customHeight="1">
      <x:c r="A136" s="14" t="str">
        <x:v>KRDS-SEC-029-U-02</x:v>
      </x:c>
      <x:c r="B136" s="14" t="str">
        <x:v>컴포넌트</x:v>
      </x:c>
      <x:c r="C136" s="14" t="str">
        <x:v>레이아웃·표현</x:v>
      </x:c>
      <x:c r="D136" s="14" t="str">
        <x:v>긴급 공지</x:v>
      </x:c>
      <x:c r="E136" s="14" t="str">
        <x:v>사용성 가이드라인</x:v>
      </x:c>
      <x:c r="F136" s="14" t="str">
        <x:v>02</x:v>
      </x:c>
      <x:c r="G136" s="14" t="n">
        <x:v>362</x:v>
      </x:c>
      <x:c r="H136" s="14" t="n">
        <x:v>362</x:v>
      </x:c>
      <x:c r="I136" s="14" t="str">
        <x:v>363</x:v>
      </x:c>
      <x:c r="J136" s="14" t="str">
        <x:v>일시적으로 게시하고 정보가 필요한 기간 동안만 유지한다.</x:v>
      </x:c>
      <x:c r="K136" s="14" t="str">
        <x:v>UI-028</x:v>
      </x:c>
      <x:c r="L136" s="14" t="str">
        <x:v>추출 후 기본 구조 검토; 원문 적용수준·전체 맥락 재확인 필요</x:v>
      </x:c>
      <x:c r="M136" s="14" t="str">
        <x:v>미확인</x:v>
      </x:c>
    </x:row>
    <x:row r="137" ht="37.5" customHeight="1">
      <x:c r="A137" s="13" t="str">
        <x:v>KRDS-SEC-029-U-03</x:v>
      </x:c>
      <x:c r="B137" s="13" t="str">
        <x:v>컴포넌트</x:v>
      </x:c>
      <x:c r="C137" s="13" t="str">
        <x:v>레이아웃·표현</x:v>
      </x:c>
      <x:c r="D137" s="13" t="str">
        <x:v>긴급 공지</x:v>
      </x:c>
      <x:c r="E137" s="13" t="str">
        <x:v>사용성 가이드라인</x:v>
      </x:c>
      <x:c r="F137" s="13" t="str">
        <x:v>03</x:v>
      </x:c>
      <x:c r="G137" s="13" t="n">
        <x:v>362</x:v>
      </x:c>
      <x:c r="H137" s="13" t="n">
        <x:v>362</x:v>
      </x:c>
      <x:c r="I137" s="13" t="str">
        <x:v>363</x:v>
      </x:c>
      <x:c r="J137" s="13" t="str">
        <x:v>눈에 잘 띄게 표현하고 배치한다.</x:v>
      </x:c>
      <x:c r="K137" s="13" t="str">
        <x:v>UI-028</x:v>
      </x:c>
      <x:c r="L137" s="13" t="str">
        <x:v>추출 후 기본 구조 검토; 원문 적용수준·전체 맥락 재확인 필요</x:v>
      </x:c>
      <x:c r="M137" s="13" t="str">
        <x:v>미확인</x:v>
      </x:c>
    </x:row>
    <x:row r="138" ht="37.5" customHeight="1">
      <x:c r="A138" s="14" t="str">
        <x:v>KRDS-SEC-029-U-04</x:v>
      </x:c>
      <x:c r="B138" s="14" t="str">
        <x:v>컴포넌트</x:v>
      </x:c>
      <x:c r="C138" s="14" t="str">
        <x:v>레이아웃·표현</x:v>
      </x:c>
      <x:c r="D138" s="14" t="str">
        <x:v>긴급 공지</x:v>
      </x:c>
      <x:c r="E138" s="14" t="str">
        <x:v>사용성 가이드라인</x:v>
      </x:c>
      <x:c r="F138" s="14" t="str">
        <x:v>04</x:v>
      </x:c>
      <x:c r="G138" s="14" t="n">
        <x:v>362</x:v>
      </x:c>
      <x:c r="H138" s="14" t="n">
        <x:v>362</x:v>
      </x:c>
      <x:c r="I138" s="14" t="str">
        <x:v>364</x:v>
      </x:c>
      <x:c r="J138" s="14" t="str">
        <x:v>긴급 공지 배너 숨기기 버튼을 제공하지 않는다.</x:v>
      </x:c>
      <x:c r="K138" s="14" t="str">
        <x:v>UI-028</x:v>
      </x:c>
      <x:c r="L138" s="14" t="str">
        <x:v>추출 후 기본 구조 검토; 원문 적용수준·전체 맥락 재확인 필요</x:v>
      </x:c>
      <x:c r="M138" s="14" t="str">
        <x:v>미확인</x:v>
      </x:c>
    </x:row>
    <x:row r="139" ht="37.5" customHeight="1">
      <x:c r="A139" s="13" t="str">
        <x:v>KRDS-SEC-029-U-05</x:v>
      </x:c>
      <x:c r="B139" s="13" t="str">
        <x:v>컴포넌트</x:v>
      </x:c>
      <x:c r="C139" s="13" t="str">
        <x:v>레이아웃·표현</x:v>
      </x:c>
      <x:c r="D139" s="13" t="str">
        <x:v>긴급 공지</x:v>
      </x:c>
      <x:c r="E139" s="13" t="str">
        <x:v>사용성 가이드라인</x:v>
      </x:c>
      <x:c r="F139" s="13" t="str">
        <x:v>05</x:v>
      </x:c>
      <x:c r="G139" s="13" t="n">
        <x:v>362</x:v>
      </x:c>
      <x:c r="H139" s="13" t="n">
        <x:v>362</x:v>
      </x:c>
      <x:c r="I139" s="13" t="str">
        <x:v>364</x:v>
      </x:c>
      <x:c r="J139" s="13" t="str">
        <x:v>공지 내용은 이해하기 쉽고 간결하게 작성한다.</x:v>
      </x:c>
      <x:c r="K139" s="13" t="str">
        <x:v>UI-028</x:v>
      </x:c>
      <x:c r="L139" s="13" t="str">
        <x:v>추출 후 기본 구조 검토; 원문 적용수준·전체 맥락 재확인 필요</x:v>
      </x:c>
      <x:c r="M139" s="13" t="str">
        <x:v>미확인</x:v>
      </x:c>
    </x:row>
    <x:row r="140" ht="37.5" customHeight="1">
      <x:c r="A140" s="14" t="str">
        <x:v>KRDS-SEC-029-U-06</x:v>
      </x:c>
      <x:c r="B140" s="14" t="str">
        <x:v>컴포넌트</x:v>
      </x:c>
      <x:c r="C140" s="14" t="str">
        <x:v>레이아웃·표현</x:v>
      </x:c>
      <x:c r="D140" s="14" t="str">
        <x:v>긴급 공지</x:v>
      </x:c>
      <x:c r="E140" s="14" t="str">
        <x:v>사용성 가이드라인</x:v>
      </x:c>
      <x:c r="F140" s="14" t="str">
        <x:v>06</x:v>
      </x:c>
      <x:c r="G140" s="14" t="n">
        <x:v>362</x:v>
      </x:c>
      <x:c r="H140" s="14" t="n">
        <x:v>362</x:v>
      </x:c>
      <x:c r="I140" s="14" t="str">
        <x:v>364</x:v>
      </x:c>
      <x:c r="J140" s="14" t="str">
        <x:v>여러 개의 긴급 공지를 사용하지 않는다.</x:v>
      </x:c>
      <x:c r="K140" s="14" t="str">
        <x:v>UI-028</x:v>
      </x:c>
      <x:c r="L140" s="14" t="str">
        <x:v>추출 후 기본 구조 검토; 원문 적용수준·전체 맥락 재확인 필요</x:v>
      </x:c>
      <x:c r="M140" s="14" t="str">
        <x:v>미확인</x:v>
      </x:c>
    </x:row>
    <x:row r="141" ht="37.5" customHeight="1">
      <x:c r="A141" s="13" t="str">
        <x:v>KRDS-SEC-029-U-07</x:v>
      </x:c>
      <x:c r="B141" s="13" t="str">
        <x:v>컴포넌트</x:v>
      </x:c>
      <x:c r="C141" s="13" t="str">
        <x:v>레이아웃·표현</x:v>
      </x:c>
      <x:c r="D141" s="13" t="str">
        <x:v>긴급 공지</x:v>
      </x:c>
      <x:c r="E141" s="13" t="str">
        <x:v>사용성 가이드라인</x:v>
      </x:c>
      <x:c r="F141" s="13" t="str">
        <x:v>07</x:v>
      </x:c>
      <x:c r="G141" s="13" t="n">
        <x:v>362</x:v>
      </x:c>
      <x:c r="H141" s="13" t="n">
        <x:v>362</x:v>
      </x:c>
      <x:c r="I141" s="13" t="str">
        <x:v>365</x:v>
      </x:c>
      <x:c r="J141" s="13" t="str">
        <x:v>관련 화면으로 이동하기 위한 링크를 여러 개 사용하지 않는다.</x:v>
      </x:c>
      <x:c r="K141" s="13" t="str">
        <x:v>UI-028</x:v>
      </x:c>
      <x:c r="L141" s="13" t="str">
        <x:v>추출 후 기본 구조 검토; 원문 적용수준·전체 맥락 재확인 필요</x:v>
      </x:c>
      <x:c r="M141" s="13" t="str">
        <x:v>미확인</x:v>
      </x:c>
    </x:row>
    <x:row r="142" ht="37.5" customHeight="1">
      <x:c r="A142" s="14" t="str">
        <x:v>KRDS-SEC-029-P-01</x:v>
      </x:c>
      <x:c r="B142" s="14" t="str">
        <x:v>컴포넌트</x:v>
      </x:c>
      <x:c r="C142" s="14" t="str">
        <x:v>레이아웃·표현</x:v>
      </x:c>
      <x:c r="D142" s="14" t="str">
        <x:v>긴급 공지</x:v>
      </x:c>
      <x:c r="E142" s="14" t="str">
        <x:v>플랫폼에 대한 고려 사항</x:v>
      </x:c>
      <x:c r="F142" s="14" t="str">
        <x:v>01</x:v>
      </x:c>
      <x:c r="G142" s="14" t="n">
        <x:v>366</x:v>
      </x:c>
      <x:c r="H142" s="14" t="n">
        <x:v>366</x:v>
      </x:c>
      <x:c r="I142" s="14" t="str"/>
      <x:c r="J142" s="14" t="str">
        <x:v>화면 너비가 충분하지 않은 경우 텍스트는 2줄까지 표현할 수 있다.</x:v>
      </x:c>
      <x:c r="K142" s="14" t="str">
        <x:v>UI-028</x:v>
      </x:c>
      <x:c r="L142" s="14" t="str">
        <x:v>추출 후 기본 구조 검토; 원문 적용수준·전체 맥락 재확인 필요</x:v>
      </x:c>
      <x:c r="M142" s="14" t="str">
        <x:v>미확인</x:v>
      </x:c>
    </x:row>
    <x:row r="143" ht="37.5" customHeight="1">
      <x:c r="A143" s="13" t="str">
        <x:v>KRDS-SEC-029-A-01</x:v>
      </x:c>
      <x:c r="B143" s="13" t="str">
        <x:v>컴포넌트</x:v>
      </x:c>
      <x:c r="C143" s="13" t="str">
        <x:v>레이아웃·표현</x:v>
      </x:c>
      <x:c r="D143" s="13" t="str">
        <x:v>긴급 공지</x:v>
      </x:c>
      <x:c r="E143" s="13" t="str">
        <x:v>접근성 가이드라인</x:v>
      </x:c>
      <x:c r="F143" s="13" t="str">
        <x:v>01</x:v>
      </x:c>
      <x:c r="G143" s="13" t="n">
        <x:v>367</x:v>
      </x:c>
      <x:c r="H143" s="13" t="n">
        <x:v>367</x:v>
      </x:c>
      <x:c r="I143" s="13" t="str"/>
      <x:c r="J143" s="13" t="str">
        <x:v>긴급 공지 섹션에 배너 역할을 제공한다.</x:v>
      </x:c>
      <x:c r="K143" s="13" t="str">
        <x:v>UI-028</x:v>
      </x:c>
      <x:c r="L143" s="13" t="str">
        <x:v>추출 후 기본 구조 검토; 원문 적용수준·전체 맥락 재확인 필요</x:v>
      </x:c>
      <x:c r="M143" s="13" t="str">
        <x:v>미확인</x:v>
      </x:c>
    </x:row>
    <x:row r="144" ht="37.5" customHeight="1">
      <x:c r="A144" s="14" t="str">
        <x:v>KRDS-SEC-029-A-02</x:v>
      </x:c>
      <x:c r="B144" s="14" t="str">
        <x:v>컴포넌트</x:v>
      </x:c>
      <x:c r="C144" s="14" t="str">
        <x:v>레이아웃·표현</x:v>
      </x:c>
      <x:c r="D144" s="14" t="str">
        <x:v>긴급 공지</x:v>
      </x:c>
      <x:c r="E144" s="14" t="str">
        <x:v>접근성 가이드라인</x:v>
      </x:c>
      <x:c r="F144" s="14" t="str">
        <x:v>02</x:v>
      </x:c>
      <x:c r="G144" s="14" t="n">
        <x:v>367</x:v>
      </x:c>
      <x:c r="H144" s="14" t="n">
        <x:v>367</x:v>
      </x:c>
      <x:c r="I144" s="14" t="str"/>
      <x:c r="J144" s="14" t="str">
        <x:v>아이콘에 대체 텍스트를 제공하지 않는다.</x:v>
      </x:c>
      <x:c r="K144" s="14" t="str">
        <x:v>UI-028</x:v>
      </x:c>
      <x:c r="L144" s="14" t="str">
        <x:v>추출 후 기본 구조 검토; 원문 적용수준·전체 맥락 재확인 필요</x:v>
      </x:c>
      <x:c r="M144" s="14" t="str">
        <x:v>미확인</x:v>
      </x:c>
    </x:row>
    <x:row r="145" ht="37.5" customHeight="1">
      <x:c r="A145" s="13" t="str">
        <x:v>KRDS-SEC-029-A-03</x:v>
      </x:c>
      <x:c r="B145" s="13" t="str">
        <x:v>컴포넌트</x:v>
      </x:c>
      <x:c r="C145" s="13" t="str">
        <x:v>레이아웃·표현</x:v>
      </x:c>
      <x:c r="D145" s="13" t="str">
        <x:v>긴급 공지</x:v>
      </x:c>
      <x:c r="E145" s="13" t="str">
        <x:v>접근성 가이드라인</x:v>
      </x:c>
      <x:c r="F145" s="13" t="str">
        <x:v>03</x:v>
      </x:c>
      <x:c r="G145" s="13" t="n">
        <x:v>367</x:v>
      </x:c>
      <x:c r="H145" s="13" t="n">
        <x:v>367</x:v>
      </x:c>
      <x:c r="I145" s="13" t="str"/>
      <x:c r="J145" s="13" t="str">
        <x:v>목적지를 예측할 수 있는 링크 이름 또는 부가 설명을 제공한다.</x:v>
      </x:c>
      <x:c r="K145" s="13" t="str">
        <x:v>UI-028</x:v>
      </x:c>
      <x:c r="L145" s="13" t="str">
        <x:v>추출 후 기본 구조 검토; 원문 적용수준·전체 맥락 재확인 필요</x:v>
      </x:c>
      <x:c r="M145" s="13" t="str">
        <x:v>미확인</x:v>
      </x:c>
    </x:row>
    <x:row r="146" ht="37.5" customHeight="1">
      <x:c r="A146" s="14" t="str">
        <x:v>KRDS-SEC-030-U-01</x:v>
      </x:c>
      <x:c r="B146" s="14" t="str">
        <x:v>컴포넌트</x:v>
      </x:c>
      <x:c r="C146" s="14" t="str">
        <x:v>레이아웃·표현</x:v>
      </x:c>
      <x:c r="D146" s="14" t="str">
        <x:v>달력</x:v>
      </x:c>
      <x:c r="E146" s="14" t="str">
        <x:v>사용성 가이드라인</x:v>
      </x:c>
      <x:c r="F146" s="14" t="str">
        <x:v>01</x:v>
      </x:c>
      <x:c r="G146" s="14" t="n">
        <x:v>371</x:v>
      </x:c>
      <x:c r="H146" s="14" t="n">
        <x:v>371</x:v>
      </x:c>
      <x:c r="I146" s="14" t="str">
        <x:v>372</x:v>
      </x:c>
      <x:c r="J146" s="14" t="str">
        <x:v>날짜의 여러 가지 상태, 정보의 범례는 일관성 있게 표현한다.</x:v>
      </x:c>
      <x:c r="K146" s="14" t="str">
        <x:v>UI-029</x:v>
      </x:c>
      <x:c r="L146" s="14" t="str">
        <x:v>추출 후 기본 구조 검토; 원문 적용수준·전체 맥락 재확인 필요</x:v>
      </x:c>
      <x:c r="M146" s="14" t="str">
        <x:v>미확인</x:v>
      </x:c>
    </x:row>
    <x:row r="147" ht="37.5" customHeight="1">
      <x:c r="A147" s="13" t="str">
        <x:v>KRDS-SEC-030-U-02</x:v>
      </x:c>
      <x:c r="B147" s="13" t="str">
        <x:v>컴포넌트</x:v>
      </x:c>
      <x:c r="C147" s="13" t="str">
        <x:v>레이아웃·표현</x:v>
      </x:c>
      <x:c r="D147" s="13" t="str">
        <x:v>달력</x:v>
      </x:c>
      <x:c r="E147" s="13" t="str">
        <x:v>사용성 가이드라인</x:v>
      </x:c>
      <x:c r="F147" s="13" t="str">
        <x:v>02</x:v>
      </x:c>
      <x:c r="G147" s="13" t="n">
        <x:v>371</x:v>
      </x:c>
      <x:c r="H147" s="13" t="n">
        <x:v>371</x:v>
      </x:c>
      <x:c r="I147" s="13" t="str">
        <x:v>373</x:v>
      </x:c>
      <x:c r="J147" s="13" t="str">
        <x:v>날짜의 여러 가지 상태 정보가 서로 명확하게 구분되도록 표현한다.</x:v>
      </x:c>
      <x:c r="K147" s="13" t="str">
        <x:v>UI-029</x:v>
      </x:c>
      <x:c r="L147" s="13" t="str">
        <x:v>추출 후 기본 구조 검토; 원문 적용수준·전체 맥락 재확인 필요</x:v>
      </x:c>
      <x:c r="M147" s="13" t="str">
        <x:v>미확인</x:v>
      </x:c>
    </x:row>
    <x:row r="148" ht="37.5" customHeight="1">
      <x:c r="A148" s="14" t="str">
        <x:v>KRDS-SEC-030-U-03</x:v>
      </x:c>
      <x:c r="B148" s="14" t="str">
        <x:v>컴포넌트</x:v>
      </x:c>
      <x:c r="C148" s="14" t="str">
        <x:v>레이아웃·표현</x:v>
      </x:c>
      <x:c r="D148" s="14" t="str">
        <x:v>달력</x:v>
      </x:c>
      <x:c r="E148" s="14" t="str">
        <x:v>사용성 가이드라인</x:v>
      </x:c>
      <x:c r="F148" s="14" t="str">
        <x:v>03</x:v>
      </x:c>
      <x:c r="G148" s="14" t="n">
        <x:v>371</x:v>
      </x:c>
      <x:c r="H148" s="14" t="n">
        <x:v>371</x:v>
      </x:c>
      <x:c r="I148" s="14" t="str">
        <x:v>374</x:v>
      </x:c>
      <x:c r="J148" s="14" t="str">
        <x:v>이벤트 정보가 복잡한 경우 정보를 손실 없이 확인할 수 있는 수단을 제공한다.</x:v>
      </x:c>
      <x:c r="K148" s="14" t="str">
        <x:v>UI-029</x:v>
      </x:c>
      <x:c r="L148" s="14" t="str">
        <x:v>추출 후 기본 구조 검토; 원문 적용수준·전체 맥락 재확인 필요</x:v>
      </x:c>
      <x:c r="M148" s="14" t="str">
        <x:v>미확인</x:v>
      </x:c>
    </x:row>
    <x:row r="149" ht="37.5" customHeight="1">
      <x:c r="A149" s="13" t="str">
        <x:v>KRDS-SEC-030-U-04</x:v>
      </x:c>
      <x:c r="B149" s="13" t="str">
        <x:v>컴포넌트</x:v>
      </x:c>
      <x:c r="C149" s="13" t="str">
        <x:v>레이아웃·표현</x:v>
      </x:c>
      <x:c r="D149" s="13" t="str">
        <x:v>달력</x:v>
      </x:c>
      <x:c r="E149" s="13" t="str">
        <x:v>사용성 가이드라인</x:v>
      </x:c>
      <x:c r="F149" s="13" t="str">
        <x:v>04</x:v>
      </x:c>
      <x:c r="G149" s="13" t="n">
        <x:v>371</x:v>
      </x:c>
      <x:c r="H149" s="13" t="n">
        <x:v>371</x:v>
      </x:c>
      <x:c r="I149" s="13" t="str">
        <x:v>375</x:v>
      </x:c>
      <x:c r="J149" s="13" t="str">
        <x:v>달력 그리드에 헤딩(요일) 정보를 반드시 제공한다.</x:v>
      </x:c>
      <x:c r="K149" s="13" t="str">
        <x:v>UI-029</x:v>
      </x:c>
      <x:c r="L149" s="13" t="str">
        <x:v>추출 후 기본 구조 검토; 원문 적용수준·전체 맥락 재확인 필요</x:v>
      </x:c>
      <x:c r="M149" s="13" t="str">
        <x:v>미확인</x:v>
      </x:c>
    </x:row>
    <x:row r="150" ht="37.5" customHeight="1">
      <x:c r="A150" s="14" t="str">
        <x:v>KRDS-SEC-030-A-01</x:v>
      </x:c>
      <x:c r="B150" s="14" t="str">
        <x:v>컴포넌트</x:v>
      </x:c>
      <x:c r="C150" s="14" t="str">
        <x:v>레이아웃·표현</x:v>
      </x:c>
      <x:c r="D150" s="14" t="str">
        <x:v>달력</x:v>
      </x:c>
      <x:c r="E150" s="14" t="str">
        <x:v>접근성 가이드라인</x:v>
      </x:c>
      <x:c r="F150" s="14" t="str">
        <x:v>01</x:v>
      </x:c>
      <x:c r="G150" s="14" t="n">
        <x:v>376</x:v>
      </x:c>
      <x:c r="H150" s="14" t="n">
        <x:v>376</x:v>
      </x:c>
      <x:c r="I150" s="14" t="str"/>
      <x:c r="J150" s="14" t="str">
        <x:v>날짜 및 관련 정보의 의미를 색상으로만 구분하지 않는다.</x:v>
      </x:c>
      <x:c r="K150" s="14" t="str">
        <x:v>UI-029</x:v>
      </x:c>
      <x:c r="L150" s="14" t="str">
        <x:v>추출 후 기본 구조 검토; 원문 적용수준·전체 맥락 재확인 필요</x:v>
      </x:c>
      <x:c r="M150" s="14" t="str">
        <x:v>미확인</x:v>
      </x:c>
    </x:row>
    <x:row r="151" ht="37.5" customHeight="1">
      <x:c r="A151" s="13" t="str">
        <x:v>KRDS-SEC-030-A-02</x:v>
      </x:c>
      <x:c r="B151" s="13" t="str">
        <x:v>컴포넌트</x:v>
      </x:c>
      <x:c r="C151" s="13" t="str">
        <x:v>레이아웃·표현</x:v>
      </x:c>
      <x:c r="D151" s="13" t="str">
        <x:v>달력</x:v>
      </x:c>
      <x:c r="E151" s="13" t="str">
        <x:v>접근성 가이드라인</x:v>
      </x:c>
      <x:c r="F151" s="13" t="str">
        <x:v>02</x:v>
      </x:c>
      <x:c r="G151" s="13" t="n">
        <x:v>376</x:v>
      </x:c>
      <x:c r="H151" s="13" t="n">
        <x:v>376</x:v>
      </x:c>
      <x:c r="I151" s="13" t="str"/>
      <x:c r="J151" s="13" t="str">
        <x:v>날짜 및 관련 정보의 의미를 스크린 리더에서 확인할 수 있도록 한다.</x:v>
      </x:c>
      <x:c r="K151" s="13" t="str">
        <x:v>UI-029</x:v>
      </x:c>
      <x:c r="L151" s="13" t="str">
        <x:v>추출 후 기본 구조 검토; 원문 적용수준·전체 맥락 재확인 필요</x:v>
      </x:c>
      <x:c r="M151" s="13" t="str">
        <x:v>미확인</x:v>
      </x:c>
    </x:row>
    <x:row r="152" ht="37.5" customHeight="1">
      <x:c r="A152" s="14" t="str">
        <x:v>KRDS-SEC-030-A-03</x:v>
      </x:c>
      <x:c r="B152" s="14" t="str">
        <x:v>컴포넌트</x:v>
      </x:c>
      <x:c r="C152" s="14" t="str">
        <x:v>레이아웃·표현</x:v>
      </x:c>
      <x:c r="D152" s="14" t="str">
        <x:v>달력</x:v>
      </x:c>
      <x:c r="E152" s="14" t="str">
        <x:v>접근성 가이드라인</x:v>
      </x:c>
      <x:c r="F152" s="14" t="str">
        <x:v>03</x:v>
      </x:c>
      <x:c r="G152" s="14" t="n">
        <x:v>376</x:v>
      </x:c>
      <x:c r="H152" s="14" t="n">
        <x:v>376</x:v>
      </x:c>
      <x:c r="I152" s="14" t="str"/>
      <x:c r="J152" s="14" t="str">
        <x:v>달력에서 제공되는 모든 기능을 키보드로 실행할 수 있도록 한다.</x:v>
      </x:c>
      <x:c r="K152" s="14" t="str">
        <x:v>UI-029</x:v>
      </x:c>
      <x:c r="L152" s="14" t="str">
        <x:v>추출 후 기본 구조 검토; 원문 적용수준·전체 맥락 재확인 필요</x:v>
      </x:c>
      <x:c r="M152" s="14" t="str">
        <x:v>미확인</x:v>
      </x:c>
    </x:row>
    <x:row r="153" ht="37.5" customHeight="1">
      <x:c r="A153" s="13" t="str">
        <x:v>KRDS-SEC-030-A-04</x:v>
      </x:c>
      <x:c r="B153" s="13" t="str">
        <x:v>컴포넌트</x:v>
      </x:c>
      <x:c r="C153" s="13" t="str">
        <x:v>레이아웃·표현</x:v>
      </x:c>
      <x:c r="D153" s="13" t="str">
        <x:v>달력</x:v>
      </x:c>
      <x:c r="E153" s="13" t="str">
        <x:v>접근성 가이드라인</x:v>
      </x:c>
      <x:c r="F153" s="13" t="str">
        <x:v>04</x:v>
      </x:c>
      <x:c r="G153" s="13" t="n">
        <x:v>377</x:v>
      </x:c>
      <x:c r="H153" s="13" t="n">
        <x:v>377</x:v>
      </x:c>
      <x:c r="I153" s="13" t="str"/>
      <x:c r="J153" s="13" t="str">
        <x:v>달력에서 제공되는 모든 기능에 키보드 초점이 명확하게 표시되도록 한다.</x:v>
      </x:c>
      <x:c r="K153" s="13" t="str">
        <x:v>UI-029</x:v>
      </x:c>
      <x:c r="L153" s="13" t="str">
        <x:v>추출 후 기본 구조 검토; 원문 적용수준·전체 맥락 재확인 필요</x:v>
      </x:c>
      <x:c r="M153" s="13" t="str">
        <x:v>미확인</x:v>
      </x:c>
    </x:row>
    <x:row r="154" ht="37.5" customHeight="1">
      <x:c r="A154" s="14" t="str">
        <x:v>KRDS-SEC-031-U-01</x:v>
      </x:c>
      <x:c r="B154" s="14" t="str">
        <x:v>컴포넌트</x:v>
      </x:c>
      <x:c r="C154" s="14" t="str">
        <x:v>레이아웃·표현</x:v>
      </x:c>
      <x:c r="D154" s="14" t="str">
        <x:v>디스클로저</x:v>
      </x:c>
      <x:c r="E154" s="14" t="str">
        <x:v>사용성 가이드라인</x:v>
      </x:c>
      <x:c r="F154" s="14" t="str">
        <x:v>01</x:v>
      </x:c>
      <x:c r="G154" s="14" t="n">
        <x:v>382</x:v>
      </x:c>
      <x:c r="H154" s="14" t="n">
        <x:v>382</x:v>
      </x:c>
      <x:c r="I154" s="14" t="str">
        <x:v>383</x:v>
      </x:c>
      <x:c r="J154" s="14" t="str">
        <x:v>기본적으로 축소된 상태로 제공한다.</x:v>
      </x:c>
      <x:c r="K154" s="14" t="str">
        <x:v>UI-030</x:v>
      </x:c>
      <x:c r="L154" s="14" t="str">
        <x:v>추출 후 기본 구조 검토; 원문 적용수준·전체 맥락 재확인 필요</x:v>
      </x:c>
      <x:c r="M154" s="14" t="str">
        <x:v>미확인</x:v>
      </x:c>
    </x:row>
    <x:row r="155" ht="37.5" customHeight="1">
      <x:c r="A155" s="13" t="str">
        <x:v>KRDS-SEC-031-U-02</x:v>
      </x:c>
      <x:c r="B155" s="13" t="str">
        <x:v>컴포넌트</x:v>
      </x:c>
      <x:c r="C155" s="13" t="str">
        <x:v>레이아웃·표현</x:v>
      </x:c>
      <x:c r="D155" s="13" t="str">
        <x:v>디스클로저</x:v>
      </x:c>
      <x:c r="E155" s="13" t="str">
        <x:v>사용성 가이드라인</x:v>
      </x:c>
      <x:c r="F155" s="13" t="str">
        <x:v>02</x:v>
      </x:c>
      <x:c r="G155" s="13" t="n">
        <x:v>382</x:v>
      </x:c>
      <x:c r="H155" s="13" t="n">
        <x:v>382</x:v>
      </x:c>
      <x:c r="I155" s="13" t="str">
        <x:v>383</x:v>
      </x:c>
      <x:c r="J155" s="13" t="str">
        <x:v>디스클로저를 통해 제공하고자 하는 부가 정보와 관련된 정보/컨트롤/섹션 아래에 배치한다.</x:v>
      </x:c>
      <x:c r="K155" s="13" t="str">
        <x:v>UI-030</x:v>
      </x:c>
      <x:c r="L155" s="13" t="str">
        <x:v>추출 후 기본 구조 검토; 원문 적용수준·전체 맥락 재확인 필요</x:v>
      </x:c>
      <x:c r="M155" s="13" t="str">
        <x:v>미확인</x:v>
      </x:c>
    </x:row>
    <x:row r="156" ht="37.5" customHeight="1">
      <x:c r="A156" s="14" t="str">
        <x:v>KRDS-SEC-031-U-03</x:v>
      </x:c>
      <x:c r="B156" s="14" t="str">
        <x:v>컴포넌트</x:v>
      </x:c>
      <x:c r="C156" s="14" t="str">
        <x:v>레이아웃·표현</x:v>
      </x:c>
      <x:c r="D156" s="14" t="str">
        <x:v>디스클로저</x:v>
      </x:c>
      <x:c r="E156" s="14" t="str">
        <x:v>사용성 가이드라인</x:v>
      </x:c>
      <x:c r="F156" s="14" t="str">
        <x:v>03</x:v>
      </x:c>
      <x:c r="G156" s="14" t="n">
        <x:v>382</x:v>
      </x:c>
      <x:c r="H156" s="14" t="n">
        <x:v>382</x:v>
      </x:c>
      <x:c r="I156" s="14" t="str">
        <x:v>384</x:v>
      </x:c>
      <x:c r="J156" s="14" t="str">
        <x:v>가능한 한 하나의 섹션에 하나의 디스클로저만 사용한다.</x:v>
      </x:c>
      <x:c r="K156" s="14" t="str">
        <x:v>UI-030</x:v>
      </x:c>
      <x:c r="L156" s="14" t="str">
        <x:v>추출 후 기본 구조 검토; 원문 적용수준·전체 맥락 재확인 필요</x:v>
      </x:c>
      <x:c r="M156" s="14" t="str">
        <x:v>미확인</x:v>
      </x:c>
    </x:row>
    <x:row r="157" ht="37.5" customHeight="1">
      <x:c r="A157" s="13" t="str">
        <x:v>KRDS-SEC-031-A-01</x:v>
      </x:c>
      <x:c r="B157" s="13" t="str">
        <x:v>컴포넌트</x:v>
      </x:c>
      <x:c r="C157" s="13" t="str">
        <x:v>레이아웃·표현</x:v>
      </x:c>
      <x:c r="D157" s="13" t="str">
        <x:v>디스클로저</x:v>
      </x:c>
      <x:c r="E157" s="13" t="str">
        <x:v>접근성 가이드라인</x:v>
      </x:c>
      <x:c r="F157" s="13" t="str">
        <x:v>01</x:v>
      </x:c>
      <x:c r="G157" s="13" t="n">
        <x:v>385</x:v>
      </x:c>
      <x:c r="H157" s="13" t="n">
        <x:v>385</x:v>
      </x:c>
      <x:c r="I157" s="13" t="str"/>
      <x:c r="J157" s="13" t="str">
        <x:v>디스클로저를 버튼 역할로 제공한다.</x:v>
      </x:c>
      <x:c r="K157" s="13" t="str">
        <x:v>UI-030</x:v>
      </x:c>
      <x:c r="L157" s="13" t="str">
        <x:v>추출 후 기본 구조 검토; 원문 적용수준·전체 맥락 재확인 필요</x:v>
      </x:c>
      <x:c r="M157" s="13" t="str">
        <x:v>미확인</x:v>
      </x:c>
    </x:row>
    <x:row r="158" ht="37.5" customHeight="1">
      <x:c r="A158" s="14" t="str">
        <x:v>KRDS-SEC-031-A-02</x:v>
      </x:c>
      <x:c r="B158" s="14" t="str">
        <x:v>컴포넌트</x:v>
      </x:c>
      <x:c r="C158" s="14" t="str">
        <x:v>레이아웃·표현</x:v>
      </x:c>
      <x:c r="D158" s="14" t="str">
        <x:v>디스클로저</x:v>
      </x:c>
      <x:c r="E158" s="14" t="str">
        <x:v>접근성 가이드라인</x:v>
      </x:c>
      <x:c r="F158" s="14" t="str">
        <x:v>02</x:v>
      </x:c>
      <x:c r="G158" s="14" t="n">
        <x:v>385</x:v>
      </x:c>
      <x:c r="H158" s="14" t="n">
        <x:v>385</x:v>
      </x:c>
      <x:c r="I158" s="14" t="str"/>
      <x:c r="J158" s="14" t="str">
        <x:v>스크린 리더에서 확장/축소 상태 정보를 확인할 수 있도록 한다.</x:v>
      </x:c>
      <x:c r="K158" s="14" t="str">
        <x:v>UI-030</x:v>
      </x:c>
      <x:c r="L158" s="14" t="str">
        <x:v>추출 후 기본 구조 검토; 원문 적용수준·전체 맥락 재확인 필요</x:v>
      </x:c>
      <x:c r="M158" s="14" t="str">
        <x:v>미확인</x:v>
      </x:c>
    </x:row>
    <x:row r="159" ht="37.5" customHeight="1">
      <x:c r="A159" s="13" t="str">
        <x:v>KRDS-SEC-032-U-01</x:v>
      </x:c>
      <x:c r="B159" s="13" t="str">
        <x:v>컴포넌트</x:v>
      </x:c>
      <x:c r="C159" s="13" t="str">
        <x:v>레이아웃·표현</x:v>
      </x:c>
      <x:c r="D159" s="13" t="str">
        <x:v>모달</x:v>
      </x:c>
      <x:c r="E159" s="13" t="str">
        <x:v>사용성 가이드라인</x:v>
      </x:c>
      <x:c r="F159" s="13" t="str">
        <x:v>01</x:v>
      </x:c>
      <x:c r="G159" s="13" t="n">
        <x:v>391</x:v>
      </x:c>
      <x:c r="H159" s="13" t="n">
        <x:v>391</x:v>
      </x:c>
      <x:c r="I159" s="13" t="str">
        <x:v>392</x:v>
      </x:c>
      <x:c r="J159" s="13" t="str">
        <x:v>모달은 콘텐츠의 양을 고려하여 적절한 크기로 제공한다.</x:v>
      </x:c>
      <x:c r="K159" s="13" t="str">
        <x:v>UI-031, UI-104, UI-105</x:v>
      </x:c>
      <x:c r="L159" s="13" t="str">
        <x:v>추출 후 기본 구조 검토; 원문 적용수준·전체 맥락 재확인 필요</x:v>
      </x:c>
      <x:c r="M159" s="13" t="str">
        <x:v>미확인</x:v>
      </x:c>
    </x:row>
    <x:row r="160" ht="37.5" customHeight="1">
      <x:c r="A160" s="14" t="str">
        <x:v>KRDS-SEC-032-U-02</x:v>
      </x:c>
      <x:c r="B160" s="14" t="str">
        <x:v>컴포넌트</x:v>
      </x:c>
      <x:c r="C160" s="14" t="str">
        <x:v>레이아웃·표현</x:v>
      </x:c>
      <x:c r="D160" s="14" t="str">
        <x:v>모달</x:v>
      </x:c>
      <x:c r="E160" s="14" t="str">
        <x:v>사용성 가이드라인</x:v>
      </x:c>
      <x:c r="F160" s="14" t="str">
        <x:v>02</x:v>
      </x:c>
      <x:c r="G160" s="14" t="n">
        <x:v>391</x:v>
      </x:c>
      <x:c r="H160" s="14" t="n">
        <x:v>391</x:v>
      </x:c>
      <x:c r="I160" s="14" t="str">
        <x:v>393</x:v>
      </x:c>
      <x:c r="J160" s="14" t="str">
        <x:v>콘텐츠 영역에 스크롤이 필요한 경우 사용자가 스크롤 영역을 인지할 수 있도록 표현하고 푸터가 항상 표시되도록 한다.</x:v>
      </x:c>
      <x:c r="K160" s="14" t="str">
        <x:v>UI-031, UI-104, UI-105</x:v>
      </x:c>
      <x:c r="L160" s="14" t="str">
        <x:v>추출 후 기본 구조 검토; 원문 적용수준·전체 맥락 재확인 필요</x:v>
      </x:c>
      <x:c r="M160" s="14" t="str">
        <x:v>미확인</x:v>
      </x:c>
    </x:row>
    <x:row r="161" ht="37.5" customHeight="1">
      <x:c r="A161" s="13" t="str">
        <x:v>KRDS-SEC-032-U-03</x:v>
      </x:c>
      <x:c r="B161" s="13" t="str">
        <x:v>컴포넌트</x:v>
      </x:c>
      <x:c r="C161" s="13" t="str">
        <x:v>레이아웃·표현</x:v>
      </x:c>
      <x:c r="D161" s="13" t="str">
        <x:v>모달</x:v>
      </x:c>
      <x:c r="E161" s="13" t="str">
        <x:v>사용성 가이드라인</x:v>
      </x:c>
      <x:c r="F161" s="13" t="str">
        <x:v>03</x:v>
      </x:c>
      <x:c r="G161" s="13" t="n">
        <x:v>391</x:v>
      </x:c>
      <x:c r="H161" s="13" t="n">
        <x:v>391</x:v>
      </x:c>
      <x:c r="I161" s="13" t="str">
        <x:v>394</x:v>
      </x:c>
      <x:c r="J161" s="13" t="str">
        <x:v>헤더, 콘텐츠, 버튼 레이블은 명확한 내용으로 제공한다.</x:v>
      </x:c>
      <x:c r="K161" s="13" t="str">
        <x:v>UI-031, UI-104, UI-105</x:v>
      </x:c>
      <x:c r="L161" s="13" t="str">
        <x:v>추출 후 기본 구조 검토; 원문 적용수준·전체 맥락 재확인 필요</x:v>
      </x:c>
      <x:c r="M161" s="13" t="str">
        <x:v>미확인</x:v>
      </x:c>
    </x:row>
    <x:row r="162" ht="37.5" customHeight="1">
      <x:c r="A162" s="14" t="str">
        <x:v>KRDS-SEC-032-U-04</x:v>
      </x:c>
      <x:c r="B162" s="14" t="str">
        <x:v>컴포넌트</x:v>
      </x:c>
      <x:c r="C162" s="14" t="str">
        <x:v>레이아웃·표현</x:v>
      </x:c>
      <x:c r="D162" s="14" t="str">
        <x:v>모달</x:v>
      </x:c>
      <x:c r="E162" s="14" t="str">
        <x:v>사용성 가이드라인</x:v>
      </x:c>
      <x:c r="F162" s="14" t="str">
        <x:v>04</x:v>
      </x:c>
      <x:c r="G162" s="14" t="n">
        <x:v>391</x:v>
      </x:c>
      <x:c r="H162" s="14" t="n">
        <x:v>391</x:v>
      </x:c>
      <x:c r="I162" s="14" t="str">
        <x:v>395</x:v>
      </x:c>
      <x:c r="J162" s="14" t="str">
        <x:v>모달 내 상호작용을 최소화한다.</x:v>
      </x:c>
      <x:c r="K162" s="14" t="str">
        <x:v>UI-031, UI-104, UI-105</x:v>
      </x:c>
      <x:c r="L162" s="14" t="str">
        <x:v>추출 후 기본 구조 검토; 원문 적용수준·전체 맥락 재확인 필요</x:v>
      </x:c>
      <x:c r="M162" s="14" t="str">
        <x:v>미확인</x:v>
      </x:c>
    </x:row>
    <x:row r="163" ht="37.5" customHeight="1">
      <x:c r="A163" s="13" t="str">
        <x:v>KRDS-SEC-032-U-05</x:v>
      </x:c>
      <x:c r="B163" s="13" t="str">
        <x:v>컴포넌트</x:v>
      </x:c>
      <x:c r="C163" s="13" t="str">
        <x:v>레이아웃·표현</x:v>
      </x:c>
      <x:c r="D163" s="13" t="str">
        <x:v>모달</x:v>
      </x:c>
      <x:c r="E163" s="13" t="str">
        <x:v>사용성 가이드라인</x:v>
      </x:c>
      <x:c r="F163" s="13" t="str">
        <x:v>05</x:v>
      </x:c>
      <x:c r="G163" s="13" t="n">
        <x:v>391</x:v>
      </x:c>
      <x:c r="H163" s="13" t="n">
        <x:v>391</x:v>
      </x:c>
      <x:c r="I163" s="13" t="str">
        <x:v>396</x:v>
      </x:c>
      <x:c r="J163" s="13" t="str">
        <x:v>모달은 사용자의 행동을 통해 실행한다.</x:v>
      </x:c>
      <x:c r="K163" s="13" t="str">
        <x:v>UI-031, UI-104, UI-105</x:v>
      </x:c>
      <x:c r="L163" s="13" t="str">
        <x:v>추출 후 기본 구조 검토; 원문 적용수준·전체 맥락 재확인 필요</x:v>
      </x:c>
      <x:c r="M163" s="13" t="str">
        <x:v>미확인</x:v>
      </x:c>
    </x:row>
    <x:row r="164" ht="37.5" customHeight="1">
      <x:c r="A164" s="14" t="str">
        <x:v>KRDS-SEC-032-A-01</x:v>
      </x:c>
      <x:c r="B164" s="14" t="str">
        <x:v>컴포넌트</x:v>
      </x:c>
      <x:c r="C164" s="14" t="str">
        <x:v>레이아웃·표현</x:v>
      </x:c>
      <x:c r="D164" s="14" t="str">
        <x:v>모달</x:v>
      </x:c>
      <x:c r="E164" s="14" t="str">
        <x:v>접근성 가이드라인</x:v>
      </x:c>
      <x:c r="F164" s="14" t="str">
        <x:v>01</x:v>
      </x:c>
      <x:c r="G164" s="14" t="n">
        <x:v>397</x:v>
      </x:c>
      <x:c r="H164" s="14" t="n">
        <x:v>397</x:v>
      </x:c>
      <x:c r="I164" s="14" t="str"/>
      <x:c r="J164" s="14" t="str">
        <x:v>모달과 내부 요소의 초점 이동 순서를 논리적으로 제공한다.</x:v>
      </x:c>
      <x:c r="K164" s="14" t="str">
        <x:v>UI-031, UI-104, UI-105</x:v>
      </x:c>
      <x:c r="L164" s="14" t="str">
        <x:v>추출 후 기본 구조 검토; 원문 적용수준·전체 맥락 재확인 필요</x:v>
      </x:c>
      <x:c r="M164" s="14" t="str">
        <x:v>미확인</x:v>
      </x:c>
    </x:row>
    <x:row r="165" ht="37.5" customHeight="1">
      <x:c r="A165" s="13" t="str">
        <x:v>KRDS-SEC-032-A-02</x:v>
      </x:c>
      <x:c r="B165" s="13" t="str">
        <x:v>컴포넌트</x:v>
      </x:c>
      <x:c r="C165" s="13" t="str">
        <x:v>레이아웃·표현</x:v>
      </x:c>
      <x:c r="D165" s="13" t="str">
        <x:v>모달</x:v>
      </x:c>
      <x:c r="E165" s="13" t="str">
        <x:v>접근성 가이드라인</x:v>
      </x:c>
      <x:c r="F165" s="13" t="str">
        <x:v>02</x:v>
      </x:c>
      <x:c r="G165" s="13" t="n">
        <x:v>397</x:v>
      </x:c>
      <x:c r="H165" s="13" t="n">
        <x:v>397</x:v>
      </x:c>
      <x:c r="I165" s="13" t="str"/>
      <x:c r="J165" s="13" t="str">
        <x:v>모달의 닫기 버튼은 모달의 가장 마지막 요소로 마크업한다.</x:v>
      </x:c>
      <x:c r="K165" s="13" t="str">
        <x:v>UI-031, UI-104, UI-105</x:v>
      </x:c>
      <x:c r="L165" s="13" t="str">
        <x:v>추출 후 기본 구조 검토; 원문 적용수준·전체 맥락 재확인 필요</x:v>
      </x:c>
      <x:c r="M165" s="13" t="str">
        <x:v>미확인</x:v>
      </x:c>
    </x:row>
    <x:row r="166" ht="37.5" customHeight="1">
      <x:c r="A166" s="14" t="str">
        <x:v>KRDS-SEC-033-U-01</x:v>
      </x:c>
      <x:c r="B166" s="14" t="str">
        <x:v>컴포넌트</x:v>
      </x:c>
      <x:c r="C166" s="14" t="str">
        <x:v>레이아웃·표현</x:v>
      </x:c>
      <x:c r="D166" s="14" t="str">
        <x:v>배지</x:v>
      </x:c>
      <x:c r="E166" s="14" t="str">
        <x:v>사용성 가이드라인</x:v>
      </x:c>
      <x:c r="F166" s="14" t="str">
        <x:v>01</x:v>
      </x:c>
      <x:c r="G166" s="14" t="n">
        <x:v>401</x:v>
      </x:c>
      <x:c r="H166" s="14" t="n">
        <x:v>401</x:v>
      </x:c>
      <x:c r="I166" s="14" t="str">
        <x:v>402</x:v>
      </x:c>
      <x:c r="J166" s="14" t="str">
        <x:v>레이블은 정확한 내용으로 간결하게 제공한다.</x:v>
      </x:c>
      <x:c r="K166" s="14" t="str">
        <x:v>UI-032</x:v>
      </x:c>
      <x:c r="L166" s="14" t="str">
        <x:v>추출 후 기본 구조 검토; 원문 적용수준·전체 맥락 재확인 필요</x:v>
      </x:c>
      <x:c r="M166" s="14" t="str">
        <x:v>미확인</x:v>
      </x:c>
    </x:row>
    <x:row r="167" ht="37.5" customHeight="1">
      <x:c r="A167" s="13" t="str">
        <x:v>KRDS-SEC-033-U-02</x:v>
      </x:c>
      <x:c r="B167" s="13" t="str">
        <x:v>컴포넌트</x:v>
      </x:c>
      <x:c r="C167" s="13" t="str">
        <x:v>레이아웃·표현</x:v>
      </x:c>
      <x:c r="D167" s="13" t="str">
        <x:v>배지</x:v>
      </x:c>
      <x:c r="E167" s="13" t="str">
        <x:v>사용성 가이드라인</x:v>
      </x:c>
      <x:c r="F167" s="13" t="str">
        <x:v>02</x:v>
      </x:c>
      <x:c r="G167" s="13" t="n">
        <x:v>401</x:v>
      </x:c>
      <x:c r="H167" s="13" t="n">
        <x:v>401</x:v>
      </x:c>
      <x:c r="I167" s="13" t="str">
        <x:v>402</x:v>
      </x:c>
      <x:c r="J167" s="13" t="str">
        <x:v>레이블과 컨테이너의 색상은 일반적인 의미 체계, 일관성을 고려하여 선택한다.</x:v>
      </x:c>
      <x:c r="K167" s="13" t="str">
        <x:v>UI-032</x:v>
      </x:c>
      <x:c r="L167" s="13" t="str">
        <x:v>추출 후 기본 구조 검토; 원문 적용수준·전체 맥락 재확인 필요</x:v>
      </x:c>
      <x:c r="M167" s="13" t="str">
        <x:v>미확인</x:v>
      </x:c>
    </x:row>
    <x:row r="168" ht="37.5" customHeight="1">
      <x:c r="A168" s="14" t="str">
        <x:v>KRDS-SEC-033-U-03</x:v>
      </x:c>
      <x:c r="B168" s="14" t="str">
        <x:v>컴포넌트</x:v>
      </x:c>
      <x:c r="C168" s="14" t="str">
        <x:v>레이아웃·표현</x:v>
      </x:c>
      <x:c r="D168" s="14" t="str">
        <x:v>배지</x:v>
      </x:c>
      <x:c r="E168" s="14" t="str">
        <x:v>사용성 가이드라인</x:v>
      </x:c>
      <x:c r="F168" s="14" t="str">
        <x:v>03</x:v>
      </x:c>
      <x:c r="G168" s="14" t="n">
        <x:v>401</x:v>
      </x:c>
      <x:c r="H168" s="14" t="n">
        <x:v>401</x:v>
      </x:c>
      <x:c r="I168" s="14" t="str">
        <x:v>402</x:v>
      </x:c>
      <x:c r="J168" s="14" t="str">
        <x:v>배지를 대화형 요소로 사용하지 않는다.</x:v>
      </x:c>
      <x:c r="K168" s="14" t="str">
        <x:v>UI-032</x:v>
      </x:c>
      <x:c r="L168" s="14" t="str">
        <x:v>추출 후 기본 구조 검토; 원문 적용수준·전체 맥락 재확인 필요</x:v>
      </x:c>
      <x:c r="M168" s="14" t="str">
        <x:v>미확인</x:v>
      </x:c>
    </x:row>
    <x:row r="169" ht="37.5" customHeight="1">
      <x:c r="A169" s="13" t="str">
        <x:v>KRDS-SEC-033-U-04</x:v>
      </x:c>
      <x:c r="B169" s="13" t="str">
        <x:v>컴포넌트</x:v>
      </x:c>
      <x:c r="C169" s="13" t="str">
        <x:v>레이아웃·표현</x:v>
      </x:c>
      <x:c r="D169" s="13" t="str">
        <x:v>배지</x:v>
      </x:c>
      <x:c r="E169" s="13" t="str">
        <x:v>사용성 가이드라인</x:v>
      </x:c>
      <x:c r="F169" s="13" t="str">
        <x:v>04</x:v>
      </x:c>
      <x:c r="G169" s="13" t="n">
        <x:v>401</x:v>
      </x:c>
      <x:c r="H169" s="13" t="n">
        <x:v>401</x:v>
      </x:c>
      <x:c r="I169" s="13" t="str">
        <x:v>403</x:v>
      </x:c>
      <x:c r="J169" s="13" t="str">
        <x:v>하나의 요소에 한 개의 배지를 사용한다.</x:v>
      </x:c>
      <x:c r="K169" s="13" t="str">
        <x:v>UI-032</x:v>
      </x:c>
      <x:c r="L169" s="13" t="str">
        <x:v>추출 후 기본 구조 검토; 원문 적용수준·전체 맥락 재확인 필요</x:v>
      </x:c>
      <x:c r="M169" s="13" t="str">
        <x:v>미확인</x:v>
      </x:c>
    </x:row>
    <x:row r="170" ht="37.5" customHeight="1">
      <x:c r="A170" s="14" t="str">
        <x:v>KRDS-SEC-033-U-05</x:v>
      </x:c>
      <x:c r="B170" s="14" t="str">
        <x:v>컴포넌트</x:v>
      </x:c>
      <x:c r="C170" s="14" t="str">
        <x:v>레이아웃·표현</x:v>
      </x:c>
      <x:c r="D170" s="14" t="str">
        <x:v>배지</x:v>
      </x:c>
      <x:c r="E170" s="14" t="str">
        <x:v>사용성 가이드라인</x:v>
      </x:c>
      <x:c r="F170" s="14" t="str">
        <x:v>05</x:v>
      </x:c>
      <x:c r="G170" s="14" t="n">
        <x:v>401</x:v>
      </x:c>
      <x:c r="H170" s="14" t="n">
        <x:v>401</x:v>
      </x:c>
      <x:c r="I170" s="14" t="str">
        <x:v>403</x:v>
      </x:c>
      <x:c r="J170" s="14" t="str">
        <x:v>배지의 배경색으로 주조색을 사용하지 않는다.</x:v>
      </x:c>
      <x:c r="K170" s="14" t="str">
        <x:v>UI-032</x:v>
      </x:c>
      <x:c r="L170" s="14" t="str">
        <x:v>추출 후 기본 구조 검토; 원문 적용수준·전체 맥락 재확인 필요</x:v>
      </x:c>
      <x:c r="M170" s="14" t="str">
        <x:v>미확인</x:v>
      </x:c>
    </x:row>
    <x:row r="171" ht="37.5" customHeight="1">
      <x:c r="A171" s="13" t="str">
        <x:v>KRDS-SEC-033-A-01</x:v>
      </x:c>
      <x:c r="B171" s="13" t="str">
        <x:v>컴포넌트</x:v>
      </x:c>
      <x:c r="C171" s="13" t="str">
        <x:v>레이아웃·표현</x:v>
      </x:c>
      <x:c r="D171" s="13" t="str">
        <x:v>배지</x:v>
      </x:c>
      <x:c r="E171" s="13" t="str">
        <x:v>접근성 가이드라인</x:v>
      </x:c>
      <x:c r="F171" s="13" t="str">
        <x:v>01</x:v>
      </x:c>
      <x:c r="G171" s="13" t="n">
        <x:v>404</x:v>
      </x:c>
      <x:c r="H171" s="13" t="n">
        <x:v>404</x:v>
      </x:c>
      <x:c r="I171" s="13" t="str"/>
      <x:c r="J171" s="13" t="str">
        <x:v>텍스트 레이블을 제공한다.</x:v>
      </x:c>
      <x:c r="K171" s="13" t="str">
        <x:v>UI-032</x:v>
      </x:c>
      <x:c r="L171" s="13" t="str">
        <x:v>추출 후 기본 구조 검토; 원문 적용수준·전체 맥락 재확인 필요</x:v>
      </x:c>
      <x:c r="M171" s="13" t="str">
        <x:v>미확인</x:v>
      </x:c>
    </x:row>
    <x:row r="172" ht="37.5" customHeight="1">
      <x:c r="A172" s="14" t="str">
        <x:v>KRDS-SEC-033-A-02</x:v>
      </x:c>
      <x:c r="B172" s="14" t="str">
        <x:v>컴포넌트</x:v>
      </x:c>
      <x:c r="C172" s="14" t="str">
        <x:v>레이아웃·표현</x:v>
      </x:c>
      <x:c r="D172" s="14" t="str">
        <x:v>배지</x:v>
      </x:c>
      <x:c r="E172" s="14" t="str">
        <x:v>접근성 가이드라인</x:v>
      </x:c>
      <x:c r="F172" s="14" t="str">
        <x:v>02</x:v>
      </x:c>
      <x:c r="G172" s="14" t="n">
        <x:v>404</x:v>
      </x:c>
      <x:c r="H172" s="14" t="n">
        <x:v>404</x:v>
      </x:c>
      <x:c r="I172" s="14" t="str"/>
      <x:c r="J172" s="14" t="str">
        <x:v>텍스트 레이블의 색상은 배경과 4.5:1 이상의 명도 대비를 갖도록 표현한다.</x:v>
      </x:c>
      <x:c r="K172" s="14" t="str">
        <x:v>UI-032</x:v>
      </x:c>
      <x:c r="L172" s="14" t="str">
        <x:v>추출 후 기본 구조 검토; 원문 적용수준·전체 맥락 재확인 필요</x:v>
      </x:c>
      <x:c r="M172" s="14" t="str">
        <x:v>미확인</x:v>
      </x:c>
    </x:row>
    <x:row r="173" ht="37.5" customHeight="1">
      <x:c r="A173" s="13" t="str">
        <x:v>KRDS-SEC-034-U-01</x:v>
      </x:c>
      <x:c r="B173" s="13" t="str">
        <x:v>컴포넌트</x:v>
      </x:c>
      <x:c r="C173" s="13" t="str">
        <x:v>레이아웃·표현</x:v>
      </x:c>
      <x:c r="D173" s="13" t="str">
        <x:v>아코디언</x:v>
      </x:c>
      <x:c r="E173" s="13" t="str">
        <x:v>사용성 가이드라인</x:v>
      </x:c>
      <x:c r="F173" s="13" t="str">
        <x:v>01</x:v>
      </x:c>
      <x:c r="G173" s="13" t="n">
        <x:v>408</x:v>
      </x:c>
      <x:c r="H173" s="13" t="n">
        <x:v>408</x:v>
      </x:c>
      <x:c r="I173" s="13" t="str">
        <x:v>409</x:v>
      </x:c>
      <x:c r="J173" s="13" t="str">
        <x:v>아코디언의 확장 상태를 나타내는 아이콘은 항상 일관된 위치에 제공한다.</x:v>
      </x:c>
      <x:c r="K173" s="13" t="str">
        <x:v>UI-033</x:v>
      </x:c>
      <x:c r="L173" s="13" t="str">
        <x:v>추출 후 기본 구조 검토; 원문 적용수준·전체 맥락 재확인 필요</x:v>
      </x:c>
      <x:c r="M173" s="13" t="str">
        <x:v>미확인</x:v>
      </x:c>
    </x:row>
    <x:row r="174" ht="37.5" customHeight="1">
      <x:c r="A174" s="14" t="str">
        <x:v>KRDS-SEC-034-U-02</x:v>
      </x:c>
      <x:c r="B174" s="14" t="str">
        <x:v>컴포넌트</x:v>
      </x:c>
      <x:c r="C174" s="14" t="str">
        <x:v>레이아웃·표현</x:v>
      </x:c>
      <x:c r="D174" s="14" t="str">
        <x:v>아코디언</x:v>
      </x:c>
      <x:c r="E174" s="14" t="str">
        <x:v>사용성 가이드라인</x:v>
      </x:c>
      <x:c r="F174" s="14" t="str">
        <x:v>02</x:v>
      </x:c>
      <x:c r="G174" s="14" t="n">
        <x:v>408</x:v>
      </x:c>
      <x:c r="H174" s="14" t="n">
        <x:v>408</x:v>
      </x:c>
      <x:c r="I174" s="14" t="str">
        <x:v>410</x:v>
      </x:c>
      <x:c r="J174" s="14" t="str">
        <x:v>아코디언의 확장 상태를 나타내는 아이콘은 패널이 펼쳐지거나 접히는 방향을 정확하게 반영하도록 제공한다.</x:v>
      </x:c>
      <x:c r="K174" s="14" t="str">
        <x:v>UI-033</x:v>
      </x:c>
      <x:c r="L174" s="14" t="str">
        <x:v>추출 후 기본 구조 검토; 원문 적용수준·전체 맥락 재확인 필요</x:v>
      </x:c>
      <x:c r="M174" s="14" t="str">
        <x:v>미확인</x:v>
      </x:c>
    </x:row>
    <x:row r="175" ht="37.5" customHeight="1">
      <x:c r="A175" s="13" t="str">
        <x:v>KRDS-SEC-034-U-03</x:v>
      </x:c>
      <x:c r="B175" s="13" t="str">
        <x:v>컴포넌트</x:v>
      </x:c>
      <x:c r="C175" s="13" t="str">
        <x:v>레이아웃·표현</x:v>
      </x:c>
      <x:c r="D175" s="13" t="str">
        <x:v>아코디언</x:v>
      </x:c>
      <x:c r="E175" s="13" t="str">
        <x:v>사용성 가이드라인</x:v>
      </x:c>
      <x:c r="F175" s="13" t="str">
        <x:v>03</x:v>
      </x:c>
      <x:c r="G175" s="13" t="n">
        <x:v>408</x:v>
      </x:c>
      <x:c r="H175" s="13" t="n">
        <x:v>408</x:v>
      </x:c>
      <x:c r="I175" s="13" t="str">
        <x:v>411</x:v>
      </x:c>
      <x:c r="J175" s="13" t="str">
        <x:v>헤더 전체를 클릭 가능하도록 만든다.</x:v>
      </x:c>
      <x:c r="K175" s="13" t="str">
        <x:v>UI-033</x:v>
      </x:c>
      <x:c r="L175" s="13" t="str">
        <x:v>추출 후 기본 구조 검토; 원문 적용수준·전체 맥락 재확인 필요</x:v>
      </x:c>
      <x:c r="M175" s="13" t="str">
        <x:v>미확인</x:v>
      </x:c>
    </x:row>
    <x:row r="176" ht="37.5" customHeight="1">
      <x:c r="A176" s="14" t="str">
        <x:v>KRDS-SEC-034-U-04</x:v>
      </x:c>
      <x:c r="B176" s="14" t="str">
        <x:v>컴포넌트</x:v>
      </x:c>
      <x:c r="C176" s="14" t="str">
        <x:v>레이아웃·표현</x:v>
      </x:c>
      <x:c r="D176" s="14" t="str">
        <x:v>아코디언</x:v>
      </x:c>
      <x:c r="E176" s="14" t="str">
        <x:v>사용성 가이드라인</x:v>
      </x:c>
      <x:c r="F176" s="14" t="str">
        <x:v>04</x:v>
      </x:c>
      <x:c r="G176" s="14" t="n">
        <x:v>408</x:v>
      </x:c>
      <x:c r="H176" s="14" t="n">
        <x:v>408</x:v>
      </x:c>
      <x:c r="I176" s="14" t="str">
        <x:v>412</x:v>
      </x:c>
      <x:c r="J176" s="14" t="str">
        <x:v>헤더와 패널은 서로 관련 있는 것으로 인지될 수 있게 표현한다.</x:v>
      </x:c>
      <x:c r="K176" s="14" t="str">
        <x:v>UI-033</x:v>
      </x:c>
      <x:c r="L176" s="14" t="str">
        <x:v>추출 후 기본 구조 검토; 원문 적용수준·전체 맥락 재확인 필요</x:v>
      </x:c>
      <x:c r="M176" s="14" t="str">
        <x:v>미확인</x:v>
      </x:c>
    </x:row>
    <x:row r="177" ht="37.5" customHeight="1">
      <x:c r="A177" s="13" t="str">
        <x:v>KRDS-SEC-034-U-05</x:v>
      </x:c>
      <x:c r="B177" s="13" t="str">
        <x:v>컴포넌트</x:v>
      </x:c>
      <x:c r="C177" s="13" t="str">
        <x:v>레이아웃·표현</x:v>
      </x:c>
      <x:c r="D177" s="13" t="str">
        <x:v>아코디언</x:v>
      </x:c>
      <x:c r="E177" s="13" t="str">
        <x:v>사용성 가이드라인</x:v>
      </x:c>
      <x:c r="F177" s="13" t="str">
        <x:v>05</x:v>
      </x:c>
      <x:c r="G177" s="13" t="n">
        <x:v>408</x:v>
      </x:c>
      <x:c r="H177" s="13" t="n">
        <x:v>408</x:v>
      </x:c>
      <x:c r="I177" s="13" t="str">
        <x:v>413</x:v>
      </x:c>
      <x:c r="J177" s="13" t="str">
        <x:v>패널 영역에 스크롤이 발생하지 않도록 한다.</x:v>
      </x:c>
      <x:c r="K177" s="13" t="str">
        <x:v>UI-033</x:v>
      </x:c>
      <x:c r="L177" s="13" t="str">
        <x:v>추출 후 기본 구조 검토; 원문 적용수준·전체 맥락 재확인 필요</x:v>
      </x:c>
      <x:c r="M177" s="13" t="str">
        <x:v>미확인</x:v>
      </x:c>
    </x:row>
    <x:row r="178" ht="37.5" customHeight="1">
      <x:c r="A178" s="14" t="str">
        <x:v>KRDS-SEC-034-A-01</x:v>
      </x:c>
      <x:c r="B178" s="14" t="str">
        <x:v>컴포넌트</x:v>
      </x:c>
      <x:c r="C178" s="14" t="str">
        <x:v>레이아웃·표현</x:v>
      </x:c>
      <x:c r="D178" s="14" t="str">
        <x:v>아코디언</x:v>
      </x:c>
      <x:c r="E178" s="14" t="str">
        <x:v>접근성 가이드라인</x:v>
      </x:c>
      <x:c r="F178" s="14" t="str">
        <x:v>01</x:v>
      </x:c>
      <x:c r="G178" s="14" t="n">
        <x:v>414</x:v>
      </x:c>
      <x:c r="H178" s="14" t="n">
        <x:v>414</x:v>
      </x:c>
      <x:c r="I178" s="14" t="str"/>
      <x:c r="J178" s="14" t="str">
        <x:v>아코디언에 접근 가능한 제목을 제공한다.</x:v>
      </x:c>
      <x:c r="K178" s="14" t="str">
        <x:v>UI-033</x:v>
      </x:c>
      <x:c r="L178" s="14" t="str">
        <x:v>추출 후 기본 구조 검토; 원문 적용수준·전체 맥락 재확인 필요</x:v>
      </x:c>
      <x:c r="M178" s="14" t="str">
        <x:v>미확인</x:v>
      </x:c>
    </x:row>
    <x:row r="179" ht="37.5" customHeight="1">
      <x:c r="A179" s="13" t="str">
        <x:v>KRDS-SEC-034-A-02</x:v>
      </x:c>
      <x:c r="B179" s="13" t="str">
        <x:v>컴포넌트</x:v>
      </x:c>
      <x:c r="C179" s="13" t="str">
        <x:v>레이아웃·표현</x:v>
      </x:c>
      <x:c r="D179" s="13" t="str">
        <x:v>아코디언</x:v>
      </x:c>
      <x:c r="E179" s="13" t="str">
        <x:v>접근성 가이드라인</x:v>
      </x:c>
      <x:c r="F179" s="13" t="str">
        <x:v>02</x:v>
      </x:c>
      <x:c r="G179" s="13" t="n">
        <x:v>414</x:v>
      </x:c>
      <x:c r="H179" s="13" t="n">
        <x:v>414</x:v>
      </x:c>
      <x:c r="I179" s="13" t="str"/>
      <x:c r="J179" s="13" t="str">
        <x:v>아코디언의 활성화 상태 정보를 스크린 리더에서 확인할 수 있도록 한다.</x:v>
      </x:c>
      <x:c r="K179" s="13" t="str">
        <x:v>UI-033</x:v>
      </x:c>
      <x:c r="L179" s="13" t="str">
        <x:v>추출 후 기본 구조 검토; 원문 적용수준·전체 맥락 재확인 필요</x:v>
      </x:c>
      <x:c r="M179" s="13" t="str">
        <x:v>미확인</x:v>
      </x:c>
    </x:row>
    <x:row r="180" ht="37.5" customHeight="1">
      <x:c r="A180" s="14" t="str">
        <x:v>KRDS-SEC-034-A-03</x:v>
      </x:c>
      <x:c r="B180" s="14" t="str">
        <x:v>컴포넌트</x:v>
      </x:c>
      <x:c r="C180" s="14" t="str">
        <x:v>레이아웃·표현</x:v>
      </x:c>
      <x:c r="D180" s="14" t="str">
        <x:v>아코디언</x:v>
      </x:c>
      <x:c r="E180" s="14" t="str">
        <x:v>접근성 가이드라인</x:v>
      </x:c>
      <x:c r="F180" s="14" t="str">
        <x:v>03</x:v>
      </x:c>
      <x:c r="G180" s="14" t="n">
        <x:v>414</x:v>
      </x:c>
      <x:c r="H180" s="14" t="n">
        <x:v>414</x:v>
      </x:c>
      <x:c r="I180" s="14" t="str"/>
      <x:c r="J180" s="14" t="str">
        <x:v>헤더를 버튼 역할로 제공한다.</x:v>
      </x:c>
      <x:c r="K180" s="14" t="str">
        <x:v>UI-033</x:v>
      </x:c>
      <x:c r="L180" s="14" t="str">
        <x:v>추출 후 기본 구조 검토; 원문 적용수준·전체 맥락 재확인 필요</x:v>
      </x:c>
      <x:c r="M180" s="14" t="str">
        <x:v>미확인</x:v>
      </x:c>
    </x:row>
    <x:row r="181" ht="37.5" customHeight="1">
      <x:c r="A181" s="13" t="str">
        <x:v>KRDS-SEC-035-U-01</x:v>
      </x:c>
      <x:c r="B181" s="13" t="str">
        <x:v>컴포넌트</x:v>
      </x:c>
      <x:c r="C181" s="13" t="str">
        <x:v>레이아웃·표현</x:v>
      </x:c>
      <x:c r="D181" s="13" t="str">
        <x:v>이미지</x:v>
      </x:c>
      <x:c r="E181" s="13" t="str">
        <x:v>사용성 가이드라인</x:v>
      </x:c>
      <x:c r="F181" s="13" t="str">
        <x:v>01</x:v>
      </x:c>
      <x:c r="G181" s="13" t="n">
        <x:v>418</x:v>
      </x:c>
      <x:c r="H181" s="13" t="n">
        <x:v>418</x:v>
      </x:c>
      <x:c r="I181" s="13" t="str">
        <x:v>419</x:v>
      </x:c>
      <x:c r="J181" s="13" t="str">
        <x:v>이미지 콘텐츠를 사용하는 목적에 대해 가장 먼저 정의한다.</x:v>
      </x:c>
      <x:c r="K181" s="13" t="str">
        <x:v>UI-034</x:v>
      </x:c>
      <x:c r="L181" s="13" t="str">
        <x:v>추출 후 기본 구조 검토; 원문 적용수준·전체 맥락 재확인 필요</x:v>
      </x:c>
      <x:c r="M181" s="13" t="str">
        <x:v>미확인</x:v>
      </x:c>
    </x:row>
    <x:row r="182" ht="37.5" customHeight="1">
      <x:c r="A182" s="14" t="str">
        <x:v>KRDS-SEC-035-U-02</x:v>
      </x:c>
      <x:c r="B182" s="14" t="str">
        <x:v>컴포넌트</x:v>
      </x:c>
      <x:c r="C182" s="14" t="str">
        <x:v>레이아웃·표현</x:v>
      </x:c>
      <x:c r="D182" s="14" t="str">
        <x:v>이미지</x:v>
      </x:c>
      <x:c r="E182" s="14" t="str">
        <x:v>사용성 가이드라인</x:v>
      </x:c>
      <x:c r="F182" s="14" t="str">
        <x:v>02</x:v>
      </x:c>
      <x:c r="G182" s="14" t="n">
        <x:v>418</x:v>
      </x:c>
      <x:c r="H182" s="14" t="n">
        <x:v>418</x:v>
      </x:c>
      <x:c r="I182" s="14" t="str">
        <x:v>419</x:v>
      </x:c>
      <x:c r="J182" s="14" t="str">
        <x:v>이미지에 텍스트를 합성할 때 스타일에 유의한다.</x:v>
      </x:c>
      <x:c r="K182" s="14" t="str">
        <x:v>UI-034</x:v>
      </x:c>
      <x:c r="L182" s="14" t="str">
        <x:v>추출 후 기본 구조 검토; 원문 적용수준·전체 맥락 재확인 필요</x:v>
      </x:c>
      <x:c r="M182" s="14" t="str">
        <x:v>미확인</x:v>
      </x:c>
    </x:row>
    <x:row r="183" ht="37.5" customHeight="1">
      <x:c r="A183" s="13" t="str">
        <x:v>KRDS-SEC-035-U-03</x:v>
      </x:c>
      <x:c r="B183" s="13" t="str">
        <x:v>컴포넌트</x:v>
      </x:c>
      <x:c r="C183" s="13" t="str">
        <x:v>레이아웃·표현</x:v>
      </x:c>
      <x:c r="D183" s="13" t="str">
        <x:v>이미지</x:v>
      </x:c>
      <x:c r="E183" s="13" t="str">
        <x:v>사용성 가이드라인</x:v>
      </x:c>
      <x:c r="F183" s="13" t="str">
        <x:v>03</x:v>
      </x:c>
      <x:c r="G183" s="13" t="n">
        <x:v>418</x:v>
      </x:c>
      <x:c r="H183" s="13" t="n">
        <x:v>418</x:v>
      </x:c>
      <x:c r="I183" s="13" t="str">
        <x:v>420</x:v>
      </x:c>
      <x:c r="J183" s="13" t="str">
        <x:v>이미지에 대체 텍스트 또는 설명을 제공한다.</x:v>
      </x:c>
      <x:c r="K183" s="13" t="str">
        <x:v>UI-034</x:v>
      </x:c>
      <x:c r="L183" s="13" t="str">
        <x:v>추출 후 기본 구조 검토; 원문 적용수준·전체 맥락 재확인 필요</x:v>
      </x:c>
      <x:c r="M183" s="13" t="str">
        <x:v>미확인</x:v>
      </x:c>
    </x:row>
    <x:row r="184" ht="37.5" customHeight="1">
      <x:c r="A184" s="14" t="str">
        <x:v>KRDS-SEC-035-P-01</x:v>
      </x:c>
      <x:c r="B184" s="14" t="str">
        <x:v>컴포넌트</x:v>
      </x:c>
      <x:c r="C184" s="14" t="str">
        <x:v>레이아웃·표현</x:v>
      </x:c>
      <x:c r="D184" s="14" t="str">
        <x:v>이미지</x:v>
      </x:c>
      <x:c r="E184" s="14" t="str">
        <x:v>플랫폼에 대한 고려 사항</x:v>
      </x:c>
      <x:c r="F184" s="14" t="str">
        <x:v>01</x:v>
      </x:c>
      <x:c r="G184" s="14" t="n">
        <x:v>421</x:v>
      </x:c>
      <x:c r="H184" s="14" t="n">
        <x:v>421</x:v>
      </x:c>
      <x:c r="I184" s="14" t="str"/>
      <x:c r="J184" s="14" t="str">
        <x:v>사용자의 화면 크기, 접속 환경을 고려하여 이미지 계획을 수립한다.</x:v>
      </x:c>
      <x:c r="K184" s="14" t="str">
        <x:v>UI-034</x:v>
      </x:c>
      <x:c r="L184" s="14" t="str">
        <x:v>추출 후 기본 구조 검토; 원문 적용수준·전체 맥락 재확인 필요</x:v>
      </x:c>
      <x:c r="M184" s="14" t="str">
        <x:v>미확인</x:v>
      </x:c>
    </x:row>
    <x:row r="185" ht="37.5" customHeight="1">
      <x:c r="A185" s="13" t="str">
        <x:v>KRDS-SEC-035-A-01</x:v>
      </x:c>
      <x:c r="B185" s="13" t="str">
        <x:v>컴포넌트</x:v>
      </x:c>
      <x:c r="C185" s="13" t="str">
        <x:v>레이아웃·표현</x:v>
      </x:c>
      <x:c r="D185" s="13" t="str">
        <x:v>이미지</x:v>
      </x:c>
      <x:c r="E185" s="13" t="str">
        <x:v>접근성 가이드라인</x:v>
      </x:c>
      <x:c r="F185" s="13" t="str">
        <x:v>01</x:v>
      </x:c>
      <x:c r="G185" s="13" t="n">
        <x:v>422</x:v>
      </x:c>
      <x:c r="H185" s="13" t="n">
        <x:v>422</x:v>
      </x:c>
      <x:c r="I185" s="13" t="str"/>
      <x:c r="J185" s="13" t="str">
        <x:v>장식용 이미지를 제외한 모든 이미지에 대체 텍스트를 제공한다.</x:v>
      </x:c>
      <x:c r="K185" s="13" t="str">
        <x:v>UI-034</x:v>
      </x:c>
      <x:c r="L185" s="13" t="str">
        <x:v>추출 후 기본 구조 검토; 원문 적용수준·전체 맥락 재확인 필요</x:v>
      </x:c>
      <x:c r="M185" s="13" t="str">
        <x:v>미확인</x:v>
      </x:c>
    </x:row>
    <x:row r="186" ht="37.5" customHeight="1">
      <x:c r="A186" s="14" t="str">
        <x:v>KRDS-SEC-035-A-02</x:v>
      </x:c>
      <x:c r="B186" s="14" t="str">
        <x:v>컴포넌트</x:v>
      </x:c>
      <x:c r="C186" s="14" t="str">
        <x:v>레이아웃·표현</x:v>
      </x:c>
      <x:c r="D186" s="14" t="str">
        <x:v>이미지</x:v>
      </x:c>
      <x:c r="E186" s="14" t="str">
        <x:v>접근성 가이드라인</x:v>
      </x:c>
      <x:c r="F186" s="14" t="str">
        <x:v>02</x:v>
      </x:c>
      <x:c r="G186" s="14" t="n">
        <x:v>422</x:v>
      </x:c>
      <x:c r="H186" s="14" t="n">
        <x:v>422</x:v>
      </x:c>
      <x:c r="I186" s="14" t="str"/>
      <x:c r="J186" s="14" t="str">
        <x:v>가능한 한 이미지 텍스트를 사용하지 않는다.</x:v>
      </x:c>
      <x:c r="K186" s="14" t="str">
        <x:v>UI-034</x:v>
      </x:c>
      <x:c r="L186" s="14" t="str">
        <x:v>추출 후 기본 구조 검토; 원문 적용수준·전체 맥락 재확인 필요</x:v>
      </x:c>
      <x:c r="M186" s="14" t="str">
        <x:v>미확인</x:v>
      </x:c>
    </x:row>
    <x:row r="187" ht="37.5" customHeight="1">
      <x:c r="A187" s="13" t="str">
        <x:v>KRDS-SEC-036-U-01</x:v>
      </x:c>
      <x:c r="B187" s="13" t="str">
        <x:v>컴포넌트</x:v>
      </x:c>
      <x:c r="C187" s="13" t="str">
        <x:v>레이아웃·표현</x:v>
      </x:c>
      <x:c r="D187" s="13" t="str">
        <x:v>캐러셀</x:v>
      </x:c>
      <x:c r="E187" s="13" t="str">
        <x:v>사용성 가이드라인</x:v>
      </x:c>
      <x:c r="F187" s="13" t="str">
        <x:v>01</x:v>
      </x:c>
      <x:c r="G187" s="13" t="n">
        <x:v>430</x:v>
      </x:c>
      <x:c r="H187" s="13" t="n">
        <x:v>430</x:v>
      </x:c>
      <x:c r="I187" s="13" t="str">
        <x:v>431</x:v>
      </x:c>
      <x:c r="J187" s="13" t="str">
        <x:v>슬라이드 수를 5개 이내로 사용한다.</x:v>
      </x:c>
      <x:c r="K187" s="13" t="str">
        <x:v>UI-035</x:v>
      </x:c>
      <x:c r="L187" s="13" t="str">
        <x:v>추출 후 기본 구조 검토; 원문 적용수준·전체 맥락 재확인 필요</x:v>
      </x:c>
      <x:c r="M187" s="13" t="str">
        <x:v>미확인</x:v>
      </x:c>
    </x:row>
    <x:row r="188" ht="37.5" customHeight="1">
      <x:c r="A188" s="14" t="str">
        <x:v>KRDS-SEC-036-U-02</x:v>
      </x:c>
      <x:c r="B188" s="14" t="str">
        <x:v>컴포넌트</x:v>
      </x:c>
      <x:c r="C188" s="14" t="str">
        <x:v>레이아웃·표현</x:v>
      </x:c>
      <x:c r="D188" s="14" t="str">
        <x:v>캐러셀</x:v>
      </x:c>
      <x:c r="E188" s="14" t="str">
        <x:v>사용성 가이드라인</x:v>
      </x:c>
      <x:c r="F188" s="14" t="str">
        <x:v>02</x:v>
      </x:c>
      <x:c r="G188" s="14" t="n">
        <x:v>430</x:v>
      </x:c>
      <x:c r="H188" s="14" t="n">
        <x:v>430</x:v>
      </x:c>
      <x:c r="I188" s="14" t="str">
        <x:v>432</x:v>
      </x:c>
      <x:c r="J188" s="14" t="str">
        <x:v>캐러셀 항목의 텍스트 콘텐츠는 1~2줄로 작성한다.</x:v>
      </x:c>
      <x:c r="K188" s="14" t="str">
        <x:v>UI-035</x:v>
      </x:c>
      <x:c r="L188" s="14" t="str">
        <x:v>추출 후 기본 구조 검토; 원문 적용수준·전체 맥락 재확인 필요</x:v>
      </x:c>
      <x:c r="M188" s="14" t="str">
        <x:v>미확인</x:v>
      </x:c>
    </x:row>
    <x:row r="189" ht="37.5" customHeight="1">
      <x:c r="A189" s="13" t="str">
        <x:v>KRDS-SEC-036-U-03</x:v>
      </x:c>
      <x:c r="B189" s="13" t="str">
        <x:v>컴포넌트</x:v>
      </x:c>
      <x:c r="C189" s="13" t="str">
        <x:v>레이아웃·표현</x:v>
      </x:c>
      <x:c r="D189" s="13" t="str">
        <x:v>캐러셀</x:v>
      </x:c>
      <x:c r="E189" s="13" t="str">
        <x:v>사용성 가이드라인</x:v>
      </x:c>
      <x:c r="F189" s="13" t="str">
        <x:v>03</x:v>
      </x:c>
      <x:c r="G189" s="13" t="n">
        <x:v>430</x:v>
      </x:c>
      <x:c r="H189" s="13" t="n">
        <x:v>430</x:v>
      </x:c>
      <x:c r="I189" s="13" t="str">
        <x:v>432</x:v>
      </x:c>
      <x:c r="J189" s="13" t="str">
        <x:v>캐러셀 항목의 콘텐츠의 윤곽이 명확하게 드러나도록 표현한다.</x:v>
      </x:c>
      <x:c r="K189" s="13" t="str">
        <x:v>UI-035</x:v>
      </x:c>
      <x:c r="L189" s="13" t="str">
        <x:v>추출 후 기본 구조 검토; 원문 적용수준·전체 맥락 재확인 필요</x:v>
      </x:c>
      <x:c r="M189" s="13" t="str">
        <x:v>미확인</x:v>
      </x:c>
    </x:row>
    <x:row r="190" ht="37.5" customHeight="1">
      <x:c r="A190" s="14" t="str">
        <x:v>KRDS-SEC-036-U-04</x:v>
      </x:c>
      <x:c r="B190" s="14" t="str">
        <x:v>컴포넌트</x:v>
      </x:c>
      <x:c r="C190" s="14" t="str">
        <x:v>레이아웃·표현</x:v>
      </x:c>
      <x:c r="D190" s="14" t="str">
        <x:v>캐러셀</x:v>
      </x:c>
      <x:c r="E190" s="14" t="str">
        <x:v>사용성 가이드라인</x:v>
      </x:c>
      <x:c r="F190" s="14" t="str">
        <x:v>04</x:v>
      </x:c>
      <x:c r="G190" s="14" t="n">
        <x:v>430</x:v>
      </x:c>
      <x:c r="H190" s="14" t="n">
        <x:v>430</x:v>
      </x:c>
      <x:c r="I190" s="14" t="str">
        <x:v>433</x:v>
      </x:c>
      <x:c r="J190" s="14" t="str">
        <x:v>캐러셀 관련 컨트롤, 항목 탐색 식별자가 캐러셀 항목과 중첩되지 않도록 한다.</x:v>
      </x:c>
      <x:c r="K190" s="14" t="str">
        <x:v>UI-035</x:v>
      </x:c>
      <x:c r="L190" s="14" t="str">
        <x:v>추출 후 기본 구조 검토; 원문 적용수준·전체 맥락 재확인 필요</x:v>
      </x:c>
      <x:c r="M190" s="14" t="str">
        <x:v>미확인</x:v>
      </x:c>
    </x:row>
    <x:row r="191" ht="37.5" customHeight="1">
      <x:c r="A191" s="13" t="str">
        <x:v>KRDS-SEC-036-U-05</x:v>
      </x:c>
      <x:c r="B191" s="13" t="str">
        <x:v>컴포넌트</x:v>
      </x:c>
      <x:c r="C191" s="13" t="str">
        <x:v>레이아웃·표현</x:v>
      </x:c>
      <x:c r="D191" s="13" t="str">
        <x:v>캐러셀</x:v>
      </x:c>
      <x:c r="E191" s="13" t="str">
        <x:v>사용성 가이드라인</x:v>
      </x:c>
      <x:c r="F191" s="13" t="str">
        <x:v>05</x:v>
      </x:c>
      <x:c r="G191" s="13" t="n">
        <x:v>430</x:v>
      </x:c>
      <x:c r="H191" s="13" t="n">
        <x:v>430</x:v>
      </x:c>
      <x:c r="I191" s="13" t="str">
        <x:v>434</x:v>
      </x:c>
      <x:c r="J191" s="13" t="str">
        <x:v>캐러셀 관련 컨트롤과 항목 탐색 식별자가 명확하게 인지될 수 있도록 표현한다.</x:v>
      </x:c>
      <x:c r="K191" s="13" t="str">
        <x:v>UI-035</x:v>
      </x:c>
      <x:c r="L191" s="13" t="str">
        <x:v>추출 후 기본 구조 검토; 원문 적용수준·전체 맥락 재확인 필요</x:v>
      </x:c>
      <x:c r="M191" s="13" t="str">
        <x:v>미확인</x:v>
      </x:c>
    </x:row>
    <x:row r="192" ht="37.5" customHeight="1">
      <x:c r="A192" s="14" t="str">
        <x:v>KRDS-SEC-036-U-06</x:v>
      </x:c>
      <x:c r="B192" s="14" t="str">
        <x:v>컴포넌트</x:v>
      </x:c>
      <x:c r="C192" s="14" t="str">
        <x:v>레이아웃·표현</x:v>
      </x:c>
      <x:c r="D192" s="14" t="str">
        <x:v>캐러셀</x:v>
      </x:c>
      <x:c r="E192" s="14" t="str">
        <x:v>사용성 가이드라인</x:v>
      </x:c>
      <x:c r="F192" s="14" t="str">
        <x:v>06</x:v>
      </x:c>
      <x:c r="G192" s="14" t="n">
        <x:v>430</x:v>
      </x:c>
      <x:c r="H192" s="14" t="n">
        <x:v>430</x:v>
      </x:c>
      <x:c r="I192" s="14" t="str">
        <x:v>435</x:v>
      </x:c>
      <x:c r="J192" s="14" t="str">
        <x:v>캐러셀 관련 컨트롤과 항목 탐색 식별자를 일관된 위치에 표시한다.</x:v>
      </x:c>
      <x:c r="K192" s="14" t="str">
        <x:v>UI-035</x:v>
      </x:c>
      <x:c r="L192" s="14" t="str">
        <x:v>추출 후 기본 구조 검토; 원문 적용수준·전체 맥락 재확인 필요</x:v>
      </x:c>
      <x:c r="M192" s="14" t="str">
        <x:v>미확인</x:v>
      </x:c>
    </x:row>
    <x:row r="193" ht="37.5" customHeight="1">
      <x:c r="A193" s="13" t="str">
        <x:v>KRDS-SEC-036-U-07</x:v>
      </x:c>
      <x:c r="B193" s="13" t="str">
        <x:v>컴포넌트</x:v>
      </x:c>
      <x:c r="C193" s="13" t="str">
        <x:v>레이아웃·표현</x:v>
      </x:c>
      <x:c r="D193" s="13" t="str">
        <x:v>캐러셀</x:v>
      </x:c>
      <x:c r="E193" s="13" t="str">
        <x:v>사용성 가이드라인</x:v>
      </x:c>
      <x:c r="F193" s="13" t="str">
        <x:v>07</x:v>
      </x:c>
      <x:c r="G193" s="13" t="n">
        <x:v>430</x:v>
      </x:c>
      <x:c r="H193" s="13" t="n">
        <x:v>430</x:v>
      </x:c>
      <x:c r="I193" s="13" t="str">
        <x:v>435</x:v>
      </x:c>
      <x:c r="J193" s="13" t="str">
        <x:v>전체 슬라이드 수와 사용자의 탐색 위치를 표시한다.</x:v>
      </x:c>
      <x:c r="K193" s="13" t="str">
        <x:v>UI-035</x:v>
      </x:c>
      <x:c r="L193" s="13" t="str">
        <x:v>추출 후 기본 구조 검토; 원문 적용수준·전체 맥락 재확인 필요</x:v>
      </x:c>
      <x:c r="M193" s="13" t="str">
        <x:v>미확인</x:v>
      </x:c>
    </x:row>
    <x:row r="194" ht="37.5" customHeight="1">
      <x:c r="A194" s="14" t="str">
        <x:v>KRDS-SEC-036-U-08</x:v>
      </x:c>
      <x:c r="B194" s="14" t="str">
        <x:v>컴포넌트</x:v>
      </x:c>
      <x:c r="C194" s="14" t="str">
        <x:v>레이아웃·표현</x:v>
      </x:c>
      <x:c r="D194" s="14" t="str">
        <x:v>캐러셀</x:v>
      </x:c>
      <x:c r="E194" s="14" t="str">
        <x:v>사용성 가이드라인</x:v>
      </x:c>
      <x:c r="F194" s="14" t="str">
        <x:v>08</x:v>
      </x:c>
      <x:c r="G194" s="14" t="n">
        <x:v>430</x:v>
      </x:c>
      <x:c r="H194" s="14" t="n">
        <x:v>430</x:v>
      </x:c>
      <x:c r="I194" s="14" t="str">
        <x:v>435</x:v>
      </x:c>
      <x:c r="J194" s="14" t="str">
        <x:v>캐러셀 관련 컨트롤 요소를 쉽게 조작할 수 있도록 충분히 크게 표현한다.</x:v>
      </x:c>
      <x:c r="K194" s="14" t="str">
        <x:v>UI-035</x:v>
      </x:c>
      <x:c r="L194" s="14" t="str">
        <x:v>추출 후 기본 구조 검토; 원문 적용수준·전체 맥락 재확인 필요</x:v>
      </x:c>
      <x:c r="M194" s="14" t="str">
        <x:v>미확인</x:v>
      </x:c>
    </x:row>
    <x:row r="195" ht="37.5" customHeight="1">
      <x:c r="A195" s="13" t="str">
        <x:v>KRDS-SEC-036-U-09</x:v>
      </x:c>
      <x:c r="B195" s="13" t="str">
        <x:v>컴포넌트</x:v>
      </x:c>
      <x:c r="C195" s="13" t="str">
        <x:v>레이아웃·표현</x:v>
      </x:c>
      <x:c r="D195" s="13" t="str">
        <x:v>캐러셀</x:v>
      </x:c>
      <x:c r="E195" s="13" t="str">
        <x:v>사용성 가이드라인</x:v>
      </x:c>
      <x:c r="F195" s="13" t="str">
        <x:v>09</x:v>
      </x:c>
      <x:c r="G195" s="13" t="n">
        <x:v>430</x:v>
      </x:c>
      <x:c r="H195" s="13" t="n">
        <x:v>430</x:v>
      </x:c>
      <x:c r="I195" s="13" t="str">
        <x:v>436</x:v>
      </x:c>
      <x:c r="J195" s="13" t="str">
        <x:v>중요한 항목을 우선적으로 배치한다.</x:v>
      </x:c>
      <x:c r="K195" s="13" t="str">
        <x:v>UI-035</x:v>
      </x:c>
      <x:c r="L195" s="13" t="str">
        <x:v>추출 후 기본 구조 검토; 원문 적용수준·전체 맥락 재확인 필요</x:v>
      </x:c>
      <x:c r="M195" s="13" t="str">
        <x:v>미확인</x:v>
      </x:c>
    </x:row>
    <x:row r="196" ht="37.5" customHeight="1">
      <x:c r="A196" s="14" t="str">
        <x:v>KRDS-SEC-036-U-10</x:v>
      </x:c>
      <x:c r="B196" s="14" t="str">
        <x:v>컴포넌트</x:v>
      </x:c>
      <x:c r="C196" s="14" t="str">
        <x:v>레이아웃·표현</x:v>
      </x:c>
      <x:c r="D196" s="14" t="str">
        <x:v>캐러셀</x:v>
      </x:c>
      <x:c r="E196" s="14" t="str">
        <x:v>사용성 가이드라인</x:v>
      </x:c>
      <x:c r="F196" s="14" t="str">
        <x:v>10</x:v>
      </x:c>
      <x:c r="G196" s="14" t="n">
        <x:v>430</x:v>
      </x:c>
      <x:c r="H196" s="14" t="n">
        <x:v>430</x:v>
      </x:c>
      <x:c r="I196" s="14" t="str">
        <x:v>437</x:v>
      </x:c>
      <x:c r="J196" s="14" t="str">
        <x:v>드래그 앤 드롭/스와이프로 슬라이드를 전환할 수 있도록 한다.</x:v>
      </x:c>
      <x:c r="K196" s="14" t="str">
        <x:v>UI-035</x:v>
      </x:c>
      <x:c r="L196" s="14" t="str">
        <x:v>추출 후 기본 구조 검토; 원문 적용수준·전체 맥락 재확인 필요</x:v>
      </x:c>
      <x:c r="M196" s="14" t="str">
        <x:v>미확인</x:v>
      </x:c>
    </x:row>
    <x:row r="197" ht="37.5" customHeight="1">
      <x:c r="A197" s="13" t="str">
        <x:v>KRDS-SEC-036-U-11</x:v>
      </x:c>
      <x:c r="B197" s="13" t="str">
        <x:v>컴포넌트</x:v>
      </x:c>
      <x:c r="C197" s="13" t="str">
        <x:v>레이아웃·표현</x:v>
      </x:c>
      <x:c r="D197" s="13" t="str">
        <x:v>캐러셀</x:v>
      </x:c>
      <x:c r="E197" s="13" t="str">
        <x:v>사용성 가이드라인</x:v>
      </x:c>
      <x:c r="F197" s="13" t="str">
        <x:v>11</x:v>
      </x:c>
      <x:c r="G197" s="13" t="n">
        <x:v>430</x:v>
      </x:c>
      <x:c r="H197" s="13" t="n">
        <x:v>430</x:v>
      </x:c>
      <x:c r="I197" s="13" t="str">
        <x:v>438</x:v>
      </x:c>
      <x:c r="J197" s="13" t="str">
        <x:v>표시할 캐러셀 항목 수가 1개인 경우 캐러셀과 관련된 단서를 숨긴다.</x:v>
      </x:c>
      <x:c r="K197" s="13" t="str">
        <x:v>UI-035</x:v>
      </x:c>
      <x:c r="L197" s="13" t="str">
        <x:v>추출 후 기본 구조 검토; 원문 적용수준·전체 맥락 재확인 필요</x:v>
      </x:c>
      <x:c r="M197" s="13" t="str">
        <x:v>미확인</x:v>
      </x:c>
    </x:row>
    <x:row r="198" ht="37.5" customHeight="1">
      <x:c r="A198" s="14" t="str">
        <x:v>KRDS-SEC-036-P-01</x:v>
      </x:c>
      <x:c r="B198" s="14" t="str">
        <x:v>컴포넌트</x:v>
      </x:c>
      <x:c r="C198" s="14" t="str">
        <x:v>레이아웃·표현</x:v>
      </x:c>
      <x:c r="D198" s="14" t="str">
        <x:v>캐러셀</x:v>
      </x:c>
      <x:c r="E198" s="14" t="str">
        <x:v>플랫폼에 대한 고려 사항</x:v>
      </x:c>
      <x:c r="F198" s="14" t="str">
        <x:v>01</x:v>
      </x:c>
      <x:c r="G198" s="14" t="n">
        <x:v>439</x:v>
      </x:c>
      <x:c r="H198" s="14" t="n">
        <x:v>439</x:v>
      </x:c>
      <x:c r="I198" s="14" t="str"/>
      <x:c r="J198" s="14" t="str">
        <x:v>화면 크기가 충분한 경우 도형형 항목 탐색 식별자를 버튼으로 제공한다.</x:v>
      </x:c>
      <x:c r="K198" s="14" t="str">
        <x:v>UI-035</x:v>
      </x:c>
      <x:c r="L198" s="14" t="str">
        <x:v>추출 후 기본 구조 검토; 원문 적용수준·전체 맥락 재확인 필요</x:v>
      </x:c>
      <x:c r="M198" s="14" t="str">
        <x:v>미확인</x:v>
      </x:c>
    </x:row>
    <x:row r="199" ht="37.5" customHeight="1">
      <x:c r="A199" s="13" t="str">
        <x:v>KRDS-SEC-036-P-02</x:v>
      </x:c>
      <x:c r="B199" s="13" t="str">
        <x:v>컴포넌트</x:v>
      </x:c>
      <x:c r="C199" s="13" t="str">
        <x:v>레이아웃·표현</x:v>
      </x:c>
      <x:c r="D199" s="13" t="str">
        <x:v>캐러셀</x:v>
      </x:c>
      <x:c r="E199" s="13" t="str">
        <x:v>플랫폼에 대한 고려 사항</x:v>
      </x:c>
      <x:c r="F199" s="13" t="str">
        <x:v>02</x:v>
      </x:c>
      <x:c r="G199" s="13" t="n">
        <x:v>440</x:v>
      </x:c>
      <x:c r="H199" s="13" t="n">
        <x:v>440</x:v>
      </x:c>
      <x:c r="I199" s="13" t="str"/>
      <x:c r="J199" s="13" t="str">
        <x:v>화면 크기가 충분하지 않은 경우 도형형 항목 탐색 식별자는 분수형으로 전환한다.</x:v>
      </x:c>
      <x:c r="K199" s="13" t="str">
        <x:v>UI-035</x:v>
      </x:c>
      <x:c r="L199" s="13" t="str">
        <x:v>추출 후 기본 구조 검토; 원문 적용수준·전체 맥락 재확인 필요</x:v>
      </x:c>
      <x:c r="M199" s="13" t="str">
        <x:v>미확인</x:v>
      </x:c>
    </x:row>
    <x:row r="200" ht="37.5" customHeight="1">
      <x:c r="A200" s="14" t="str">
        <x:v>KRDS-SEC-036-A-01</x:v>
      </x:c>
      <x:c r="B200" s="14" t="str">
        <x:v>컴포넌트</x:v>
      </x:c>
      <x:c r="C200" s="14" t="str">
        <x:v>레이아웃·표현</x:v>
      </x:c>
      <x:c r="D200" s="14" t="str">
        <x:v>캐러셀</x:v>
      </x:c>
      <x:c r="E200" s="14" t="str">
        <x:v>접근성 가이드라인</x:v>
      </x:c>
      <x:c r="F200" s="14" t="str">
        <x:v>01</x:v>
      </x:c>
      <x:c r="G200" s="14" t="n">
        <x:v>441</x:v>
      </x:c>
      <x:c r="H200" s="14" t="n">
        <x:v>441</x:v>
      </x:c>
      <x:c r="I200" s="14" t="str"/>
      <x:c r="J200" s="14" t="str">
        <x:v>자동 재생 캐러셀에서 정지 버튼이 상호작용 가능한 첫 요소로 제공되어야 한다.</x:v>
      </x:c>
      <x:c r="K200" s="14" t="str">
        <x:v>UI-035</x:v>
      </x:c>
      <x:c r="L200" s="14" t="str">
        <x:v>추출 후 기본 구조 검토; 원문 적용수준·전체 맥락 재확인 필요</x:v>
      </x:c>
      <x:c r="M200" s="14" t="str">
        <x:v>미확인</x:v>
      </x:c>
    </x:row>
    <x:row r="201" ht="37.5" customHeight="1">
      <x:c r="A201" s="13" t="str">
        <x:v>KRDS-SEC-036-A-02</x:v>
      </x:c>
      <x:c r="B201" s="13" t="str">
        <x:v>컴포넌트</x:v>
      </x:c>
      <x:c r="C201" s="13" t="str">
        <x:v>레이아웃·표현</x:v>
      </x:c>
      <x:c r="D201" s="13" t="str">
        <x:v>캐러셀</x:v>
      </x:c>
      <x:c r="E201" s="13" t="str">
        <x:v>접근성 가이드라인</x:v>
      </x:c>
      <x:c r="F201" s="13" t="str">
        <x:v>02</x:v>
      </x:c>
      <x:c r="G201" s="13" t="n">
        <x:v>441</x:v>
      </x:c>
      <x:c r="H201" s="13" t="n">
        <x:v>441</x:v>
      </x:c>
      <x:c r="I201" s="13" t="str"/>
      <x:c r="J201" s="13" t="str">
        <x:v>단일 지점과의 상호작용을 통해 슬라이드를 탐색할 수 있는 수단을 제공한다.</x:v>
      </x:c>
      <x:c r="K201" s="13" t="str">
        <x:v>UI-035</x:v>
      </x:c>
      <x:c r="L201" s="13" t="str">
        <x:v>추출 후 기본 구조 검토; 원문 적용수준·전체 맥락 재확인 필요</x:v>
      </x:c>
      <x:c r="M201" s="13" t="str">
        <x:v>미확인</x:v>
      </x:c>
    </x:row>
    <x:row r="202" ht="37.5" customHeight="1">
      <x:c r="A202" s="14" t="str">
        <x:v>KRDS-SEC-036-A-03</x:v>
      </x:c>
      <x:c r="B202" s="14" t="str">
        <x:v>컴포넌트</x:v>
      </x:c>
      <x:c r="C202" s="14" t="str">
        <x:v>레이아웃·표현</x:v>
      </x:c>
      <x:c r="D202" s="14" t="str">
        <x:v>캐러셀</x:v>
      </x:c>
      <x:c r="E202" s="14" t="str">
        <x:v>접근성 가이드라인</x:v>
      </x:c>
      <x:c r="F202" s="14" t="str">
        <x:v>03</x:v>
      </x:c>
      <x:c r="G202" s="14" t="n">
        <x:v>441</x:v>
      </x:c>
      <x:c r="H202" s="14" t="n">
        <x:v>441</x:v>
      </x:c>
      <x:c r="I202" s="14" t="str"/>
      <x:c r="J202" s="14" t="str">
        <x:v>캐러셀에서 제공되는 모든 기능을 키보드로 실행할 수 있도록 한다.</x:v>
      </x:c>
      <x:c r="K202" s="14" t="str">
        <x:v>UI-035</x:v>
      </x:c>
      <x:c r="L202" s="14" t="str">
        <x:v>추출 후 기본 구조 검토; 원문 적용수준·전체 맥락 재확인 필요</x:v>
      </x:c>
      <x:c r="M202" s="14" t="str">
        <x:v>미확인</x:v>
      </x:c>
    </x:row>
    <x:row r="203" ht="37.5" customHeight="1">
      <x:c r="A203" s="13" t="str">
        <x:v>KRDS-SEC-036-A-04</x:v>
      </x:c>
      <x:c r="B203" s="13" t="str">
        <x:v>컴포넌트</x:v>
      </x:c>
      <x:c r="C203" s="13" t="str">
        <x:v>레이아웃·표현</x:v>
      </x:c>
      <x:c r="D203" s="13" t="str">
        <x:v>캐러셀</x:v>
      </x:c>
      <x:c r="E203" s="13" t="str">
        <x:v>접근성 가이드라인</x:v>
      </x:c>
      <x:c r="F203" s="13" t="str">
        <x:v>04</x:v>
      </x:c>
      <x:c r="G203" s="13" t="n">
        <x:v>442</x:v>
      </x:c>
      <x:c r="H203" s="13" t="n">
        <x:v>442</x:v>
      </x:c>
      <x:c r="I203" s="13" t="str"/>
      <x:c r="J203" s="13" t="str">
        <x:v>키보드와 스크린 리더는 기본 항목에만 접근하도록 한다.</x:v>
      </x:c>
      <x:c r="K203" s="13" t="str">
        <x:v>UI-035</x:v>
      </x:c>
      <x:c r="L203" s="13" t="str">
        <x:v>추출 후 기본 구조 검토; 원문 적용수준·전체 맥락 재확인 필요</x:v>
      </x:c>
      <x:c r="M203" s="13" t="str">
        <x:v>미확인</x:v>
      </x:c>
    </x:row>
    <x:row r="204" ht="37.5" customHeight="1">
      <x:c r="A204" s="14" t="str">
        <x:v>KRDS-SEC-036-A-05</x:v>
      </x:c>
      <x:c r="B204" s="14" t="str">
        <x:v>컴포넌트</x:v>
      </x:c>
      <x:c r="C204" s="14" t="str">
        <x:v>레이아웃·표현</x:v>
      </x:c>
      <x:c r="D204" s="14" t="str">
        <x:v>캐러셀</x:v>
      </x:c>
      <x:c r="E204" s="14" t="str">
        <x:v>접근성 가이드라인</x:v>
      </x:c>
      <x:c r="F204" s="14" t="str">
        <x:v>05</x:v>
      </x:c>
      <x:c r="G204" s="14" t="n">
        <x:v>442</x:v>
      </x:c>
      <x:c r="H204" s="14" t="n">
        <x:v>442</x:v>
      </x:c>
      <x:c r="I204" s="14" t="str"/>
      <x:c r="J204" s="14" t="str">
        <x:v>텍스트가 포함된 이미지를 사용하지 않는다.</x:v>
      </x:c>
      <x:c r="K204" s="14" t="str">
        <x:v>UI-035</x:v>
      </x:c>
      <x:c r="L204" s="14" t="str">
        <x:v>추출 후 기본 구조 검토; 원문 적용수준·전체 맥락 재확인 필요</x:v>
      </x:c>
      <x:c r="M204" s="14" t="str">
        <x:v>미확인</x:v>
      </x:c>
    </x:row>
    <x:row r="205" ht="37.5" customHeight="1">
      <x:c r="A205" s="13" t="str">
        <x:v>KRDS-SEC-037-U-01</x:v>
      </x:c>
      <x:c r="B205" s="13" t="str">
        <x:v>컴포넌트</x:v>
      </x:c>
      <x:c r="C205" s="13" t="str">
        <x:v>레이아웃·표현</x:v>
      </x:c>
      <x:c r="D205" s="13" t="str">
        <x:v>탭</x:v>
      </x:c>
      <x:c r="E205" s="13" t="str">
        <x:v>사용성 가이드라인</x:v>
      </x:c>
      <x:c r="F205" s="13" t="str">
        <x:v>01</x:v>
      </x:c>
      <x:c r="G205" s="13" t="n">
        <x:v>448</x:v>
      </x:c>
      <x:c r="H205" s="13" t="n">
        <x:v>448</x:v>
      </x:c>
      <x:c r="I205" s="13" t="str">
        <x:v>449</x:v>
      </x:c>
      <x:c r="J205" s="13" t="str">
        <x:v>사용자가 탭과 탭 패널 간 관계를 명확하게 인지할 수 있도록 표현한다.</x:v>
      </x:c>
      <x:c r="K205" s="13" t="str">
        <x:v>UI-036</x:v>
      </x:c>
      <x:c r="L205" s="13" t="str">
        <x:v>추출 후 기본 구조 검토; 원문 적용수준·전체 맥락 재확인 필요</x:v>
      </x:c>
      <x:c r="M205" s="13" t="str">
        <x:v>미확인</x:v>
      </x:c>
    </x:row>
    <x:row r="206" ht="37.5" customHeight="1">
      <x:c r="A206" s="14" t="str">
        <x:v>KRDS-SEC-037-U-02</x:v>
      </x:c>
      <x:c r="B206" s="14" t="str">
        <x:v>컴포넌트</x:v>
      </x:c>
      <x:c r="C206" s="14" t="str">
        <x:v>레이아웃·표현</x:v>
      </x:c>
      <x:c r="D206" s="14" t="str">
        <x:v>탭</x:v>
      </x:c>
      <x:c r="E206" s="14" t="str">
        <x:v>사용성 가이드라인</x:v>
      </x:c>
      <x:c r="F206" s="14" t="str">
        <x:v>02</x:v>
      </x:c>
      <x:c r="G206" s="14" t="n">
        <x:v>448</x:v>
      </x:c>
      <x:c r="H206" s="14" t="n">
        <x:v>448</x:v>
      </x:c>
      <x:c r="I206" s="14" t="str">
        <x:v>450</x:v>
      </x:c>
      <x:c r="J206" s="14" t="str">
        <x:v>탭 레이블은 표시할 콘텐츠 섹션의 정보를 예측할 수 있는 명확한 내용으로 제공한다.</x:v>
      </x:c>
      <x:c r="K206" s="14" t="str">
        <x:v>UI-036</x:v>
      </x:c>
      <x:c r="L206" s="14" t="str">
        <x:v>추출 후 기본 구조 검토; 원문 적용수준·전체 맥락 재확인 필요</x:v>
      </x:c>
      <x:c r="M206" s="14" t="str">
        <x:v>미확인</x:v>
      </x:c>
    </x:row>
    <x:row r="207" ht="37.5" customHeight="1">
      <x:c r="A207" s="13" t="str">
        <x:v>KRDS-SEC-037-U-03</x:v>
      </x:c>
      <x:c r="B207" s="13" t="str">
        <x:v>컴포넌트</x:v>
      </x:c>
      <x:c r="C207" s="13" t="str">
        <x:v>레이아웃·표현</x:v>
      </x:c>
      <x:c r="D207" s="13" t="str">
        <x:v>탭</x:v>
      </x:c>
      <x:c r="E207" s="13" t="str">
        <x:v>사용성 가이드라인</x:v>
      </x:c>
      <x:c r="F207" s="13" t="str">
        <x:v>03</x:v>
      </x:c>
      <x:c r="G207" s="13" t="n">
        <x:v>448</x:v>
      </x:c>
      <x:c r="H207" s="13" t="n">
        <x:v>448</x:v>
      </x:c>
      <x:c r="I207" s="13" t="str">
        <x:v>451</x:v>
      </x:c>
      <x:c r="J207" s="13" t="str">
        <x:v>탭에 사용 불가 상태를 사용하지 않는다.</x:v>
      </x:c>
      <x:c r="K207" s="13" t="str">
        <x:v>UI-036</x:v>
      </x:c>
      <x:c r="L207" s="13" t="str">
        <x:v>추출 후 기본 구조 검토; 원문 적용수준·전체 맥락 재확인 필요</x:v>
      </x:c>
      <x:c r="M207" s="13" t="str">
        <x:v>미확인</x:v>
      </x:c>
    </x:row>
    <x:row r="208" ht="37.5" customHeight="1">
      <x:c r="A208" s="14" t="str">
        <x:v>KRDS-SEC-037-U-04</x:v>
      </x:c>
      <x:c r="B208" s="14" t="str">
        <x:v>컴포넌트</x:v>
      </x:c>
      <x:c r="C208" s="14" t="str">
        <x:v>레이아웃·표현</x:v>
      </x:c>
      <x:c r="D208" s="14" t="str">
        <x:v>탭</x:v>
      </x:c>
      <x:c r="E208" s="14" t="str">
        <x:v>사용성 가이드라인</x:v>
      </x:c>
      <x:c r="F208" s="14" t="str">
        <x:v>04</x:v>
      </x:c>
      <x:c r="G208" s="14" t="n">
        <x:v>448</x:v>
      </x:c>
      <x:c r="H208" s="14" t="n">
        <x:v>448</x:v>
      </x:c>
      <x:c r="I208" s="14" t="str">
        <x:v>452</x:v>
      </x:c>
      <x:c r="J208" s="14" t="str">
        <x:v>여러 개의 탭을 중첩하는 경우, 서로 다른 수준의 탭이 명확하게 구분되도록 표현한다.</x:v>
      </x:c>
      <x:c r="K208" s="14" t="str">
        <x:v>UI-036</x:v>
      </x:c>
      <x:c r="L208" s="14" t="str">
        <x:v>추출 후 기본 구조 검토; 원문 적용수준·전체 맥락 재확인 필요</x:v>
      </x:c>
      <x:c r="M208" s="14" t="str">
        <x:v>미확인</x:v>
      </x:c>
    </x:row>
    <x:row r="209" ht="37.5" customHeight="1">
      <x:c r="A209" s="13" t="str">
        <x:v>KRDS-SEC-037-U-05</x:v>
      </x:c>
      <x:c r="B209" s="13" t="str">
        <x:v>컴포넌트</x:v>
      </x:c>
      <x:c r="C209" s="13" t="str">
        <x:v>레이아웃·표현</x:v>
      </x:c>
      <x:c r="D209" s="13" t="str">
        <x:v>탭</x:v>
      </x:c>
      <x:c r="E209" s="13" t="str">
        <x:v>사용성 가이드라인</x:v>
      </x:c>
      <x:c r="F209" s="13" t="str">
        <x:v>05</x:v>
      </x:c>
      <x:c r="G209" s="13" t="n">
        <x:v>448</x:v>
      </x:c>
      <x:c r="H209" s="13" t="n">
        <x:v>448</x:v>
      </x:c>
      <x:c r="I209" s="13" t="str">
        <x:v>453</x:v>
      </x:c>
      <x:c r="J209" s="13" t="str">
        <x:v>수직 탭은 탭을 수평으로 배치하기 어려운 경우에 사용한다.</x:v>
      </x:c>
      <x:c r="K209" s="13" t="str">
        <x:v>UI-036</x:v>
      </x:c>
      <x:c r="L209" s="13" t="str">
        <x:v>추출 후 기본 구조 검토; 원문 적용수준·전체 맥락 재확인 필요</x:v>
      </x:c>
      <x:c r="M209" s="13" t="str">
        <x:v>미확인</x:v>
      </x:c>
    </x:row>
    <x:row r="210" ht="37.5" customHeight="1">
      <x:c r="A210" s="14" t="str">
        <x:v>KRDS-SEC-037-U-06</x:v>
      </x:c>
      <x:c r="B210" s="14" t="str">
        <x:v>컴포넌트</x:v>
      </x:c>
      <x:c r="C210" s="14" t="str">
        <x:v>레이아웃·표현</x:v>
      </x:c>
      <x:c r="D210" s="14" t="str">
        <x:v>탭</x:v>
      </x:c>
      <x:c r="E210" s="14" t="str">
        <x:v>사용성 가이드라인</x:v>
      </x:c>
      <x:c r="F210" s="14" t="str">
        <x:v>06</x:v>
      </x:c>
      <x:c r="G210" s="14" t="n">
        <x:v>448</x:v>
      </x:c>
      <x:c r="H210" s="14" t="n">
        <x:v>448</x:v>
      </x:c>
      <x:c r="I210" s="14" t="str">
        <x:v>454</x:v>
      </x:c>
      <x:c r="J210" s="14" t="str">
        <x:v>탭의 항목 수가 많아 일렬로 배치하기 어려운 경우 별도의 탐색 컨트롤을 제공한다.</x:v>
      </x:c>
      <x:c r="K210" s="14" t="str">
        <x:v>UI-036</x:v>
      </x:c>
      <x:c r="L210" s="14" t="str">
        <x:v>추출 후 기본 구조 검토; 원문 적용수준·전체 맥락 재확인 필요</x:v>
      </x:c>
      <x:c r="M210" s="14" t="str">
        <x:v>미확인</x:v>
      </x:c>
    </x:row>
    <x:row r="211" ht="37.5" customHeight="1">
      <x:c r="A211" s="13" t="str">
        <x:v>KRDS-SEC-037-A-01</x:v>
      </x:c>
      <x:c r="B211" s="13" t="str">
        <x:v>컴포넌트</x:v>
      </x:c>
      <x:c r="C211" s="13" t="str">
        <x:v>레이아웃·표현</x:v>
      </x:c>
      <x:c r="D211" s="13" t="str">
        <x:v>탭</x:v>
      </x:c>
      <x:c r="E211" s="13" t="str">
        <x:v>접근성 가이드라인</x:v>
      </x:c>
      <x:c r="F211" s="13" t="str">
        <x:v>01</x:v>
      </x:c>
      <x:c r="G211" s="13" t="n">
        <x:v>455</x:v>
      </x:c>
      <x:c r="H211" s="13" t="n">
        <x:v>455</x:v>
      </x:c>
      <x:c r="I211" s="13" t="str"/>
      <x:c r="J211" s="13" t="str">
        <x:v>탭의 선택 상태를 색상으로만 구분하지 않는다.</x:v>
      </x:c>
      <x:c r="K211" s="13" t="str">
        <x:v>UI-036</x:v>
      </x:c>
      <x:c r="L211" s="13" t="str">
        <x:v>추출 후 기본 구조 검토; 원문 적용수준·전체 맥락 재확인 필요</x:v>
      </x:c>
      <x:c r="M211" s="13" t="str">
        <x:v>미확인</x:v>
      </x:c>
    </x:row>
    <x:row r="212" ht="37.5" customHeight="1">
      <x:c r="A212" s="14" t="str">
        <x:v>KRDS-SEC-037-A-02</x:v>
      </x:c>
      <x:c r="B212" s="14" t="str">
        <x:v>컴포넌트</x:v>
      </x:c>
      <x:c r="C212" s="14" t="str">
        <x:v>레이아웃·표현</x:v>
      </x:c>
      <x:c r="D212" s="14" t="str">
        <x:v>탭</x:v>
      </x:c>
      <x:c r="E212" s="14" t="str">
        <x:v>접근성 가이드라인</x:v>
      </x:c>
      <x:c r="F212" s="14" t="str">
        <x:v>02</x:v>
      </x:c>
      <x:c r="G212" s="14" t="n">
        <x:v>456</x:v>
      </x:c>
      <x:c r="H212" s="14" t="n">
        <x:v>456</x:v>
      </x:c>
      <x:c r="I212" s="14" t="str"/>
      <x:c r="J212" s="14" t="str">
        <x:v>탭을 키보드로 탐색하고 실행할 수 있도록 한다.</x:v>
      </x:c>
      <x:c r="K212" s="14" t="str">
        <x:v>UI-036</x:v>
      </x:c>
      <x:c r="L212" s="14" t="str">
        <x:v>추출 후 기본 구조 검토; 원문 적용수준·전체 맥락 재확인 필요</x:v>
      </x:c>
      <x:c r="M212" s="14" t="str">
        <x:v>미확인</x:v>
      </x:c>
    </x:row>
    <x:row r="213" ht="37.5" customHeight="1">
      <x:c r="A213" s="13" t="str">
        <x:v>KRDS-SEC-037-A-03</x:v>
      </x:c>
      <x:c r="B213" s="13" t="str">
        <x:v>컴포넌트</x:v>
      </x:c>
      <x:c r="C213" s="13" t="str">
        <x:v>레이아웃·표현</x:v>
      </x:c>
      <x:c r="D213" s="13" t="str">
        <x:v>탭</x:v>
      </x:c>
      <x:c r="E213" s="13" t="str">
        <x:v>접근성 가이드라인</x:v>
      </x:c>
      <x:c r="F213" s="13" t="str">
        <x:v>03</x:v>
      </x:c>
      <x:c r="G213" s="13" t="n">
        <x:v>456</x:v>
      </x:c>
      <x:c r="H213" s="13" t="n">
        <x:v>456</x:v>
      </x:c>
      <x:c r="I213" s="13" t="str"/>
      <x:c r="J213" s="13" t="str">
        <x:v>탭의 키보드 초점이 명확하게 표시되도록 한다.</x:v>
      </x:c>
      <x:c r="K213" s="13" t="str">
        <x:v>UI-036</x:v>
      </x:c>
      <x:c r="L213" s="13" t="str">
        <x:v>추출 후 기본 구조 검토; 원문 적용수준·전체 맥락 재확인 필요</x:v>
      </x:c>
      <x:c r="M213" s="13" t="str">
        <x:v>미확인</x:v>
      </x:c>
    </x:row>
    <x:row r="214" ht="37.5" customHeight="1">
      <x:c r="A214" s="14" t="str">
        <x:v>KRDS-SEC-037-A-04</x:v>
      </x:c>
      <x:c r="B214" s="14" t="str">
        <x:v>컴포넌트</x:v>
      </x:c>
      <x:c r="C214" s="14" t="str">
        <x:v>레이아웃·표현</x:v>
      </x:c>
      <x:c r="D214" s="14" t="str">
        <x:v>탭</x:v>
      </x:c>
      <x:c r="E214" s="14" t="str">
        <x:v>접근성 가이드라인</x:v>
      </x:c>
      <x:c r="F214" s="14" t="str">
        <x:v>04</x:v>
      </x:c>
      <x:c r="G214" s="14" t="n">
        <x:v>456</x:v>
      </x:c>
      <x:c r="H214" s="14" t="n">
        <x:v>456</x:v>
      </x:c>
      <x:c r="I214" s="14" t="str"/>
      <x:c r="J214" s="14" t="str">
        <x:v>탭의 선택 상태를 스크린 리더로 확인할 수 있도록 한다.</x:v>
      </x:c>
      <x:c r="K214" s="14" t="str">
        <x:v>UI-036</x:v>
      </x:c>
      <x:c r="L214" s="14" t="str">
        <x:v>추출 후 기본 구조 검토; 원문 적용수준·전체 맥락 재확인 필요</x:v>
      </x:c>
      <x:c r="M214" s="14" t="str">
        <x:v>미확인</x:v>
      </x:c>
    </x:row>
    <x:row r="215" ht="37.5" customHeight="1">
      <x:c r="A215" s="13" t="str">
        <x:v>KRDS-SEC-037-A-05</x:v>
      </x:c>
      <x:c r="B215" s="13" t="str">
        <x:v>컴포넌트</x:v>
      </x:c>
      <x:c r="C215" s="13" t="str">
        <x:v>레이아웃·표현</x:v>
      </x:c>
      <x:c r="D215" s="13" t="str">
        <x:v>탭</x:v>
      </x:c>
      <x:c r="E215" s="13" t="str">
        <x:v>접근성 가이드라인</x:v>
      </x:c>
      <x:c r="F215" s="13" t="str">
        <x:v>05</x:v>
      </x:c>
      <x:c r="G215" s="13" t="n">
        <x:v>457</x:v>
      </x:c>
      <x:c r="H215" s="13" t="n">
        <x:v>457</x:v>
      </x:c>
      <x:c r="I215" s="13" t="str"/>
      <x:c r="J215" s="13" t="str">
        <x:v>탭과 패널의 역할 및 관계를 스크린 리더로 확인할 수 있도록 한다.</x:v>
      </x:c>
      <x:c r="K215" s="13" t="str">
        <x:v>UI-036</x:v>
      </x:c>
      <x:c r="L215" s="13" t="str">
        <x:v>추출 후 기본 구조 검토; 원문 적용수준·전체 맥락 재확인 필요</x:v>
      </x:c>
      <x:c r="M215" s="13" t="str">
        <x:v>미확인</x:v>
      </x:c>
    </x:row>
    <x:row r="216" ht="37.5" customHeight="1">
      <x:c r="A216" s="14" t="str">
        <x:v>KRDS-SEC-038-U-01</x:v>
      </x:c>
      <x:c r="B216" s="14" t="str">
        <x:v>컴포넌트</x:v>
      </x:c>
      <x:c r="C216" s="14" t="str">
        <x:v>레이아웃·표현</x:v>
      </x:c>
      <x:c r="D216" s="14" t="str">
        <x:v>표</x:v>
      </x:c>
      <x:c r="E216" s="14" t="str">
        <x:v>사용성 가이드라인</x:v>
      </x:c>
      <x:c r="F216" s="14" t="str">
        <x:v>01</x:v>
      </x:c>
      <x:c r="G216" s="14" t="n">
        <x:v>462</x:v>
      </x:c>
      <x:c r="H216" s="14" t="n">
        <x:v>462</x:v>
      </x:c>
      <x:c r="I216" s="14" t="str">
        <x:v>463</x:v>
      </x:c>
      <x:c r="J216" s="14" t="str">
        <x:v>표는 데이터 잘림 없이 표시될 수 있는 영역에 사용한다.</x:v>
      </x:c>
      <x:c r="K216" s="14" t="str">
        <x:v>UI-037, UI-106</x:v>
      </x:c>
      <x:c r="L216" s="14" t="str">
        <x:v>추출 후 기본 구조 검토; 원문 적용수준·전체 맥락 재확인 필요</x:v>
      </x:c>
      <x:c r="M216" s="14" t="str">
        <x:v>미확인</x:v>
      </x:c>
    </x:row>
    <x:row r="217" ht="37.5" customHeight="1">
      <x:c r="A217" s="13" t="str">
        <x:v>KRDS-SEC-038-U-02</x:v>
      </x:c>
      <x:c r="B217" s="13" t="str">
        <x:v>컴포넌트</x:v>
      </x:c>
      <x:c r="C217" s="13" t="str">
        <x:v>레이아웃·표현</x:v>
      </x:c>
      <x:c r="D217" s="13" t="str">
        <x:v>표</x:v>
      </x:c>
      <x:c r="E217" s="13" t="str">
        <x:v>사용성 가이드라인</x:v>
      </x:c>
      <x:c r="F217" s="13" t="str">
        <x:v>02</x:v>
      </x:c>
      <x:c r="G217" s="13" t="n">
        <x:v>462</x:v>
      </x:c>
      <x:c r="H217" s="13" t="n">
        <x:v>462</x:v>
      </x:c>
      <x:c r="I217" s="13" t="str">
        <x:v>464</x:v>
      </x:c>
      <x:c r="J217" s="13" t="str">
        <x:v>열의 최소 너비는 콘텐츠의 길이를 고려하여 설정한다.</x:v>
      </x:c>
      <x:c r="K217" s="13" t="str">
        <x:v>UI-037, UI-106</x:v>
      </x:c>
      <x:c r="L217" s="13" t="str">
        <x:v>추출 후 기본 구조 검토; 원문 적용수준·전체 맥락 재확인 필요</x:v>
      </x:c>
      <x:c r="M217" s="13" t="str">
        <x:v>미확인</x:v>
      </x:c>
    </x:row>
    <x:row r="218" ht="37.5" customHeight="1">
      <x:c r="A218" s="14" t="str">
        <x:v>KRDS-SEC-038-U-03</x:v>
      </x:c>
      <x:c r="B218" s="14" t="str">
        <x:v>컴포넌트</x:v>
      </x:c>
      <x:c r="C218" s="14" t="str">
        <x:v>레이아웃·표현</x:v>
      </x:c>
      <x:c r="D218" s="14" t="str">
        <x:v>표</x:v>
      </x:c>
      <x:c r="E218" s="14" t="str">
        <x:v>사용성 가이드라인</x:v>
      </x:c>
      <x:c r="F218" s="14" t="str">
        <x:v>03</x:v>
      </x:c>
      <x:c r="G218" s="14" t="n">
        <x:v>462</x:v>
      </x:c>
      <x:c r="H218" s="14" t="n">
        <x:v>462</x:v>
      </x:c>
      <x:c r="I218" s="14" t="str">
        <x:v>464</x:v>
      </x:c>
      <x:c r="J218" s="14" t="str">
        <x:v>열 구분선의 사용을 지양한다.</x:v>
      </x:c>
      <x:c r="K218" s="14" t="str">
        <x:v>UI-037, UI-106</x:v>
      </x:c>
      <x:c r="L218" s="14" t="str">
        <x:v>추출 후 기본 구조 검토; 원문 적용수준·전체 맥락 재확인 필요</x:v>
      </x:c>
      <x:c r="M218" s="14" t="str">
        <x:v>미확인</x:v>
      </x:c>
    </x:row>
    <x:row r="219" ht="37.5" customHeight="1">
      <x:c r="A219" s="13" t="str">
        <x:v>KRDS-SEC-038-U-04</x:v>
      </x:c>
      <x:c r="B219" s="13" t="str">
        <x:v>컴포넌트</x:v>
      </x:c>
      <x:c r="C219" s="13" t="str">
        <x:v>레이아웃·표현</x:v>
      </x:c>
      <x:c r="D219" s="13" t="str">
        <x:v>표</x:v>
      </x:c>
      <x:c r="E219" s="13" t="str">
        <x:v>사용성 가이드라인</x:v>
      </x:c>
      <x:c r="F219" s="13" t="str">
        <x:v>04</x:v>
      </x:c>
      <x:c r="G219" s="13" t="n">
        <x:v>462</x:v>
      </x:c>
      <x:c r="H219" s="13" t="n">
        <x:v>462</x:v>
      </x:c>
      <x:c r="I219" s="13" t="str">
        <x:v>464</x:v>
      </x:c>
      <x:c r="J219" s="13" t="str">
        <x:v>양적 데이터를 전달하기 위한 숫자는 오른쪽으로 정렬한다.</x:v>
      </x:c>
      <x:c r="K219" s="13" t="str">
        <x:v>UI-037, UI-106</x:v>
      </x:c>
      <x:c r="L219" s="13" t="str">
        <x:v>추출 후 기본 구조 검토; 원문 적용수준·전체 맥락 재확인 필요</x:v>
      </x:c>
      <x:c r="M219" s="13" t="str">
        <x:v>미확인</x:v>
      </x:c>
    </x:row>
    <x:row r="220" ht="37.5" customHeight="1">
      <x:c r="A220" s="14" t="str">
        <x:v>KRDS-SEC-038-U-05</x:v>
      </x:c>
      <x:c r="B220" s="14" t="str">
        <x:v>컴포넌트</x:v>
      </x:c>
      <x:c r="C220" s="14" t="str">
        <x:v>레이아웃·표현</x:v>
      </x:c>
      <x:c r="D220" s="14" t="str">
        <x:v>표</x:v>
      </x:c>
      <x:c r="E220" s="14" t="str">
        <x:v>사용성 가이드라인</x:v>
      </x:c>
      <x:c r="F220" s="14" t="str">
        <x:v>05</x:v>
      </x:c>
      <x:c r="G220" s="14" t="n">
        <x:v>462</x:v>
      </x:c>
      <x:c r="H220" s="14" t="n">
        <x:v>462</x:v>
      </x:c>
      <x:c r="I220" s="14" t="str">
        <x:v>465</x:v>
      </x:c>
      <x:c r="J220" s="14" t="str">
        <x:v>텍스트 데이터, 명목 데이터는 왼쪽으로 정렬한다.</x:v>
      </x:c>
      <x:c r="K220" s="14" t="str">
        <x:v>UI-037, UI-106</x:v>
      </x:c>
      <x:c r="L220" s="14" t="str">
        <x:v>추출 후 기본 구조 검토; 원문 적용수준·전체 맥락 재확인 필요</x:v>
      </x:c>
      <x:c r="M220" s="14" t="str">
        <x:v>미확인</x:v>
      </x:c>
    </x:row>
    <x:row r="221" ht="37.5" customHeight="1">
      <x:c r="A221" s="13" t="str">
        <x:v>KRDS-SEC-038-U-06</x:v>
      </x:c>
      <x:c r="B221" s="13" t="str">
        <x:v>컴포넌트</x:v>
      </x:c>
      <x:c r="C221" s="13" t="str">
        <x:v>레이아웃·표현</x:v>
      </x:c>
      <x:c r="D221" s="13" t="str">
        <x:v>표</x:v>
      </x:c>
      <x:c r="E221" s="13" t="str">
        <x:v>사용성 가이드라인</x:v>
      </x:c>
      <x:c r="F221" s="13" t="str">
        <x:v>06</x:v>
      </x:c>
      <x:c r="G221" s="13" t="n">
        <x:v>462</x:v>
      </x:c>
      <x:c r="H221" s="13" t="n">
        <x:v>462</x:v>
      </x:c>
      <x:c r="I221" s="13" t="str">
        <x:v>465</x:v>
      </x:c>
      <x:c r="J221" s="13" t="str">
        <x:v>열의 개수를 최소화한다.</x:v>
      </x:c>
      <x:c r="K221" s="13" t="str">
        <x:v>UI-037, UI-106</x:v>
      </x:c>
      <x:c r="L221" s="13" t="str">
        <x:v>추출 후 기본 구조 검토; 원문 적용수준·전체 맥락 재확인 필요</x:v>
      </x:c>
      <x:c r="M221" s="13" t="str">
        <x:v>미확인</x:v>
      </x:c>
    </x:row>
    <x:row r="222" ht="37.5" customHeight="1">
      <x:c r="A222" s="14" t="str">
        <x:v>KRDS-SEC-038-U-07</x:v>
      </x:c>
      <x:c r="B222" s="14" t="str">
        <x:v>컴포넌트</x:v>
      </x:c>
      <x:c r="C222" s="14" t="str">
        <x:v>레이아웃·표현</x:v>
      </x:c>
      <x:c r="D222" s="14" t="str">
        <x:v>표</x:v>
      </x:c>
      <x:c r="E222" s="14" t="str">
        <x:v>사용성 가이드라인</x:v>
      </x:c>
      <x:c r="F222" s="14" t="str">
        <x:v>07</x:v>
      </x:c>
      <x:c r="G222" s="14" t="n">
        <x:v>462</x:v>
      </x:c>
      <x:c r="H222" s="14" t="n">
        <x:v>462</x:v>
      </x:c>
      <x:c r="I222" s="14" t="str">
        <x:v>465</x:v>
      </x:c>
      <x:c r="J222" s="14" t="str">
        <x:v>사용자가 원하는 대로 데이터를 정렬할 수 있는 기능을 제공한다.</x:v>
      </x:c>
      <x:c r="K222" s="14" t="str">
        <x:v>UI-037, UI-106</x:v>
      </x:c>
      <x:c r="L222" s="14" t="str">
        <x:v>추출 후 기본 구조 검토; 원문 적용수준·전체 맥락 재확인 필요</x:v>
      </x:c>
      <x:c r="M222" s="14" t="str">
        <x:v>미확인</x:v>
      </x:c>
    </x:row>
    <x:row r="223" ht="37.5" customHeight="1">
      <x:c r="A223" s="13" t="str">
        <x:v>KRDS-SEC-038-U-08</x:v>
      </x:c>
      <x:c r="B223" s="13" t="str">
        <x:v>컴포넌트</x:v>
      </x:c>
      <x:c r="C223" s="13" t="str">
        <x:v>레이아웃·표현</x:v>
      </x:c>
      <x:c r="D223" s="13" t="str">
        <x:v>표</x:v>
      </x:c>
      <x:c r="E223" s="13" t="str">
        <x:v>사용성 가이드라인</x:v>
      </x:c>
      <x:c r="F223" s="13" t="str">
        <x:v>08</x:v>
      </x:c>
      <x:c r="G223" s="13" t="n">
        <x:v>462</x:v>
      </x:c>
      <x:c r="H223" s="13" t="n">
        <x:v>462</x:v>
      </x:c>
      <x:c r="I223" s="13" t="str">
        <x:v>466</x:v>
      </x:c>
      <x:c r="J223" s="13" t="str">
        <x:v>데이터값이 존재하지 않는 경우 셀을 비워두지 않고 대시(-)를 제공한다.</x:v>
      </x:c>
      <x:c r="K223" s="13" t="str">
        <x:v>UI-037, UI-106</x:v>
      </x:c>
      <x:c r="L223" s="13" t="str">
        <x:v>추출 후 기본 구조 검토; 원문 적용수준·전체 맥락 재확인 필요</x:v>
      </x:c>
      <x:c r="M223" s="13" t="str">
        <x:v>미확인</x:v>
      </x:c>
    </x:row>
    <x:row r="224" ht="37.5" customHeight="1">
      <x:c r="A224" s="14" t="str">
        <x:v>KRDS-SEC-038-P-01</x:v>
      </x:c>
      <x:c r="B224" s="14" t="str">
        <x:v>컴포넌트</x:v>
      </x:c>
      <x:c r="C224" s="14" t="str">
        <x:v>레이아웃·표현</x:v>
      </x:c>
      <x:c r="D224" s="14" t="str">
        <x:v>표</x:v>
      </x:c>
      <x:c r="E224" s="14" t="str">
        <x:v>플랫폼에 대한 고려 사항</x:v>
      </x:c>
      <x:c r="F224" s="14" t="str">
        <x:v>01</x:v>
      </x:c>
      <x:c r="G224" s="14" t="n">
        <x:v>467</x:v>
      </x:c>
      <x:c r="H224" s="14" t="n">
        <x:v>467</x:v>
      </x:c>
      <x:c r="I224" s="14" t="str"/>
      <x:c r="J224" s="14" t="str">
        <x:v>화면 너비가 충분하지 않은 경우 데이터의 배열 방식의 변경을 고려한다.</x:v>
      </x:c>
      <x:c r="K224" s="14" t="str">
        <x:v>UI-037, UI-106</x:v>
      </x:c>
      <x:c r="L224" s="14" t="str">
        <x:v>추출 후 기본 구조 검토; 원문 적용수준·전체 맥락 재확인 필요</x:v>
      </x:c>
      <x:c r="M224" s="14" t="str">
        <x:v>미확인</x:v>
      </x:c>
    </x:row>
    <x:row r="225" ht="37.5" customHeight="1">
      <x:c r="A225" s="13" t="str">
        <x:v>KRDS-SEC-038-P-02</x:v>
      </x:c>
      <x:c r="B225" s="13" t="str">
        <x:v>컴포넌트</x:v>
      </x:c>
      <x:c r="C225" s="13" t="str">
        <x:v>레이아웃·표현</x:v>
      </x:c>
      <x:c r="D225" s="13" t="str">
        <x:v>표</x:v>
      </x:c>
      <x:c r="E225" s="13" t="str">
        <x:v>플랫폼에 대한 고려 사항</x:v>
      </x:c>
      <x:c r="F225" s="13" t="str">
        <x:v>02</x:v>
      </x:c>
      <x:c r="G225" s="13" t="n">
        <x:v>468</x:v>
      </x:c>
      <x:c r="H225" s="13" t="n">
        <x:v>468</x:v>
      </x:c>
      <x:c r="I225" s="13" t="str"/>
      <x:c r="J225" s="13" t="str">
        <x:v>화면 너비가 충분하지 않은 경우 표 영역에 가로 스크롤을 사용하는 방안을 고려한다.</x:v>
      </x:c>
      <x:c r="K225" s="13" t="str">
        <x:v>UI-037, UI-106</x:v>
      </x:c>
      <x:c r="L225" s="13" t="str">
        <x:v>추출 후 기본 구조 검토; 원문 적용수준·전체 맥락 재확인 필요</x:v>
      </x:c>
      <x:c r="M225" s="13" t="str">
        <x:v>미확인</x:v>
      </x:c>
    </x:row>
    <x:row r="226" ht="37.5" customHeight="1">
      <x:c r="A226" s="14" t="str">
        <x:v>KRDS-SEC-038-A-01</x:v>
      </x:c>
      <x:c r="B226" s="14" t="str">
        <x:v>컴포넌트</x:v>
      </x:c>
      <x:c r="C226" s="14" t="str">
        <x:v>레이아웃·표현</x:v>
      </x:c>
      <x:c r="D226" s="14" t="str">
        <x:v>표</x:v>
      </x:c>
      <x:c r="E226" s="14" t="str">
        <x:v>접근성 가이드라인</x:v>
      </x:c>
      <x:c r="F226" s="14" t="str">
        <x:v>01</x:v>
      </x:c>
      <x:c r="G226" s="14" t="n">
        <x:v>469</x:v>
      </x:c>
      <x:c r="H226" s="14" t="n">
        <x:v>469</x:v>
      </x:c>
      <x:c r="I226" s="14" t="str"/>
      <x:c r="J226" s="14" t="str">
        <x:v>데이터의 구조를 적절하게 반영하여 마크업한다.</x:v>
      </x:c>
      <x:c r="K226" s="14" t="str">
        <x:v>UI-037, UI-106</x:v>
      </x:c>
      <x:c r="L226" s="14" t="str">
        <x:v>추출 후 기본 구조 검토; 원문 적용수준·전체 맥락 재확인 필요</x:v>
      </x:c>
      <x:c r="M226" s="14" t="str">
        <x:v>미확인</x:v>
      </x:c>
    </x:row>
    <x:row r="227" ht="37.5" customHeight="1">
      <x:c r="A227" s="13" t="str">
        <x:v>KRDS-SEC-038-A-02</x:v>
      </x:c>
      <x:c r="B227" s="13" t="str">
        <x:v>컴포넌트</x:v>
      </x:c>
      <x:c r="C227" s="13" t="str">
        <x:v>레이아웃·표현</x:v>
      </x:c>
      <x:c r="D227" s="13" t="str">
        <x:v>표</x:v>
      </x:c>
      <x:c r="E227" s="13" t="str">
        <x:v>접근성 가이드라인</x:v>
      </x:c>
      <x:c r="F227" s="13" t="str">
        <x:v>02</x:v>
      </x:c>
      <x:c r="G227" s="13" t="n">
        <x:v>469</x:v>
      </x:c>
      <x:c r="H227" s="13" t="n">
        <x:v>469</x:v>
      </x:c>
      <x:c r="I227" s="13" t="str"/>
      <x:c r="J227" s="13" t="str">
        <x:v>가로 스크롤이 필요한 경우 단순한 동작으로 스크롤 위치를 조정할 수 있도록 한다.</x:v>
      </x:c>
      <x:c r="K227" s="13" t="str">
        <x:v>UI-037, UI-106</x:v>
      </x:c>
      <x:c r="L227" s="13" t="str">
        <x:v>추출 후 기본 구조 검토; 원문 적용수준·전체 맥락 재확인 필요</x:v>
      </x:c>
      <x:c r="M227" s="13" t="str">
        <x:v>미확인</x:v>
      </x:c>
    </x:row>
    <x:row r="228" ht="37.5" customHeight="1">
      <x:c r="A228" s="14" t="str">
        <x:v>KRDS-SEC-039-U-01</x:v>
      </x:c>
      <x:c r="B228" s="14" t="str">
        <x:v>컴포넌트</x:v>
      </x:c>
      <x:c r="C228" s="14" t="str">
        <x:v>레이아웃·표현</x:v>
      </x:c>
      <x:c r="D228" s="14" t="str">
        <x:v>스플래시 스크린</x:v>
      </x:c>
      <x:c r="E228" s="14" t="str">
        <x:v>사용성 가이드라인</x:v>
      </x:c>
      <x:c r="F228" s="14" t="str">
        <x:v>01</x:v>
      </x:c>
      <x:c r="G228" s="14" t="n">
        <x:v>474</x:v>
      </x:c>
      <x:c r="H228" s="14" t="n">
        <x:v>474</x:v>
      </x:c>
      <x:c r="I228" s="14" t="str">
        <x:v>475</x:v>
      </x:c>
      <x:c r="J228" s="14" t="str">
        <x:v>운영체제의 기본 스플래시 스크린을 활용한다.</x:v>
      </x:c>
      <x:c r="K228" s="14" t="str">
        <x:v>UI-038</x:v>
      </x:c>
      <x:c r="L228" s="14" t="str">
        <x:v>추출 후 기본 구조 검토; 원문 적용수준·전체 맥락 재확인 필요</x:v>
      </x:c>
      <x:c r="M228" s="14" t="str">
        <x:v>미확인</x:v>
      </x:c>
    </x:row>
    <x:row r="229" ht="37.5" customHeight="1">
      <x:c r="A229" s="13" t="str">
        <x:v>KRDS-SEC-039-U-02</x:v>
      </x:c>
      <x:c r="B229" s="13" t="str">
        <x:v>컴포넌트</x:v>
      </x:c>
      <x:c r="C229" s="13" t="str">
        <x:v>레이아웃·표현</x:v>
      </x:c>
      <x:c r="D229" s="13" t="str">
        <x:v>스플래시 스크린</x:v>
      </x:c>
      <x:c r="E229" s="13" t="str">
        <x:v>사용성 가이드라인</x:v>
      </x:c>
      <x:c r="F229" s="13" t="str">
        <x:v>02</x:v>
      </x:c>
      <x:c r="G229" s="13" t="n">
        <x:v>474</x:v>
      </x:c>
      <x:c r="H229" s="13" t="n">
        <x:v>474</x:v>
      </x:c>
      <x:c r="I229" s="13" t="str">
        <x:v>476</x:v>
      </x:c>
      <x:c r="J229" s="13" t="str">
        <x:v>디자인 테마별로 최적화된 스플래시 스크린 제공을 고려한다.</x:v>
      </x:c>
      <x:c r="K229" s="13" t="str">
        <x:v>UI-038</x:v>
      </x:c>
      <x:c r="L229" s="13" t="str">
        <x:v>추출 후 기본 구조 검토; 원문 적용수준·전체 맥락 재확인 필요</x:v>
      </x:c>
      <x:c r="M229" s="13" t="str">
        <x:v>미확인</x:v>
      </x:c>
    </x:row>
    <x:row r="230" ht="37.5" customHeight="1">
      <x:c r="A230" s="14" t="str">
        <x:v>KRDS-SEC-039-U-03</x:v>
      </x:c>
      <x:c r="B230" s="14" t="str">
        <x:v>컴포넌트</x:v>
      </x:c>
      <x:c r="C230" s="14" t="str">
        <x:v>레이아웃·표현</x:v>
      </x:c>
      <x:c r="D230" s="14" t="str">
        <x:v>스플래시 스크린</x:v>
      </x:c>
      <x:c r="E230" s="14" t="str">
        <x:v>사용성 가이드라인</x:v>
      </x:c>
      <x:c r="F230" s="14" t="str">
        <x:v>03</x:v>
      </x:c>
      <x:c r="G230" s="14" t="n">
        <x:v>474</x:v>
      </x:c>
      <x:c r="H230" s="14" t="n">
        <x:v>474</x:v>
      </x:c>
      <x:c r="I230" s="14" t="str">
        <x:v>478</x:v>
      </x:c>
      <x:c r="J230" s="14" t="str">
        <x:v>운영체제와 운영체제의 버전에 상관없이 일관성 있는 시작 경험을 제공한다.</x:v>
      </x:c>
      <x:c r="K230" s="14" t="str">
        <x:v>UI-038</x:v>
      </x:c>
      <x:c r="L230" s="14" t="str">
        <x:v>추출 후 기본 구조 검토; 원문 적용수준·전체 맥락 재확인 필요</x:v>
      </x:c>
      <x:c r="M230" s="14" t="str">
        <x:v>미확인</x:v>
      </x:c>
    </x:row>
    <x:row r="231" ht="37.5" customHeight="1">
      <x:c r="A231" s="13" t="str">
        <x:v>KRDS-SEC-039-U-04</x:v>
      </x:c>
      <x:c r="B231" s="13" t="str">
        <x:v>컴포넌트</x:v>
      </x:c>
      <x:c r="C231" s="13" t="str">
        <x:v>레이아웃·표현</x:v>
      </x:c>
      <x:c r="D231" s="13" t="str">
        <x:v>스플래시 스크린</x:v>
      </x:c>
      <x:c r="E231" s="13" t="str">
        <x:v>사용성 가이드라인</x:v>
      </x:c>
      <x:c r="F231" s="13" t="str">
        <x:v>04</x:v>
      </x:c>
      <x:c r="G231" s="13" t="n">
        <x:v>474</x:v>
      </x:c>
      <x:c r="H231" s="13" t="n">
        <x:v>474</x:v>
      </x:c>
      <x:c r="I231" s="13" t="str">
        <x:v>480</x:v>
      </x:c>
      <x:c r="J231" s="13" t="str">
        <x:v>앱 실행이 길어질 경우 상태를 보여줄 수 있는 피드백을 제공한다.</x:v>
      </x:c>
      <x:c r="K231" s="13" t="str">
        <x:v>UI-038</x:v>
      </x:c>
      <x:c r="L231" s="13" t="str">
        <x:v>추출 후 기본 구조 검토; 원문 적용수준·전체 맥락 재확인 필요</x:v>
      </x:c>
      <x:c r="M231" s="13" t="str">
        <x:v>미확인</x:v>
      </x:c>
    </x:row>
    <x:row r="232" ht="37.5" customHeight="1">
      <x:c r="A232" s="14" t="str">
        <x:v>KRDS-SEC-039-U-05</x:v>
      </x:c>
      <x:c r="B232" s="14" t="str">
        <x:v>컴포넌트</x:v>
      </x:c>
      <x:c r="C232" s="14" t="str">
        <x:v>레이아웃·표현</x:v>
      </x:c>
      <x:c r="D232" s="14" t="str">
        <x:v>스플래시 스크린</x:v>
      </x:c>
      <x:c r="E232" s="14" t="str">
        <x:v>사용성 가이드라인</x:v>
      </x:c>
      <x:c r="F232" s="14" t="str">
        <x:v>05</x:v>
      </x:c>
      <x:c r="G232" s="14" t="n">
        <x:v>474</x:v>
      </x:c>
      <x:c r="H232" s="14" t="n">
        <x:v>474</x:v>
      </x:c>
      <x:c r="I232" s="14" t="str">
        <x:v>481</x:v>
      </x:c>
      <x:c r="J232" s="14" t="str">
        <x:v>스플래시 스크린에 텍스트 사용을 최소화한다.</x:v>
      </x:c>
      <x:c r="K232" s="14" t="str">
        <x:v>UI-038</x:v>
      </x:c>
      <x:c r="L232" s="14" t="str">
        <x:v>추출 후 기본 구조 검토; 원문 적용수준·전체 맥락 재확인 필요</x:v>
      </x:c>
      <x:c r="M232" s="14" t="str">
        <x:v>미확인</x:v>
      </x:c>
    </x:row>
    <x:row r="233" ht="37.5" customHeight="1">
      <x:c r="A233" s="13" t="str">
        <x:v>KRDS-SEC-039-U-06</x:v>
      </x:c>
      <x:c r="B233" s="13" t="str">
        <x:v>컴포넌트</x:v>
      </x:c>
      <x:c r="C233" s="13" t="str">
        <x:v>레이아웃·표현</x:v>
      </x:c>
      <x:c r="D233" s="13" t="str">
        <x:v>스플래시 스크린</x:v>
      </x:c>
      <x:c r="E233" s="13" t="str">
        <x:v>사용성 가이드라인</x:v>
      </x:c>
      <x:c r="F233" s="13" t="str">
        <x:v>06</x:v>
      </x:c>
      <x:c r="G233" s="13" t="n">
        <x:v>474</x:v>
      </x:c>
      <x:c r="H233" s="13" t="n">
        <x:v>474</x:v>
      </x:c>
      <x:c r="I233" s="13" t="str">
        <x:v>482</x:v>
      </x:c>
      <x:c r="J233" s="13" t="str">
        <x:v>스플래시 스크린의 노출 시간을 임의로 조정하지 않는다.</x:v>
      </x:c>
      <x:c r="K233" s="13" t="str">
        <x:v>UI-038</x:v>
      </x:c>
      <x:c r="L233" s="13" t="str">
        <x:v>추출 후 기본 구조 검토; 원문 적용수준·전체 맥락 재확인 필요</x:v>
      </x:c>
      <x:c r="M233" s="13" t="str">
        <x:v>미확인</x:v>
      </x:c>
    </x:row>
    <x:row r="234" ht="37.5" customHeight="1">
      <x:c r="A234" s="14" t="str">
        <x:v>KRDS-SEC-040-U-01</x:v>
      </x:c>
      <x:c r="B234" s="14" t="str">
        <x:v>컴포넌트</x:v>
      </x:c>
      <x:c r="C234" s="14" t="str">
        <x:v>레이아웃·표현</x:v>
      </x:c>
      <x:c r="D234" s="14" t="str">
        <x:v>텍스트 목록</x:v>
      </x:c>
      <x:c r="E234" s="14" t="str">
        <x:v>사용성 가이드라인</x:v>
      </x:c>
      <x:c r="F234" s="14" t="str">
        <x:v>01</x:v>
      </x:c>
      <x:c r="G234" s="14" t="n">
        <x:v>487</x:v>
      </x:c>
      <x:c r="H234" s="14" t="n">
        <x:v>487</x:v>
      </x:c>
      <x:c r="I234" s="14" t="str">
        <x:v>488</x:v>
      </x:c>
      <x:c r="J234" s="14" t="str">
        <x:v>콘텐츠에 적합한 유형의 목록을 사용한다.</x:v>
      </x:c>
      <x:c r="K234" s="14" t="str">
        <x:v>UI-039</x:v>
      </x:c>
      <x:c r="L234" s="14" t="str">
        <x:v>추출 후 기본 구조 검토; 원문 적용수준·전체 맥락 재확인 필요</x:v>
      </x:c>
      <x:c r="M234" s="14" t="str">
        <x:v>미확인</x:v>
      </x:c>
    </x:row>
    <x:row r="235" ht="37.5" customHeight="1">
      <x:c r="A235" s="13" t="str">
        <x:v>KRDS-SEC-040-U-02</x:v>
      </x:c>
      <x:c r="B235" s="13" t="str">
        <x:v>컴포넌트</x:v>
      </x:c>
      <x:c r="C235" s="13" t="str">
        <x:v>레이아웃·표현</x:v>
      </x:c>
      <x:c r="D235" s="13" t="str">
        <x:v>텍스트 목록</x:v>
      </x:c>
      <x:c r="E235" s="13" t="str">
        <x:v>사용성 가이드라인</x:v>
      </x:c>
      <x:c r="F235" s="13" t="str">
        <x:v>02</x:v>
      </x:c>
      <x:c r="G235" s="13" t="n">
        <x:v>487</x:v>
      </x:c>
      <x:c r="H235" s="13" t="n">
        <x:v>487</x:v>
      </x:c>
      <x:c r="I235" s="13" t="str">
        <x:v>489</x:v>
      </x:c>
      <x:c r="J235" s="13" t="str">
        <x:v>동일한 수준의 항목은 일관된 어투로 작성한다.</x:v>
      </x:c>
      <x:c r="K235" s="13" t="str">
        <x:v>UI-039</x:v>
      </x:c>
      <x:c r="L235" s="13" t="str">
        <x:v>추출 후 기본 구조 검토; 원문 적용수준·전체 맥락 재확인 필요</x:v>
      </x:c>
      <x:c r="M235" s="13" t="str">
        <x:v>미확인</x:v>
      </x:c>
    </x:row>
    <x:row r="236" ht="37.5" customHeight="1">
      <x:c r="A236" s="14" t="str">
        <x:v>KRDS-SEC-040-U-03</x:v>
      </x:c>
      <x:c r="B236" s="14" t="str">
        <x:v>컴포넌트</x:v>
      </x:c>
      <x:c r="C236" s="14" t="str">
        <x:v>레이아웃·표현</x:v>
      </x:c>
      <x:c r="D236" s="14" t="str">
        <x:v>텍스트 목록</x:v>
      </x:c>
      <x:c r="E236" s="14" t="str">
        <x:v>사용성 가이드라인</x:v>
      </x:c>
      <x:c r="F236" s="14" t="str">
        <x:v>03</x:v>
      </x:c>
      <x:c r="G236" s="14" t="n">
        <x:v>487</x:v>
      </x:c>
      <x:c r="H236" s="14" t="n">
        <x:v>487</x:v>
      </x:c>
      <x:c r="I236" s="14" t="str">
        <x:v>490</x:v>
      </x:c>
      <x:c r="J236" s="14" t="str">
        <x:v>문장 형식에 적합한 종결 부호를 사용한다.</x:v>
      </x:c>
      <x:c r="K236" s="14" t="str">
        <x:v>UI-039</x:v>
      </x:c>
      <x:c r="L236" s="14" t="str">
        <x:v>추출 후 기본 구조 검토; 원문 적용수준·전체 맥락 재확인 필요</x:v>
      </x:c>
      <x:c r="M236" s="14" t="str">
        <x:v>미확인</x:v>
      </x:c>
    </x:row>
    <x:row r="237" ht="37.5" customHeight="1">
      <x:c r="A237" s="13" t="str">
        <x:v>KRDS-SEC-040-U-04</x:v>
      </x:c>
      <x:c r="B237" s="13" t="str">
        <x:v>컴포넌트</x:v>
      </x:c>
      <x:c r="C237" s="13" t="str">
        <x:v>레이아웃·표현</x:v>
      </x:c>
      <x:c r="D237" s="13" t="str">
        <x:v>텍스트 목록</x:v>
      </x:c>
      <x:c r="E237" s="13" t="str">
        <x:v>사용성 가이드라인</x:v>
      </x:c>
      <x:c r="F237" s="13" t="str">
        <x:v>04</x:v>
      </x:c>
      <x:c r="G237" s="13" t="n">
        <x:v>487</x:v>
      </x:c>
      <x:c r="H237" s="13" t="n">
        <x:v>487</x:v>
      </x:c>
      <x:c r="I237" s="13" t="str">
        <x:v>491</x:v>
      </x:c>
      <x:c r="J237" s="13" t="str">
        <x:v>들여쓰기를 활용하여 계층 구조를 명확하게 구분한다.</x:v>
      </x:c>
      <x:c r="K237" s="13" t="str">
        <x:v>UI-039</x:v>
      </x:c>
      <x:c r="L237" s="13" t="str">
        <x:v>추출 후 기본 구조 검토; 원문 적용수준·전체 맥락 재확인 필요</x:v>
      </x:c>
      <x:c r="M237" s="13" t="str">
        <x:v>미확인</x:v>
      </x:c>
    </x:row>
    <x:row r="238" ht="37.5" customHeight="1">
      <x:c r="A238" s="14" t="str">
        <x:v>KRDS-SEC-040-U-05</x:v>
      </x:c>
      <x:c r="B238" s="14" t="str">
        <x:v>컴포넌트</x:v>
      </x:c>
      <x:c r="C238" s="14" t="str">
        <x:v>레이아웃·표현</x:v>
      </x:c>
      <x:c r="D238" s="14" t="str">
        <x:v>텍스트 목록</x:v>
      </x:c>
      <x:c r="E238" s="14" t="str">
        <x:v>사용성 가이드라인</x:v>
      </x:c>
      <x:c r="F238" s="14" t="str">
        <x:v>05</x:v>
      </x:c>
      <x:c r="G238" s="14" t="n">
        <x:v>487</x:v>
      </x:c>
      <x:c r="H238" s="14" t="n">
        <x:v>487</x:v>
      </x:c>
      <x:c r="I238" s="14" t="str">
        <x:v>492</x:v>
      </x:c>
      <x:c r="J238" s="14" t="str">
        <x:v>목록은 3수준 이내로 구성한다.</x:v>
      </x:c>
      <x:c r="K238" s="14" t="str">
        <x:v>UI-039</x:v>
      </x:c>
      <x:c r="L238" s="14" t="str">
        <x:v>추출 후 기본 구조 검토; 원문 적용수준·전체 맥락 재확인 필요</x:v>
      </x:c>
      <x:c r="M238" s="14" t="str">
        <x:v>미확인</x:v>
      </x:c>
    </x:row>
    <x:row r="239" ht="37.5" customHeight="1">
      <x:c r="A239" s="13" t="str">
        <x:v>KRDS-SEC-041-U-01</x:v>
      </x:c>
      <x:c r="B239" s="13" t="str">
        <x:v>컴포넌트</x:v>
      </x:c>
      <x:c r="C239" s="13" t="str">
        <x:v>액션</x:v>
      </x:c>
      <x:c r="D239" s="13" t="str">
        <x:v>링크</x:v>
      </x:c>
      <x:c r="E239" s="13" t="str">
        <x:v>사용성 가이드라인</x:v>
      </x:c>
      <x:c r="F239" s="13" t="str">
        <x:v>01</x:v>
      </x:c>
      <x:c r="G239" s="13" t="n">
        <x:v>499</x:v>
      </x:c>
      <x:c r="H239" s="13" t="n">
        <x:v>499</x:v>
      </x:c>
      <x:c r="I239" s="13" t="str">
        <x:v>500</x:v>
      </x:c>
      <x:c r="J239" s="13" t="str">
        <x:v>링크가 인라인으로 사용될 때 링크 텍스트를 주변 텍스트와 동일한 크기로 제공한다.</x:v>
      </x:c>
      <x:c r="K239" s="13" t="str">
        <x:v>UI-040</x:v>
      </x:c>
      <x:c r="L239" s="13" t="str">
        <x:v>추출 후 기본 구조 검토; 원문 적용수준·전체 맥락 재확인 필요</x:v>
      </x:c>
      <x:c r="M239" s="13" t="str">
        <x:v>미확인</x:v>
      </x:c>
    </x:row>
    <x:row r="240" ht="37.5" customHeight="1">
      <x:c r="A240" s="14" t="str">
        <x:v>KRDS-SEC-041-U-02</x:v>
      </x:c>
      <x:c r="B240" s="14" t="str">
        <x:v>컴포넌트</x:v>
      </x:c>
      <x:c r="C240" s="14" t="str">
        <x:v>액션</x:v>
      </x:c>
      <x:c r="D240" s="14" t="str">
        <x:v>링크</x:v>
      </x:c>
      <x:c r="E240" s="14" t="str">
        <x:v>사용성 가이드라인</x:v>
      </x:c>
      <x:c r="F240" s="14" t="str">
        <x:v>02</x:v>
      </x:c>
      <x:c r="G240" s="14" t="n">
        <x:v>499</x:v>
      </x:c>
      <x:c r="H240" s="14" t="n">
        <x:v>499</x:v>
      </x:c>
      <x:c r="I240" s="14" t="str">
        <x:v>501</x:v>
      </x:c>
      <x:c r="J240" s="14" t="str">
        <x:v>링크와 관련된 사용자 과업, 플로(Flow)의 중요도에 따라 위계를 명확하게 구분한다.</x:v>
      </x:c>
      <x:c r="K240" s="14" t="str">
        <x:v>UI-040</x:v>
      </x:c>
      <x:c r="L240" s="14" t="str">
        <x:v>추출 후 기본 구조 검토; 원문 적용수준·전체 맥락 재확인 필요</x:v>
      </x:c>
      <x:c r="M240" s="14" t="str">
        <x:v>미확인</x:v>
      </x:c>
    </x:row>
    <x:row r="241" ht="37.5" customHeight="1">
      <x:c r="A241" s="13" t="str">
        <x:v>KRDS-SEC-041-U-03</x:v>
      </x:c>
      <x:c r="B241" s="13" t="str">
        <x:v>컴포넌트</x:v>
      </x:c>
      <x:c r="C241" s="13" t="str">
        <x:v>액션</x:v>
      </x:c>
      <x:c r="D241" s="13" t="str">
        <x:v>링크</x:v>
      </x:c>
      <x:c r="E241" s="13" t="str">
        <x:v>사용성 가이드라인</x:v>
      </x:c>
      <x:c r="F241" s="13" t="str">
        <x:v>03</x:v>
      </x:c>
      <x:c r="G241" s="13" t="n">
        <x:v>499</x:v>
      </x:c>
      <x:c r="H241" s="13" t="n">
        <x:v>499</x:v>
      </x:c>
      <x:c r="I241" s="13" t="str">
        <x:v>502</x:v>
      </x:c>
      <x:c r="J241" s="13" t="str">
        <x:v>링크를 색상만으로 구분하지 않는다.</x:v>
      </x:c>
      <x:c r="K241" s="13" t="str">
        <x:v>UI-040</x:v>
      </x:c>
      <x:c r="L241" s="13" t="str">
        <x:v>추출 후 기본 구조 검토; 원문 적용수준·전체 맥락 재확인 필요</x:v>
      </x:c>
      <x:c r="M241" s="13" t="str">
        <x:v>미확인</x:v>
      </x:c>
    </x:row>
    <x:row r="242" ht="37.5" customHeight="1">
      <x:c r="A242" s="14" t="str">
        <x:v>KRDS-SEC-041-U-04</x:v>
      </x:c>
      <x:c r="B242" s="14" t="str">
        <x:v>컴포넌트</x:v>
      </x:c>
      <x:c r="C242" s="14" t="str">
        <x:v>액션</x:v>
      </x:c>
      <x:c r="D242" s="14" t="str">
        <x:v>링크</x:v>
      </x:c>
      <x:c r="E242" s="14" t="str">
        <x:v>사용성 가이드라인</x:v>
      </x:c>
      <x:c r="F242" s="14" t="str">
        <x:v>04</x:v>
      </x:c>
      <x:c r="G242" s="14" t="n">
        <x:v>499</x:v>
      </x:c>
      <x:c r="H242" s="14" t="n">
        <x:v>499</x:v>
      </x:c>
      <x:c r="I242" s="14" t="str">
        <x:v>503</x:v>
      </x:c>
      <x:c r="J242" s="14" t="str">
        <x:v>링크 레이블은 연결된 목적지 정보를 예측할 수 있는 내용으로 제공한다.</x:v>
      </x:c>
      <x:c r="K242" s="14" t="str">
        <x:v>UI-040</x:v>
      </x:c>
      <x:c r="L242" s="14" t="str">
        <x:v>추출 후 기본 구조 검토; 원문 적용수준·전체 맥락 재확인 필요</x:v>
      </x:c>
      <x:c r="M242" s="14" t="str">
        <x:v>미확인</x:v>
      </x:c>
    </x:row>
    <x:row r="243" ht="37.5" customHeight="1">
      <x:c r="A243" s="13" t="str">
        <x:v>KRDS-SEC-041-U-05</x:v>
      </x:c>
      <x:c r="B243" s="13" t="str">
        <x:v>컴포넌트</x:v>
      </x:c>
      <x:c r="C243" s="13" t="str">
        <x:v>액션</x:v>
      </x:c>
      <x:c r="D243" s="13" t="str">
        <x:v>링크</x:v>
      </x:c>
      <x:c r="E243" s="13" t="str">
        <x:v>사용성 가이드라인</x:v>
      </x:c>
      <x:c r="F243" s="13" t="str">
        <x:v>05</x:v>
      </x:c>
      <x:c r="G243" s="13" t="n">
        <x:v>499</x:v>
      </x:c>
      <x:c r="H243" s="13" t="n">
        <x:v>499</x:v>
      </x:c>
      <x:c r="I243" s="13" t="str">
        <x:v>504</x:v>
      </x:c>
      <x:c r="J243" s="13" t="str">
        <x:v>이메일 주소, 전화번호 정보를 링크로 제공한다.</x:v>
      </x:c>
      <x:c r="K243" s="13" t="str">
        <x:v>UI-040</x:v>
      </x:c>
      <x:c r="L243" s="13" t="str">
        <x:v>추출 후 기본 구조 검토; 원문 적용수준·전체 맥락 재확인 필요</x:v>
      </x:c>
      <x:c r="M243" s="13" t="str">
        <x:v>미확인</x:v>
      </x:c>
    </x:row>
    <x:row r="244" ht="37.5" customHeight="1">
      <x:c r="A244" s="14" t="str">
        <x:v>KRDS-SEC-041-U-06</x:v>
      </x:c>
      <x:c r="B244" s="14" t="str">
        <x:v>컴포넌트</x:v>
      </x:c>
      <x:c r="C244" s="14" t="str">
        <x:v>액션</x:v>
      </x:c>
      <x:c r="D244" s="14" t="str">
        <x:v>링크</x:v>
      </x:c>
      <x:c r="E244" s="14" t="str">
        <x:v>사용성 가이드라인</x:v>
      </x:c>
      <x:c r="F244" s="14" t="str">
        <x:v>06</x:v>
      </x:c>
      <x:c r="G244" s="14" t="n">
        <x:v>499</x:v>
      </x:c>
      <x:c r="H244" s="14" t="n">
        <x:v>499</x:v>
      </x:c>
      <x:c r="I244" s="14" t="str">
        <x:v>505</x:v>
      </x:c>
      <x:c r="J244" s="14" t="str">
        <x:v>외부 서비스로 이동하는 링크를 분명하게 구분하고 일관된 방식으로 표현한다.</x:v>
      </x:c>
      <x:c r="K244" s="14" t="str">
        <x:v>UI-040</x:v>
      </x:c>
      <x:c r="L244" s="14" t="str">
        <x:v>추출 후 기본 구조 검토; 원문 적용수준·전체 맥락 재확인 필요</x:v>
      </x:c>
      <x:c r="M244" s="14" t="str">
        <x:v>미확인</x:v>
      </x:c>
    </x:row>
    <x:row r="245" ht="37.5" customHeight="1">
      <x:c r="A245" s="13" t="str">
        <x:v>KRDS-SEC-041-U-07</x:v>
      </x:c>
      <x:c r="B245" s="13" t="str">
        <x:v>컴포넌트</x:v>
      </x:c>
      <x:c r="C245" s="13" t="str">
        <x:v>액션</x:v>
      </x:c>
      <x:c r="D245" s="13" t="str">
        <x:v>링크</x:v>
      </x:c>
      <x:c r="E245" s="13" t="str">
        <x:v>사용성 가이드라인</x:v>
      </x:c>
      <x:c r="F245" s="13" t="str">
        <x:v>07</x:v>
      </x:c>
      <x:c r="G245" s="13" t="n">
        <x:v>499</x:v>
      </x:c>
      <x:c r="H245" s="13" t="n">
        <x:v>499</x:v>
      </x:c>
      <x:c r="I245" s="13" t="str">
        <x:v>506</x:v>
      </x:c>
      <x:c r="J245" s="13" t="str">
        <x:v>링크는 레이블의 설명과 가장 관련성이 높은 목적지로 바로 이동할 수 있도록 구성한다.</x:v>
      </x:c>
      <x:c r="K245" s="13" t="str">
        <x:v>UI-040</x:v>
      </x:c>
      <x:c r="L245" s="13" t="str">
        <x:v>추출 후 기본 구조 검토; 원문 적용수준·전체 맥락 재확인 필요</x:v>
      </x:c>
      <x:c r="M245" s="13" t="str">
        <x:v>미확인</x:v>
      </x:c>
    </x:row>
    <x:row r="246" ht="37.5" customHeight="1">
      <x:c r="A246" s="14" t="str">
        <x:v>KRDS-SEC-041-A-01</x:v>
      </x:c>
      <x:c r="B246" s="14" t="str">
        <x:v>컴포넌트</x:v>
      </x:c>
      <x:c r="C246" s="14" t="str">
        <x:v>액션</x:v>
      </x:c>
      <x:c r="D246" s="14" t="str">
        <x:v>링크</x:v>
      </x:c>
      <x:c r="E246" s="14" t="str">
        <x:v>접근성 가이드라인</x:v>
      </x:c>
      <x:c r="F246" s="14" t="str">
        <x:v>01</x:v>
      </x:c>
      <x:c r="G246" s="14" t="n">
        <x:v>507</x:v>
      </x:c>
      <x:c r="H246" s="14" t="n">
        <x:v>507</x:v>
      </x:c>
      <x:c r="I246" s="14" t="str"/>
      <x:c r="J246" s="14" t="str">
        <x:v>비활성화, 사용불가 상태인 경우를 제외하고 모든 링크는 키보드로 접근하고 조작할 수 있도록 한다.</x:v>
      </x:c>
      <x:c r="K246" s="14" t="str">
        <x:v>UI-040</x:v>
      </x:c>
      <x:c r="L246" s="14" t="str">
        <x:v>추출 후 기본 구조 검토; 원문 적용수준·전체 맥락 재확인 필요</x:v>
      </x:c>
      <x:c r="M246" s="14" t="str">
        <x:v>미확인</x:v>
      </x:c>
    </x:row>
    <x:row r="247" ht="37.5" customHeight="1">
      <x:c r="A247" s="13" t="str">
        <x:v>KRDS-SEC-041-A-02</x:v>
      </x:c>
      <x:c r="B247" s="13" t="str">
        <x:v>컴포넌트</x:v>
      </x:c>
      <x:c r="C247" s="13" t="str">
        <x:v>액션</x:v>
      </x:c>
      <x:c r="D247" s="13" t="str">
        <x:v>링크</x:v>
      </x:c>
      <x:c r="E247" s="13" t="str">
        <x:v>접근성 가이드라인</x:v>
      </x:c>
      <x:c r="F247" s="13" t="str">
        <x:v>02</x:v>
      </x:c>
      <x:c r="G247" s="13" t="n">
        <x:v>507</x:v>
      </x:c>
      <x:c r="H247" s="13" t="n">
        <x:v>507</x:v>
      </x:c>
      <x:c r="I247" s="13" t="str"/>
      <x:c r="J247" s="13" t="str">
        <x:v>링크 텍스트는 링크 목적지 정보를 적절하게 설명할 수 있는 내용으로 제공한다.</x:v>
      </x:c>
      <x:c r="K247" s="13" t="str">
        <x:v>UI-040</x:v>
      </x:c>
      <x:c r="L247" s="13" t="str">
        <x:v>추출 후 기본 구조 검토; 원문 적용수준·전체 맥락 재확인 필요</x:v>
      </x:c>
      <x:c r="M247" s="13" t="str">
        <x:v>미확인</x:v>
      </x:c>
    </x:row>
    <x:row r="248" ht="37.5" customHeight="1">
      <x:c r="A248" s="14" t="str">
        <x:v>KRDS-SEC-041-A-03</x:v>
      </x:c>
      <x:c r="B248" s="14" t="str">
        <x:v>컴포넌트</x:v>
      </x:c>
      <x:c r="C248" s="14" t="str">
        <x:v>액션</x:v>
      </x:c>
      <x:c r="D248" s="14" t="str">
        <x:v>링크</x:v>
      </x:c>
      <x:c r="E248" s="14" t="str">
        <x:v>접근성 가이드라인</x:v>
      </x:c>
      <x:c r="F248" s="14" t="str">
        <x:v>03</x:v>
      </x:c>
      <x:c r="G248" s="14" t="n">
        <x:v>507</x:v>
      </x:c>
      <x:c r="H248" s="14" t="n">
        <x:v>507</x:v>
      </x:c>
      <x:c r="I248" s="14" t="str"/>
      <x:c r="J248" s="14" t="str">
        <x:v>링크 레이블은 고유한 내용으로 제공한다.</x:v>
      </x:c>
      <x:c r="K248" s="14" t="str">
        <x:v>UI-040</x:v>
      </x:c>
      <x:c r="L248" s="14" t="str">
        <x:v>추출 후 기본 구조 검토; 원문 적용수준·전체 맥락 재확인 필요</x:v>
      </x:c>
      <x:c r="M248" s="14" t="str">
        <x:v>미확인</x:v>
      </x:c>
    </x:row>
    <x:row r="249" ht="37.5" customHeight="1">
      <x:c r="A249" s="13" t="str">
        <x:v>KRDS-SEC-041-A-04</x:v>
      </x:c>
      <x:c r="B249" s="13" t="str">
        <x:v>컴포넌트</x:v>
      </x:c>
      <x:c r="C249" s="13" t="str">
        <x:v>액션</x:v>
      </x:c>
      <x:c r="D249" s="13" t="str">
        <x:v>링크</x:v>
      </x:c>
      <x:c r="E249" s="13" t="str">
        <x:v>접근성 가이드라인</x:v>
      </x:c>
      <x:c r="F249" s="13" t="str">
        <x:v>04</x:v>
      </x:c>
      <x:c r="G249" s="13" t="n">
        <x:v>508</x:v>
      </x:c>
      <x:c r="H249" s="13" t="n">
        <x:v>508</x:v>
      </x:c>
      <x:c r="I249" s="13" t="str"/>
      <x:c r="J249" s="13" t="str">
        <x:v>링크를 적절한 크기로 제공한다.</x:v>
      </x:c>
      <x:c r="K249" s="13" t="str">
        <x:v>UI-040</x:v>
      </x:c>
      <x:c r="L249" s="13" t="str">
        <x:v>추출 후 기본 구조 검토; 원문 적용수준·전체 맥락 재확인 필요</x:v>
      </x:c>
      <x:c r="M249" s="13" t="str">
        <x:v>미확인</x:v>
      </x:c>
    </x:row>
    <x:row r="250" ht="37.5" customHeight="1">
      <x:c r="A250" s="14" t="str">
        <x:v>KRDS-SEC-041-A-05</x:v>
      </x:c>
      <x:c r="B250" s="14" t="str">
        <x:v>컴포넌트</x:v>
      </x:c>
      <x:c r="C250" s="14" t="str">
        <x:v>액션</x:v>
      </x:c>
      <x:c r="D250" s="14" t="str">
        <x:v>링크</x:v>
      </x:c>
      <x:c r="E250" s="14" t="str">
        <x:v>접근성 가이드라인</x:v>
      </x:c>
      <x:c r="F250" s="14" t="str">
        <x:v>05</x:v>
      </x:c>
      <x:c r="G250" s="14" t="n">
        <x:v>508</x:v>
      </x:c>
      <x:c r="H250" s="14" t="n">
        <x:v>508</x:v>
      </x:c>
      <x:c r="I250" s="14" t="str"/>
      <x:c r="J250" s="14" t="str">
        <x:v>링크로 작동하는 모든 요소는 스크린 리더에서 링크로 인지될 수 있도록 한다.</x:v>
      </x:c>
      <x:c r="K250" s="14" t="str">
        <x:v>UI-040</x:v>
      </x:c>
      <x:c r="L250" s="14" t="str">
        <x:v>추출 후 기본 구조 검토; 원문 적용수준·전체 맥락 재확인 필요</x:v>
      </x:c>
      <x:c r="M250" s="14" t="str">
        <x:v>미확인</x:v>
      </x:c>
    </x:row>
    <x:row r="251" ht="37.5" customHeight="1">
      <x:c r="A251" s="13" t="str">
        <x:v>KRDS-SEC-042-U-01</x:v>
      </x:c>
      <x:c r="B251" s="13" t="str">
        <x:v>컴포넌트</x:v>
      </x:c>
      <x:c r="C251" s="13" t="str">
        <x:v>액션</x:v>
      </x:c>
      <x:c r="D251" s="13" t="str">
        <x:v>버튼</x:v>
      </x:c>
      <x:c r="E251" s="13" t="str">
        <x:v>사용성 가이드라인</x:v>
      </x:c>
      <x:c r="F251" s="13" t="str">
        <x:v>01</x:v>
      </x:c>
      <x:c r="G251" s="13" t="n">
        <x:v>512</x:v>
      </x:c>
      <x:c r="H251" s="13" t="n">
        <x:v>512</x:v>
      </x:c>
      <x:c r="I251" s="13" t="str">
        <x:v>513</x:v>
      </x:c>
      <x:c r="J251" s="13" t="str">
        <x:v>버튼이 그룹으로 제공될 때 모든 버튼의 크기를 동일하게 제공한다.</x:v>
      </x:c>
      <x:c r="K251" s="13" t="str">
        <x:v>UI-041</x:v>
      </x:c>
      <x:c r="L251" s="13" t="str">
        <x:v>추출 후 기본 구조 검토; 원문 적용수준·전체 맥락 재확인 필요</x:v>
      </x:c>
      <x:c r="M251" s="13" t="str">
        <x:v>미확인</x:v>
      </x:c>
    </x:row>
    <x:row r="252" ht="37.5" customHeight="1">
      <x:c r="A252" s="14" t="str">
        <x:v>KRDS-SEC-042-U-02</x:v>
      </x:c>
      <x:c r="B252" s="14" t="str">
        <x:v>컴포넌트</x:v>
      </x:c>
      <x:c r="C252" s="14" t="str">
        <x:v>액션</x:v>
      </x:c>
      <x:c r="D252" s="14" t="str">
        <x:v>버튼</x:v>
      </x:c>
      <x:c r="E252" s="14" t="str">
        <x:v>사용성 가이드라인</x:v>
      </x:c>
      <x:c r="F252" s="14" t="str">
        <x:v>02</x:v>
      </x:c>
      <x:c r="G252" s="14" t="n">
        <x:v>512</x:v>
      </x:c>
      <x:c r="H252" s="14" t="n">
        <x:v>512</x:v>
      </x:c>
      <x:c r="I252" s="14" t="str">
        <x:v>514</x:v>
      </x:c>
      <x:c r="J252" s="14" t="str">
        <x:v>버튼과 관련된 사용자 과업, 플로(Flow)의 중요도에 따라 버튼 간 위계를 명확하게 구분한다.</x:v>
      </x:c>
      <x:c r="K252" s="14" t="str">
        <x:v>UI-041</x:v>
      </x:c>
      <x:c r="L252" s="14" t="str">
        <x:v>추출 후 기본 구조 검토; 원문 적용수준·전체 맥락 재확인 필요</x:v>
      </x:c>
      <x:c r="M252" s="14" t="str">
        <x:v>미확인</x:v>
      </x:c>
    </x:row>
    <x:row r="253" ht="37.5" customHeight="1">
      <x:c r="A253" s="13" t="str">
        <x:v>KRDS-SEC-042-U-03</x:v>
      </x:c>
      <x:c r="B253" s="13" t="str">
        <x:v>컴포넌트</x:v>
      </x:c>
      <x:c r="C253" s="13" t="str">
        <x:v>액션</x:v>
      </x:c>
      <x:c r="D253" s="13" t="str">
        <x:v>버튼</x:v>
      </x:c>
      <x:c r="E253" s="13" t="str">
        <x:v>사용성 가이드라인</x:v>
      </x:c>
      <x:c r="F253" s="13" t="str">
        <x:v>03</x:v>
      </x:c>
      <x:c r="G253" s="13" t="n">
        <x:v>512</x:v>
      </x:c>
      <x:c r="H253" s="13" t="n">
        <x:v>512</x:v>
      </x:c>
      <x:c r="I253" s="13" t="str">
        <x:v>515</x:v>
      </x:c>
      <x:c r="J253" s="13" t="str">
        <x:v>한 화면에 최상위 수준의 강조 버튼은 한 번만 사용한다.</x:v>
      </x:c>
      <x:c r="K253" s="13" t="str">
        <x:v>UI-041</x:v>
      </x:c>
      <x:c r="L253" s="13" t="str">
        <x:v>추출 후 기본 구조 검토; 원문 적용수준·전체 맥락 재확인 필요</x:v>
      </x:c>
      <x:c r="M253" s="13" t="str">
        <x:v>미확인</x:v>
      </x:c>
    </x:row>
    <x:row r="254" ht="37.5" customHeight="1">
      <x:c r="A254" s="14" t="str">
        <x:v>KRDS-SEC-042-U-04</x:v>
      </x:c>
      <x:c r="B254" s="14" t="str">
        <x:v>컴포넌트</x:v>
      </x:c>
      <x:c r="C254" s="14" t="str">
        <x:v>액션</x:v>
      </x:c>
      <x:c r="D254" s="14" t="str">
        <x:v>버튼</x:v>
      </x:c>
      <x:c r="E254" s="14" t="str">
        <x:v>사용성 가이드라인</x:v>
      </x:c>
      <x:c r="F254" s="14" t="str">
        <x:v>04</x:v>
      </x:c>
      <x:c r="G254" s="14" t="n">
        <x:v>512</x:v>
      </x:c>
      <x:c r="H254" s="14" t="n">
        <x:v>512</x:v>
      </x:c>
      <x:c r="I254" s="14" t="str">
        <x:v>516</x:v>
      </x:c>
      <x:c r="J254" s="14" t="str">
        <x:v>버튼 그룹을 수직으로 배열할 때 최상위 수준의 강조 버튼을 첫 번째로 배치한다.</x:v>
      </x:c>
      <x:c r="K254" s="14" t="str">
        <x:v>UI-041</x:v>
      </x:c>
      <x:c r="L254" s="14" t="str">
        <x:v>추출 후 기본 구조 검토; 원문 적용수준·전체 맥락 재확인 필요</x:v>
      </x:c>
      <x:c r="M254" s="14" t="str">
        <x:v>미확인</x:v>
      </x:c>
    </x:row>
    <x:row r="255" ht="37.5" customHeight="1">
      <x:c r="A255" s="13" t="str">
        <x:v>KRDS-SEC-042-U-05</x:v>
      </x:c>
      <x:c r="B255" s="13" t="str">
        <x:v>컴포넌트</x:v>
      </x:c>
      <x:c r="C255" s="13" t="str">
        <x:v>액션</x:v>
      </x:c>
      <x:c r="D255" s="13" t="str">
        <x:v>버튼</x:v>
      </x:c>
      <x:c r="E255" s="13" t="str">
        <x:v>사용성 가이드라인</x:v>
      </x:c>
      <x:c r="F255" s="13" t="str">
        <x:v>05</x:v>
      </x:c>
      <x:c r="G255" s="13" t="n">
        <x:v>512</x:v>
      </x:c>
      <x:c r="H255" s="13" t="n">
        <x:v>512</x:v>
      </x:c>
      <x:c r="I255" s="13" t="str">
        <x:v>516</x:v>
      </x:c>
      <x:c r="J255" s="13" t="str">
        <x:v>버튼의 텍스트 레이블은 버튼을 통해 실행되는 기능을 예측할 수 있는 명확한 내용을 동사형으로 제공한다.</x:v>
      </x:c>
      <x:c r="K255" s="13" t="str">
        <x:v>UI-041</x:v>
      </x:c>
      <x:c r="L255" s="13" t="str">
        <x:v>추출 후 기본 구조 검토; 원문 적용수준·전체 맥락 재확인 필요</x:v>
      </x:c>
      <x:c r="M255" s="13" t="str">
        <x:v>미확인</x:v>
      </x:c>
    </x:row>
    <x:row r="256" ht="37.5" customHeight="1">
      <x:c r="A256" s="14" t="str">
        <x:v>KRDS-SEC-042-U-06</x:v>
      </x:c>
      <x:c r="B256" s="14" t="str">
        <x:v>컴포넌트</x:v>
      </x:c>
      <x:c r="C256" s="14" t="str">
        <x:v>액션</x:v>
      </x:c>
      <x:c r="D256" s="14" t="str">
        <x:v>버튼</x:v>
      </x:c>
      <x:c r="E256" s="14" t="str">
        <x:v>사용성 가이드라인</x:v>
      </x:c>
      <x:c r="F256" s="14" t="str">
        <x:v>06</x:v>
      </x:c>
      <x:c r="G256" s="14" t="n">
        <x:v>512</x:v>
      </x:c>
      <x:c r="H256" s="14" t="n">
        <x:v>512</x:v>
      </x:c>
      <x:c r="I256" s="14" t="str">
        <x:v>517</x:v>
      </x:c>
      <x:c r="J256" s="14" t="str">
        <x:v>아이콘은 중요한 작업에 그리고 반드시 필요한 경우에 사용한다.</x:v>
      </x:c>
      <x:c r="K256" s="14" t="str">
        <x:v>UI-041</x:v>
      </x:c>
      <x:c r="L256" s="14" t="str">
        <x:v>추출 후 기본 구조 검토; 원문 적용수준·전체 맥락 재확인 필요</x:v>
      </x:c>
      <x:c r="M256" s="14" t="str">
        <x:v>미확인</x:v>
      </x:c>
    </x:row>
    <x:row r="257" ht="37.5" customHeight="1">
      <x:c r="A257" s="13" t="str">
        <x:v>KRDS-SEC-042-U-07</x:v>
      </x:c>
      <x:c r="B257" s="13" t="str">
        <x:v>컴포넌트</x:v>
      </x:c>
      <x:c r="C257" s="13" t="str">
        <x:v>액션</x:v>
      </x:c>
      <x:c r="D257" s="13" t="str">
        <x:v>버튼</x:v>
      </x:c>
      <x:c r="E257" s="13" t="str">
        <x:v>사용성 가이드라인</x:v>
      </x:c>
      <x:c r="F257" s="13" t="str">
        <x:v>07</x:v>
      </x:c>
      <x:c r="G257" s="13" t="n">
        <x:v>512</x:v>
      </x:c>
      <x:c r="H257" s="13" t="n">
        <x:v>512</x:v>
      </x:c>
      <x:c r="I257" s="13" t="str">
        <x:v>517</x:v>
      </x:c>
      <x:c r="J257" s="13" t="str">
        <x:v>사용자가 실수로 버튼을 두 번 이상 누르는 상황을 고려한다.</x:v>
      </x:c>
      <x:c r="K257" s="13" t="str">
        <x:v>UI-041</x:v>
      </x:c>
      <x:c r="L257" s="13" t="str">
        <x:v>추출 후 기본 구조 검토; 원문 적용수준·전체 맥락 재확인 필요</x:v>
      </x:c>
      <x:c r="M257" s="13" t="str">
        <x:v>미확인</x:v>
      </x:c>
    </x:row>
    <x:row r="258" ht="37.5" customHeight="1">
      <x:c r="A258" s="14" t="str">
        <x:v>KRDS-SEC-042-A-01</x:v>
      </x:c>
      <x:c r="B258" s="14" t="str">
        <x:v>컴포넌트</x:v>
      </x:c>
      <x:c r="C258" s="14" t="str">
        <x:v>액션</x:v>
      </x:c>
      <x:c r="D258" s="14" t="str">
        <x:v>버튼</x:v>
      </x:c>
      <x:c r="E258" s="14" t="str">
        <x:v>접근성 가이드라인</x:v>
      </x:c>
      <x:c r="F258" s="14" t="str">
        <x:v>01</x:v>
      </x:c>
      <x:c r="G258" s="14" t="n">
        <x:v>518</x:v>
      </x:c>
      <x:c r="H258" s="14" t="n">
        <x:v>518</x:v>
      </x:c>
      <x:c r="I258" s="14" t="str"/>
      <x:c r="J258" s="14" t="str">
        <x:v>모든 버튼에는 접근 가능한 이름을 제공한다.</x:v>
      </x:c>
      <x:c r="K258" s="14" t="str">
        <x:v>UI-041</x:v>
      </x:c>
      <x:c r="L258" s="14" t="str">
        <x:v>추출 후 기본 구조 검토; 원문 적용수준·전체 맥락 재확인 필요</x:v>
      </x:c>
      <x:c r="M258" s="14" t="str">
        <x:v>미확인</x:v>
      </x:c>
    </x:row>
    <x:row r="259" ht="37.5" customHeight="1">
      <x:c r="A259" s="13" t="str">
        <x:v>KRDS-SEC-042-A-02</x:v>
      </x:c>
      <x:c r="B259" s="13" t="str">
        <x:v>컴포넌트</x:v>
      </x:c>
      <x:c r="C259" s="13" t="str">
        <x:v>액션</x:v>
      </x:c>
      <x:c r="D259" s="13" t="str">
        <x:v>버튼</x:v>
      </x:c>
      <x:c r="E259" s="13" t="str">
        <x:v>접근성 가이드라인</x:v>
      </x:c>
      <x:c r="F259" s="13" t="str">
        <x:v>02</x:v>
      </x:c>
      <x:c r="G259" s="13" t="n">
        <x:v>518</x:v>
      </x:c>
      <x:c r="H259" s="13" t="n">
        <x:v>518</x:v>
      </x:c>
      <x:c r="I259" s="13" t="str"/>
      <x:c r="J259" s="13" t="str">
        <x:v>버튼의 기능을 설명할 수 있는 텍스트 레이블이 있는 아이콘 버튼에 대체 텍스트를 제공하지 않는다.</x:v>
      </x:c>
      <x:c r="K259" s="13" t="str">
        <x:v>UI-041</x:v>
      </x:c>
      <x:c r="L259" s="13" t="str">
        <x:v>추출 후 기본 구조 검토; 원문 적용수준·전체 맥락 재확인 필요</x:v>
      </x:c>
      <x:c r="M259" s="13" t="str">
        <x:v>미확인</x:v>
      </x:c>
    </x:row>
    <x:row r="260" ht="37.5" customHeight="1">
      <x:c r="A260" s="14" t="str">
        <x:v>KRDS-SEC-042-A-03</x:v>
      </x:c>
      <x:c r="B260" s="14" t="str">
        <x:v>컴포넌트</x:v>
      </x:c>
      <x:c r="C260" s="14" t="str">
        <x:v>액션</x:v>
      </x:c>
      <x:c r="D260" s="14" t="str">
        <x:v>버튼</x:v>
      </x:c>
      <x:c r="E260" s="14" t="str">
        <x:v>접근성 가이드라인</x:v>
      </x:c>
      <x:c r="F260" s="14" t="str">
        <x:v>03</x:v>
      </x:c>
      <x:c r="G260" s="14" t="n">
        <x:v>518</x:v>
      </x:c>
      <x:c r="H260" s="14" t="n">
        <x:v>518</x:v>
      </x:c>
      <x:c r="I260" s="14" t="str"/>
      <x:c r="J260" s="14" t="str">
        <x:v>버튼의 접근 가능한 이름은 버튼을 통해 실행되는 기능을 적절하게 설명할 수 있는 내용으로 제공한다.</x:v>
      </x:c>
      <x:c r="K260" s="14" t="str">
        <x:v>UI-041</x:v>
      </x:c>
      <x:c r="L260" s="14" t="str">
        <x:v>추출 후 기본 구조 검토; 원문 적용수준·전체 맥락 재확인 필요</x:v>
      </x:c>
      <x:c r="M260" s="14" t="str">
        <x:v>미확인</x:v>
      </x:c>
    </x:row>
    <x:row r="261" ht="37.5" customHeight="1">
      <x:c r="A261" s="13" t="str">
        <x:v>KRDS-SEC-042-A-04</x:v>
      </x:c>
      <x:c r="B261" s="13" t="str">
        <x:v>컴포넌트</x:v>
      </x:c>
      <x:c r="C261" s="13" t="str">
        <x:v>액션</x:v>
      </x:c>
      <x:c r="D261" s="13" t="str">
        <x:v>버튼</x:v>
      </x:c>
      <x:c r="E261" s="13" t="str">
        <x:v>접근성 가이드라인</x:v>
      </x:c>
      <x:c r="F261" s="13" t="str">
        <x:v>04</x:v>
      </x:c>
      <x:c r="G261" s="13" t="n">
        <x:v>519</x:v>
      </x:c>
      <x:c r="H261" s="13" t="n">
        <x:v>519</x:v>
      </x:c>
      <x:c r="I261" s="13" t="str"/>
      <x:c r="J261" s="13" t="str">
        <x:v>모든 버튼은 키보드로 접근하고 조작할 수 있도록 한다.</x:v>
      </x:c>
      <x:c r="K261" s="13" t="str">
        <x:v>UI-041</x:v>
      </x:c>
      <x:c r="L261" s="13" t="str">
        <x:v>추출 후 기본 구조 검토; 원문 적용수준·전체 맥락 재확인 필요</x:v>
      </x:c>
      <x:c r="M261" s="13" t="str">
        <x:v>미확인</x:v>
      </x:c>
    </x:row>
    <x:row r="262" ht="37.5" customHeight="1">
      <x:c r="A262" s="14" t="str">
        <x:v>KRDS-SEC-042-A-05</x:v>
      </x:c>
      <x:c r="B262" s="14" t="str">
        <x:v>컴포넌트</x:v>
      </x:c>
      <x:c r="C262" s="14" t="str">
        <x:v>액션</x:v>
      </x:c>
      <x:c r="D262" s="14" t="str">
        <x:v>버튼</x:v>
      </x:c>
      <x:c r="E262" s="14" t="str">
        <x:v>접근성 가이드라인</x:v>
      </x:c>
      <x:c r="F262" s="14" t="str">
        <x:v>05</x:v>
      </x:c>
      <x:c r="G262" s="14" t="n">
        <x:v>519</x:v>
      </x:c>
      <x:c r="H262" s="14" t="n">
        <x:v>519</x:v>
      </x:c>
      <x:c r="I262" s="14" t="str"/>
      <x:c r="J262" s="14" t="str">
        <x:v>버튼의 키보드 초점이 명확하게 표시되도록 한다.</x:v>
      </x:c>
      <x:c r="K262" s="14" t="str">
        <x:v>UI-041</x:v>
      </x:c>
      <x:c r="L262" s="14" t="str">
        <x:v>추출 후 기본 구조 검토; 원문 적용수준·전체 맥락 재확인 필요</x:v>
      </x:c>
      <x:c r="M262" s="14" t="str">
        <x:v>미확인</x:v>
      </x:c>
    </x:row>
    <x:row r="263" ht="37.5" customHeight="1">
      <x:c r="A263" s="13" t="str">
        <x:v>KRDS-SEC-042-A-06</x:v>
      </x:c>
      <x:c r="B263" s="13" t="str">
        <x:v>컴포넌트</x:v>
      </x:c>
      <x:c r="C263" s="13" t="str">
        <x:v>액션</x:v>
      </x:c>
      <x:c r="D263" s="13" t="str">
        <x:v>버튼</x:v>
      </x:c>
      <x:c r="E263" s="13" t="str">
        <x:v>접근성 가이드라인</x:v>
      </x:c>
      <x:c r="F263" s="13" t="str">
        <x:v>06</x:v>
      </x:c>
      <x:c r="G263" s="13" t="n">
        <x:v>519</x:v>
      </x:c>
      <x:c r="H263" s="13" t="n">
        <x:v>519</x:v>
      </x:c>
      <x:c r="I263" s="13" t="str"/>
      <x:c r="J263" s="13" t="str">
        <x:v>버튼으로 작동하는 모든 요소는 스크린 리더에서 버튼으로 인지될 수 있도록 한다.</x:v>
      </x:c>
      <x:c r="K263" s="13" t="str">
        <x:v>UI-041</x:v>
      </x:c>
      <x:c r="L263" s="13" t="str">
        <x:v>추출 후 기본 구조 검토; 원문 적용수준·전체 맥락 재확인 필요</x:v>
      </x:c>
      <x:c r="M263" s="13" t="str">
        <x:v>미확인</x:v>
      </x:c>
    </x:row>
    <x:row r="264" ht="37.5" customHeight="1">
      <x:c r="A264" s="14" t="str">
        <x:v>KRDS-SEC-042-A-07</x:v>
      </x:c>
      <x:c r="B264" s="14" t="str">
        <x:v>컴포넌트</x:v>
      </x:c>
      <x:c r="C264" s="14" t="str">
        <x:v>액션</x:v>
      </x:c>
      <x:c r="D264" s="14" t="str">
        <x:v>버튼</x:v>
      </x:c>
      <x:c r="E264" s="14" t="str">
        <x:v>접근성 가이드라인</x:v>
      </x:c>
      <x:c r="F264" s="14" t="str">
        <x:v>07</x:v>
      </x:c>
      <x:c r="G264" s="14" t="n">
        <x:v>520</x:v>
      </x:c>
      <x:c r="H264" s="14" t="n">
        <x:v>520</x:v>
      </x:c>
      <x:c r="I264" s="14" t="str"/>
      <x:c r="J264" s="14" t="str">
        <x:v>버튼을 적절한 크기로 제공한다.</x:v>
      </x:c>
      <x:c r="K264" s="14" t="str">
        <x:v>UI-041</x:v>
      </x:c>
      <x:c r="L264" s="14" t="str">
        <x:v>추출 후 기본 구조 검토; 원문 적용수준·전체 맥락 재확인 필요</x:v>
      </x:c>
      <x:c r="M264" s="14" t="str">
        <x:v>미확인</x:v>
      </x:c>
    </x:row>
    <x:row r="265" ht="37.5" customHeight="1">
      <x:c r="A265" s="13" t="str">
        <x:v>KRDS-SEC-043-U-01</x:v>
      </x:c>
      <x:c r="B265" s="13" t="str">
        <x:v>컴포넌트</x:v>
      </x:c>
      <x:c r="C265" s="13" t="str">
        <x:v>선택</x:v>
      </x:c>
      <x:c r="D265" s="13" t="str">
        <x:v>라디오 버튼</x:v>
      </x:c>
      <x:c r="E265" s="13" t="str">
        <x:v>사용성 가이드라인</x:v>
      </x:c>
      <x:c r="F265" s="13" t="str">
        <x:v>01</x:v>
      </x:c>
      <x:c r="G265" s="13" t="n">
        <x:v>526</x:v>
      </x:c>
      <x:c r="H265" s="13" t="n">
        <x:v>526</x:v>
      </x:c>
      <x:c r="I265" s="13" t="str">
        <x:v>527</x:v>
      </x:c>
      <x:c r="J265" s="13" t="str">
        <x:v>기본적으로 라디오 버튼의 옵션은 가나다순으로 정렬한다.</x:v>
      </x:c>
      <x:c r="K265" s="13" t="str">
        <x:v>UI-042</x:v>
      </x:c>
      <x:c r="L265" s="13" t="str">
        <x:v>추출 후 기본 구조 검토; 원문 적용수준·전체 맥락 재확인 필요</x:v>
      </x:c>
      <x:c r="M265" s="13" t="str">
        <x:v>미확인</x:v>
      </x:c>
    </x:row>
    <x:row r="266" ht="37.5" customHeight="1">
      <x:c r="A266" s="14" t="str">
        <x:v>KRDS-SEC-043-U-02</x:v>
      </x:c>
      <x:c r="B266" s="14" t="str">
        <x:v>컴포넌트</x:v>
      </x:c>
      <x:c r="C266" s="14" t="str">
        <x:v>선택</x:v>
      </x:c>
      <x:c r="D266" s="14" t="str">
        <x:v>라디오 버튼</x:v>
      </x:c>
      <x:c r="E266" s="14" t="str">
        <x:v>사용성 가이드라인</x:v>
      </x:c>
      <x:c r="F266" s="14" t="str">
        <x:v>02</x:v>
      </x:c>
      <x:c r="G266" s="14" t="n">
        <x:v>526</x:v>
      </x:c>
      <x:c r="H266" s="14" t="n">
        <x:v>526</x:v>
      </x:c>
      <x:c r="I266" s="14" t="str">
        <x:v>528</x:v>
      </x:c>
      <x:c r="J266" s="14" t="str">
        <x:v>라디오 버튼은 수직으로, 라디오 버튼의 레이블은 양식의 오른쪽에 배치한다.</x:v>
      </x:c>
      <x:c r="K266" s="14" t="str">
        <x:v>UI-042</x:v>
      </x:c>
      <x:c r="L266" s="14" t="str">
        <x:v>추출 후 기본 구조 검토; 원문 적용수준·전체 맥락 재확인 필요</x:v>
      </x:c>
      <x:c r="M266" s="14" t="str">
        <x:v>미확인</x:v>
      </x:c>
    </x:row>
    <x:row r="267" ht="37.5" customHeight="1">
      <x:c r="A267" s="13" t="str">
        <x:v>KRDS-SEC-043-U-03</x:v>
      </x:c>
      <x:c r="B267" s="13" t="str">
        <x:v>컴포넌트</x:v>
      </x:c>
      <x:c r="C267" s="13" t="str">
        <x:v>선택</x:v>
      </x:c>
      <x:c r="D267" s="13" t="str">
        <x:v>라디오 버튼</x:v>
      </x:c>
      <x:c r="E267" s="13" t="str">
        <x:v>사용성 가이드라인</x:v>
      </x:c>
      <x:c r="F267" s="13" t="str">
        <x:v>03</x:v>
      </x:c>
      <x:c r="G267" s="13" t="n">
        <x:v>526</x:v>
      </x:c>
      <x:c r="H267" s="13" t="n">
        <x:v>526</x:v>
      </x:c>
      <x:c r="I267" s="13" t="str">
        <x:v>529</x:v>
      </x:c>
      <x:c r="J267" s="13" t="str">
        <x:v>라디오 버튼을 수평으로 배치하는 경우 버튼 간 간격을 충분히 제공한다.</x:v>
      </x:c>
      <x:c r="K267" s="13" t="str">
        <x:v>UI-042</x:v>
      </x:c>
      <x:c r="L267" s="13" t="str">
        <x:v>추출 후 기본 구조 검토; 원문 적용수준·전체 맥락 재확인 필요</x:v>
      </x:c>
      <x:c r="M267" s="13" t="str">
        <x:v>미확인</x:v>
      </x:c>
    </x:row>
    <x:row r="268" ht="37.5" customHeight="1">
      <x:c r="A268" s="14" t="str">
        <x:v>KRDS-SEC-043-U-04</x:v>
      </x:c>
      <x:c r="B268" s="14" t="str">
        <x:v>컴포넌트</x:v>
      </x:c>
      <x:c r="C268" s="14" t="str">
        <x:v>선택</x:v>
      </x:c>
      <x:c r="D268" s="14" t="str">
        <x:v>라디오 버튼</x:v>
      </x:c>
      <x:c r="E268" s="14" t="str">
        <x:v>사용성 가이드라인</x:v>
      </x:c>
      <x:c r="F268" s="14" t="str">
        <x:v>04</x:v>
      </x:c>
      <x:c r="G268" s="14" t="n">
        <x:v>526</x:v>
      </x:c>
      <x:c r="H268" s="14" t="n">
        <x:v>526</x:v>
      </x:c>
      <x:c r="I268" s="14" t="str">
        <x:v>530</x:v>
      </x:c>
      <x:c r="J268" s="14" t="str">
        <x:v>라디오 버튼의 레이블은 분명하고 정확하게 제공한다.</x:v>
      </x:c>
      <x:c r="K268" s="14" t="str">
        <x:v>UI-042</x:v>
      </x:c>
      <x:c r="L268" s="14" t="str">
        <x:v>추출 후 기본 구조 검토; 원문 적용수준·전체 맥락 재확인 필요</x:v>
      </x:c>
      <x:c r="M268" s="14" t="str">
        <x:v>미확인</x:v>
      </x:c>
    </x:row>
    <x:row r="269" ht="37.5" customHeight="1">
      <x:c r="A269" s="13" t="str">
        <x:v>KRDS-SEC-043-U-05</x:v>
      </x:c>
      <x:c r="B269" s="13" t="str">
        <x:v>컴포넌트</x:v>
      </x:c>
      <x:c r="C269" s="13" t="str">
        <x:v>선택</x:v>
      </x:c>
      <x:c r="D269" s="13" t="str">
        <x:v>라디오 버튼</x:v>
      </x:c>
      <x:c r="E269" s="13" t="str">
        <x:v>사용성 가이드라인</x:v>
      </x:c>
      <x:c r="F269" s="13" t="str">
        <x:v>05</x:v>
      </x:c>
      <x:c r="G269" s="13" t="n">
        <x:v>526</x:v>
      </x:c>
      <x:c r="H269" s="13" t="n">
        <x:v>526</x:v>
      </x:c>
      <x:c r="I269" s="13" t="str">
        <x:v>531</x:v>
      </x:c>
      <x:c r="J269" s="13" t="str">
        <x:v>사용자가 정확한 값을 입력하는 것이 중요한 경우 라디오 버튼의 특정 옵션을 기본 선택값으로 제공하지 않아야 한다.</x:v>
      </x:c>
      <x:c r="K269" s="13" t="str">
        <x:v>UI-042</x:v>
      </x:c>
      <x:c r="L269" s="13" t="str">
        <x:v>추출 후 기본 구조 검토; 원문 적용수준·전체 맥락 재확인 필요</x:v>
      </x:c>
      <x:c r="M269" s="13" t="str">
        <x:v>미확인</x:v>
      </x:c>
    </x:row>
    <x:row r="270" ht="37.5" customHeight="1">
      <x:c r="A270" s="14" t="str">
        <x:v>KRDS-SEC-043-U-06</x:v>
      </x:c>
      <x:c r="B270" s="14" t="str">
        <x:v>컴포넌트</x:v>
      </x:c>
      <x:c r="C270" s="14" t="str">
        <x:v>선택</x:v>
      </x:c>
      <x:c r="D270" s="14" t="str">
        <x:v>라디오 버튼</x:v>
      </x:c>
      <x:c r="E270" s="14" t="str">
        <x:v>사용성 가이드라인</x:v>
      </x:c>
      <x:c r="F270" s="14" t="str">
        <x:v>06</x:v>
      </x:c>
      <x:c r="G270" s="14" t="n">
        <x:v>526</x:v>
      </x:c>
      <x:c r="H270" s="14" t="n">
        <x:v>526</x:v>
      </x:c>
      <x:c r="I270" s="14" t="str">
        <x:v>532</x:v>
      </x:c>
      <x:c r="J270" s="14" t="str">
        <x:v>'해당 없음', '잘 모름' 옵션 제공을 고려한다.</x:v>
      </x:c>
      <x:c r="K270" s="14" t="str">
        <x:v>UI-042</x:v>
      </x:c>
      <x:c r="L270" s="14" t="str">
        <x:v>추출 후 기본 구조 검토; 원문 적용수준·전체 맥락 재확인 필요</x:v>
      </x:c>
      <x:c r="M270" s="14" t="str">
        <x:v>미확인</x:v>
      </x:c>
    </x:row>
    <x:row r="271" ht="37.5" customHeight="1">
      <x:c r="A271" s="13" t="str">
        <x:v>KRDS-SEC-043-A-01</x:v>
      </x:c>
      <x:c r="B271" s="13" t="str">
        <x:v>컴포넌트</x:v>
      </x:c>
      <x:c r="C271" s="13" t="str">
        <x:v>선택</x:v>
      </x:c>
      <x:c r="D271" s="13" t="str">
        <x:v>라디오 버튼</x:v>
      </x:c>
      <x:c r="E271" s="13" t="str">
        <x:v>접근성 가이드라인</x:v>
      </x:c>
      <x:c r="F271" s="13" t="str">
        <x:v>01</x:v>
      </x:c>
      <x:c r="G271" s="13" t="n">
        <x:v>533</x:v>
      </x:c>
      <x:c r="H271" s="13" t="n">
        <x:v>533</x:v>
      </x:c>
      <x:c r="I271" s="13" t="str"/>
      <x:c r="J271" s="13" t="str">
        <x:v>버튼 양식과 인접 배경 간 명도 대비를 3:1 이상으로 표현한다.</x:v>
      </x:c>
      <x:c r="K271" s="13" t="str">
        <x:v>UI-042</x:v>
      </x:c>
      <x:c r="L271" s="13" t="str">
        <x:v>추출 후 기본 구조 검토; 원문 적용수준·전체 맥락 재확인 필요</x:v>
      </x:c>
      <x:c r="M271" s="13" t="str">
        <x:v>미확인</x:v>
      </x:c>
    </x:row>
    <x:row r="272" ht="37.5" customHeight="1">
      <x:c r="A272" s="14" t="str">
        <x:v>KRDS-SEC-043-A-02</x:v>
      </x:c>
      <x:c r="B272" s="14" t="str">
        <x:v>컴포넌트</x:v>
      </x:c>
      <x:c r="C272" s="14" t="str">
        <x:v>선택</x:v>
      </x:c>
      <x:c r="D272" s="14" t="str">
        <x:v>라디오 버튼</x:v>
      </x:c>
      <x:c r="E272" s="14" t="str">
        <x:v>접근성 가이드라인</x:v>
      </x:c>
      <x:c r="F272" s="14" t="str">
        <x:v>02</x:v>
      </x:c>
      <x:c r="G272" s="14" t="n">
        <x:v>534</x:v>
      </x:c>
      <x:c r="H272" s="14" t="n">
        <x:v>534</x:v>
      </x:c>
      <x:c r="I272" s="14" t="str"/>
      <x:c r="J272" s="14" t="str">
        <x:v>버튼 양식의 선택 상태를 색상으로만 구분하지 않는다.</x:v>
      </x:c>
      <x:c r="K272" s="14" t="str">
        <x:v>UI-042</x:v>
      </x:c>
      <x:c r="L272" s="14" t="str">
        <x:v>추출 후 기본 구조 검토; 원문 적용수준·전체 맥락 재확인 필요</x:v>
      </x:c>
      <x:c r="M272" s="14" t="str">
        <x:v>미확인</x:v>
      </x:c>
    </x:row>
    <x:row r="273" ht="37.5" customHeight="1">
      <x:c r="A273" s="13" t="str">
        <x:v>KRDS-SEC-043-A-03</x:v>
      </x:c>
      <x:c r="B273" s="13" t="str">
        <x:v>컴포넌트</x:v>
      </x:c>
      <x:c r="C273" s="13" t="str">
        <x:v>선택</x:v>
      </x:c>
      <x:c r="D273" s="13" t="str">
        <x:v>라디오 버튼</x:v>
      </x:c>
      <x:c r="E273" s="13" t="str">
        <x:v>접근성 가이드라인</x:v>
      </x:c>
      <x:c r="F273" s="13" t="str">
        <x:v>03</x:v>
      </x:c>
      <x:c r="G273" s="13" t="n">
        <x:v>535</x:v>
      </x:c>
      <x:c r="H273" s="13" t="n">
        <x:v>535</x:v>
      </x:c>
      <x:c r="I273" s="13" t="str"/>
      <x:c r="J273" s="13" t="str">
        <x:v>라디오 버튼을 키보드로 탐색하고 실행할 수 있도록 한다.</x:v>
      </x:c>
      <x:c r="K273" s="13" t="str">
        <x:v>UI-042</x:v>
      </x:c>
      <x:c r="L273" s="13" t="str">
        <x:v>추출 후 기본 구조 검토; 원문 적용수준·전체 맥락 재확인 필요</x:v>
      </x:c>
      <x:c r="M273" s="13" t="str">
        <x:v>미확인</x:v>
      </x:c>
    </x:row>
    <x:row r="274" ht="37.5" customHeight="1">
      <x:c r="A274" s="14" t="str">
        <x:v>KRDS-SEC-043-A-04</x:v>
      </x:c>
      <x:c r="B274" s="14" t="str">
        <x:v>컴포넌트</x:v>
      </x:c>
      <x:c r="C274" s="14" t="str">
        <x:v>선택</x:v>
      </x:c>
      <x:c r="D274" s="14" t="str">
        <x:v>라디오 버튼</x:v>
      </x:c>
      <x:c r="E274" s="14" t="str">
        <x:v>접근성 가이드라인</x:v>
      </x:c>
      <x:c r="F274" s="14" t="str">
        <x:v>04</x:v>
      </x:c>
      <x:c r="G274" s="14" t="n">
        <x:v>535</x:v>
      </x:c>
      <x:c r="H274" s="14" t="n">
        <x:v>535</x:v>
      </x:c>
      <x:c r="I274" s="14" t="str"/>
      <x:c r="J274" s="14" t="str">
        <x:v>라디오 버튼에 키보드 초점이 명확하게 표시되도록 한다.</x:v>
      </x:c>
      <x:c r="K274" s="14" t="str">
        <x:v>UI-042</x:v>
      </x:c>
      <x:c r="L274" s="14" t="str">
        <x:v>추출 후 기본 구조 검토; 원문 적용수준·전체 맥락 재확인 필요</x:v>
      </x:c>
      <x:c r="M274" s="14" t="str">
        <x:v>미확인</x:v>
      </x:c>
    </x:row>
    <x:row r="275" ht="37.5" customHeight="1">
      <x:c r="A275" s="13" t="str">
        <x:v>KRDS-SEC-043-A-05</x:v>
      </x:c>
      <x:c r="B275" s="13" t="str">
        <x:v>컴포넌트</x:v>
      </x:c>
      <x:c r="C275" s="13" t="str">
        <x:v>선택</x:v>
      </x:c>
      <x:c r="D275" s="13" t="str">
        <x:v>라디오 버튼</x:v>
      </x:c>
      <x:c r="E275" s="13" t="str">
        <x:v>접근성 가이드라인</x:v>
      </x:c>
      <x:c r="F275" s="13" t="str">
        <x:v>05</x:v>
      </x:c>
      <x:c r="G275" s="13" t="n">
        <x:v>536</x:v>
      </x:c>
      <x:c r="H275" s="13" t="n">
        <x:v>536</x:v>
      </x:c>
      <x:c r="I275" s="13" t="str"/>
      <x:c r="J275" s="13" t="str">
        <x:v>라디오 버튼에 접근 가능한 이름을 제공한다.</x:v>
      </x:c>
      <x:c r="K275" s="13" t="str">
        <x:v>UI-042</x:v>
      </x:c>
      <x:c r="L275" s="13" t="str">
        <x:v>추출 후 기본 구조 검토; 원문 적용수준·전체 맥락 재확인 필요</x:v>
      </x:c>
      <x:c r="M275" s="13" t="str">
        <x:v>미확인</x:v>
      </x:c>
    </x:row>
    <x:row r="276" ht="37.5" customHeight="1">
      <x:c r="A276" s="14" t="str">
        <x:v>KRDS-SEC-043-A-06</x:v>
      </x:c>
      <x:c r="B276" s="14" t="str">
        <x:v>컴포넌트</x:v>
      </x:c>
      <x:c r="C276" s="14" t="str">
        <x:v>선택</x:v>
      </x:c>
      <x:c r="D276" s="14" t="str">
        <x:v>라디오 버튼</x:v>
      </x:c>
      <x:c r="E276" s="14" t="str">
        <x:v>접근성 가이드라인</x:v>
      </x:c>
      <x:c r="F276" s="14" t="str">
        <x:v>06</x:v>
      </x:c>
      <x:c r="G276" s="14" t="n">
        <x:v>536</x:v>
      </x:c>
      <x:c r="H276" s="14" t="n">
        <x:v>536</x:v>
      </x:c>
      <x:c r="I276" s="14" t="str"/>
      <x:c r="J276" s="14" t="str">
        <x:v>스크린 리더에서 그룹 레이블과 라디오 버튼 그룹의 관계를 확인할 수 있도록 한다.</x:v>
      </x:c>
      <x:c r="K276" s="14" t="str">
        <x:v>UI-042</x:v>
      </x:c>
      <x:c r="L276" s="14" t="str">
        <x:v>추출 후 기본 구조 검토; 원문 적용수준·전체 맥락 재확인 필요</x:v>
      </x:c>
      <x:c r="M276" s="14" t="str">
        <x:v>미확인</x:v>
      </x:c>
    </x:row>
    <x:row r="277" ht="37.5" customHeight="1">
      <x:c r="A277" s="13" t="str">
        <x:v>KRDS-SEC-044-U-01</x:v>
      </x:c>
      <x:c r="B277" s="13" t="str">
        <x:v>컴포넌트</x:v>
      </x:c>
      <x:c r="C277" s="13" t="str">
        <x:v>선택</x:v>
      </x:c>
      <x:c r="D277" s="13" t="str">
        <x:v>체크박스</x:v>
      </x:c>
      <x:c r="E277" s="13" t="str">
        <x:v>사용성 가이드라인</x:v>
      </x:c>
      <x:c r="F277" s="13" t="str">
        <x:v>01</x:v>
      </x:c>
      <x:c r="G277" s="13" t="n">
        <x:v>541</x:v>
      </x:c>
      <x:c r="H277" s="13" t="n">
        <x:v>541</x:v>
      </x:c>
      <x:c r="I277" s="13" t="str">
        <x:v>542</x:v>
      </x:c>
      <x:c r="J277" s="13" t="str">
        <x:v>기본적으로 체크박스의 옵션은 가나다순으로 정렬한다.</x:v>
      </x:c>
      <x:c r="K277" s="13" t="str">
        <x:v>UI-043, UI-107</x:v>
      </x:c>
      <x:c r="L277" s="13" t="str">
        <x:v>추출 후 기본 구조 검토; 원문 적용수준·전체 맥락 재확인 필요</x:v>
      </x:c>
      <x:c r="M277" s="13" t="str">
        <x:v>미확인</x:v>
      </x:c>
    </x:row>
    <x:row r="278" ht="37.5" customHeight="1">
      <x:c r="A278" s="14" t="str">
        <x:v>KRDS-SEC-044-U-02</x:v>
      </x:c>
      <x:c r="B278" s="14" t="str">
        <x:v>컴포넌트</x:v>
      </x:c>
      <x:c r="C278" s="14" t="str">
        <x:v>선택</x:v>
      </x:c>
      <x:c r="D278" s="14" t="str">
        <x:v>체크박스</x:v>
      </x:c>
      <x:c r="E278" s="14" t="str">
        <x:v>사용성 가이드라인</x:v>
      </x:c>
      <x:c r="F278" s="14" t="str">
        <x:v>02</x:v>
      </x:c>
      <x:c r="G278" s="14" t="n">
        <x:v>541</x:v>
      </x:c>
      <x:c r="H278" s="14" t="n">
        <x:v>541</x:v>
      </x:c>
      <x:c r="I278" s="14" t="str">
        <x:v>543</x:v>
      </x:c>
      <x:c r="J278" s="14" t="str">
        <x:v>체크박스는 수직으로, 체크박스 레이블은 양식의 오른쪽에 배치한다.</x:v>
      </x:c>
      <x:c r="K278" s="14" t="str">
        <x:v>UI-043, UI-107</x:v>
      </x:c>
      <x:c r="L278" s="14" t="str">
        <x:v>추출 후 기본 구조 검토; 원문 적용수준·전체 맥락 재확인 필요</x:v>
      </x:c>
      <x:c r="M278" s="14" t="str">
        <x:v>미확인</x:v>
      </x:c>
    </x:row>
    <x:row r="279" ht="37.5" customHeight="1">
      <x:c r="A279" s="13" t="str">
        <x:v>KRDS-SEC-044-U-03</x:v>
      </x:c>
      <x:c r="B279" s="13" t="str">
        <x:v>컴포넌트</x:v>
      </x:c>
      <x:c r="C279" s="13" t="str">
        <x:v>선택</x:v>
      </x:c>
      <x:c r="D279" s="13" t="str">
        <x:v>체크박스</x:v>
      </x:c>
      <x:c r="E279" s="13" t="str">
        <x:v>사용성 가이드라인</x:v>
      </x:c>
      <x:c r="F279" s="13" t="str">
        <x:v>03</x:v>
      </x:c>
      <x:c r="G279" s="13" t="n">
        <x:v>541</x:v>
      </x:c>
      <x:c r="H279" s="13" t="n">
        <x:v>541</x:v>
      </x:c>
      <x:c r="I279" s="13" t="str">
        <x:v>544</x:v>
      </x:c>
      <x:c r="J279" s="13" t="str">
        <x:v>체크박스의 레이블은 분명하고 정확하게 제공한다.</x:v>
      </x:c>
      <x:c r="K279" s="13" t="str">
        <x:v>UI-043, UI-107</x:v>
      </x:c>
      <x:c r="L279" s="13" t="str">
        <x:v>추출 후 기본 구조 검토; 원문 적용수준·전체 맥락 재확인 필요</x:v>
      </x:c>
      <x:c r="M279" s="13" t="str">
        <x:v>미확인</x:v>
      </x:c>
    </x:row>
    <x:row r="280" ht="37.5" customHeight="1">
      <x:c r="A280" s="14" t="str">
        <x:v>KRDS-SEC-044-U-04</x:v>
      </x:c>
      <x:c r="B280" s="14" t="str">
        <x:v>컴포넌트</x:v>
      </x:c>
      <x:c r="C280" s="14" t="str">
        <x:v>선택</x:v>
      </x:c>
      <x:c r="D280" s="14" t="str">
        <x:v>체크박스</x:v>
      </x:c>
      <x:c r="E280" s="14" t="str">
        <x:v>사용성 가이드라인</x:v>
      </x:c>
      <x:c r="F280" s="14" t="str">
        <x:v>04</x:v>
      </x:c>
      <x:c r="G280" s="14" t="n">
        <x:v>541</x:v>
      </x:c>
      <x:c r="H280" s="14" t="n">
        <x:v>541</x:v>
      </x:c>
      <x:c r="I280" s="14" t="str">
        <x:v>545</x:v>
      </x:c>
      <x:c r="J280" s="14" t="str">
        <x:v>전체 선택 옵션이 제공되는 경우 중간 상태를 명확하게 표현한다.</x:v>
      </x:c>
      <x:c r="K280" s="14" t="str">
        <x:v>UI-043, UI-107</x:v>
      </x:c>
      <x:c r="L280" s="14" t="str">
        <x:v>추출 후 기본 구조 검토; 원문 적용수준·전체 맥락 재확인 필요</x:v>
      </x:c>
      <x:c r="M280" s="14" t="str">
        <x:v>미확인</x:v>
      </x:c>
    </x:row>
    <x:row r="281" ht="37.5" customHeight="1">
      <x:c r="A281" s="13" t="str">
        <x:v>KRDS-SEC-044-A-01</x:v>
      </x:c>
      <x:c r="B281" s="13" t="str">
        <x:v>컴포넌트</x:v>
      </x:c>
      <x:c r="C281" s="13" t="str">
        <x:v>선택</x:v>
      </x:c>
      <x:c r="D281" s="13" t="str">
        <x:v>체크박스</x:v>
      </x:c>
      <x:c r="E281" s="13" t="str">
        <x:v>접근성 가이드라인</x:v>
      </x:c>
      <x:c r="F281" s="13" t="str">
        <x:v>01</x:v>
      </x:c>
      <x:c r="G281" s="13" t="n">
        <x:v>546</x:v>
      </x:c>
      <x:c r="H281" s="13" t="n">
        <x:v>546</x:v>
      </x:c>
      <x:c r="I281" s="13" t="str"/>
      <x:c r="J281" s="13" t="str">
        <x:v>체크박스, 아이콘과 인접 배경 간 명도 대비를 3:1 이상으로 표현한다.</x:v>
      </x:c>
      <x:c r="K281" s="13" t="str">
        <x:v>UI-043, UI-107</x:v>
      </x:c>
      <x:c r="L281" s="13" t="str">
        <x:v>추출 후 기본 구조 검토; 원문 적용수준·전체 맥락 재확인 필요</x:v>
      </x:c>
      <x:c r="M281" s="13" t="str">
        <x:v>미확인</x:v>
      </x:c>
    </x:row>
    <x:row r="282" ht="37.5" customHeight="1">
      <x:c r="A282" s="14" t="str">
        <x:v>KRDS-SEC-044-A-02</x:v>
      </x:c>
      <x:c r="B282" s="14" t="str">
        <x:v>컴포넌트</x:v>
      </x:c>
      <x:c r="C282" s="14" t="str">
        <x:v>선택</x:v>
      </x:c>
      <x:c r="D282" s="14" t="str">
        <x:v>체크박스</x:v>
      </x:c>
      <x:c r="E282" s="14" t="str">
        <x:v>접근성 가이드라인</x:v>
      </x:c>
      <x:c r="F282" s="14" t="str">
        <x:v>02</x:v>
      </x:c>
      <x:c r="G282" s="14" t="n">
        <x:v>547</x:v>
      </x:c>
      <x:c r="H282" s="14" t="n">
        <x:v>547</x:v>
      </x:c>
      <x:c r="I282" s="14" t="str"/>
      <x:c r="J282" s="14" t="str">
        <x:v>체크박스의 선택 상태를 색상으로만 구분하지 않는다.</x:v>
      </x:c>
      <x:c r="K282" s="14" t="str">
        <x:v>UI-043, UI-107</x:v>
      </x:c>
      <x:c r="L282" s="14" t="str">
        <x:v>추출 후 기본 구조 검토; 원문 적용수준·전체 맥락 재확인 필요</x:v>
      </x:c>
      <x:c r="M282" s="14" t="str">
        <x:v>미확인</x:v>
      </x:c>
    </x:row>
    <x:row r="283" ht="37.5" customHeight="1">
      <x:c r="A283" s="13" t="str">
        <x:v>KRDS-SEC-044-A-03</x:v>
      </x:c>
      <x:c r="B283" s="13" t="str">
        <x:v>컴포넌트</x:v>
      </x:c>
      <x:c r="C283" s="13" t="str">
        <x:v>선택</x:v>
      </x:c>
      <x:c r="D283" s="13" t="str">
        <x:v>체크박스</x:v>
      </x:c>
      <x:c r="E283" s="13" t="str">
        <x:v>접근성 가이드라인</x:v>
      </x:c>
      <x:c r="F283" s="13" t="str">
        <x:v>03</x:v>
      </x:c>
      <x:c r="G283" s="13" t="n">
        <x:v>548</x:v>
      </x:c>
      <x:c r="H283" s="13" t="n">
        <x:v>548</x:v>
      </x:c>
      <x:c r="I283" s="13" t="str"/>
      <x:c r="J283" s="13" t="str">
        <x:v>체크박스를 키보드로 탐색하고 실행할 수 있도록 한다.</x:v>
      </x:c>
      <x:c r="K283" s="13" t="str">
        <x:v>UI-043, UI-107</x:v>
      </x:c>
      <x:c r="L283" s="13" t="str">
        <x:v>추출 후 기본 구조 검토; 원문 적용수준·전체 맥락 재확인 필요</x:v>
      </x:c>
      <x:c r="M283" s="13" t="str">
        <x:v>미확인</x:v>
      </x:c>
    </x:row>
    <x:row r="284" ht="37.5" customHeight="1">
      <x:c r="A284" s="14" t="str">
        <x:v>KRDS-SEC-044-A-04</x:v>
      </x:c>
      <x:c r="B284" s="14" t="str">
        <x:v>컴포넌트</x:v>
      </x:c>
      <x:c r="C284" s="14" t="str">
        <x:v>선택</x:v>
      </x:c>
      <x:c r="D284" s="14" t="str">
        <x:v>체크박스</x:v>
      </x:c>
      <x:c r="E284" s="14" t="str">
        <x:v>접근성 가이드라인</x:v>
      </x:c>
      <x:c r="F284" s="14" t="str">
        <x:v>04</x:v>
      </x:c>
      <x:c r="G284" s="14" t="n">
        <x:v>548</x:v>
      </x:c>
      <x:c r="H284" s="14" t="n">
        <x:v>548</x:v>
      </x:c>
      <x:c r="I284" s="14" t="str"/>
      <x:c r="J284" s="14" t="str">
        <x:v>체크박스에 키보드 초점이 명확하게 표시되도록 한다.</x:v>
      </x:c>
      <x:c r="K284" s="14" t="str">
        <x:v>UI-043, UI-107</x:v>
      </x:c>
      <x:c r="L284" s="14" t="str">
        <x:v>추출 후 기본 구조 검토; 원문 적용수준·전체 맥락 재확인 필요</x:v>
      </x:c>
      <x:c r="M284" s="14" t="str">
        <x:v>미확인</x:v>
      </x:c>
    </x:row>
    <x:row r="285" ht="37.5" customHeight="1">
      <x:c r="A285" s="13" t="str">
        <x:v>KRDS-SEC-044-U-05</x:v>
      </x:c>
      <x:c r="B285" s="13" t="str">
        <x:v>컴포넌트</x:v>
      </x:c>
      <x:c r="C285" s="13" t="str">
        <x:v>선택</x:v>
      </x:c>
      <x:c r="D285" s="13" t="str">
        <x:v>체크박스</x:v>
      </x:c>
      <x:c r="E285" s="13" t="str">
        <x:v>사용성 가이드라인</x:v>
      </x:c>
      <x:c r="F285" s="13" t="str">
        <x:v>05</x:v>
      </x:c>
      <x:c r="G285" s="13" t="n">
        <x:v>549</x:v>
      </x:c>
      <x:c r="H285" s="13" t="n">
        <x:v>549</x:v>
      </x:c>
      <x:c r="I285" s="13" t="str"/>
      <x:c r="J285" s="13" t="str">
        <x:v>체크박스에 접근 가능한 이름을 제공한다.</x:v>
      </x:c>
      <x:c r="K285" s="13" t="str">
        <x:v>UI-043, UI-107</x:v>
      </x:c>
      <x:c r="L285" s="13" t="str">
        <x:v>추출 후 기본 구조 검토; 원문 적용수준·전체 맥락 재확인 필요</x:v>
      </x:c>
      <x:c r="M285" s="13" t="str">
        <x:v>미확인</x:v>
      </x:c>
    </x:row>
    <x:row r="286" ht="37.5" customHeight="1">
      <x:c r="A286" s="14" t="str">
        <x:v>KRDS-SEC-044-U-06</x:v>
      </x:c>
      <x:c r="B286" s="14" t="str">
        <x:v>컴포넌트</x:v>
      </x:c>
      <x:c r="C286" s="14" t="str">
        <x:v>선택</x:v>
      </x:c>
      <x:c r="D286" s="14" t="str">
        <x:v>체크박스</x:v>
      </x:c>
      <x:c r="E286" s="14" t="str">
        <x:v>사용성 가이드라인</x:v>
      </x:c>
      <x:c r="F286" s="14" t="str">
        <x:v>06</x:v>
      </x:c>
      <x:c r="G286" s="14" t="n">
        <x:v>549</x:v>
      </x:c>
      <x:c r="H286" s="14" t="n">
        <x:v>549</x:v>
      </x:c>
      <x:c r="I286" s="14" t="str"/>
      <x:c r="J286" s="14" t="str">
        <x:v>스크린 리더에서 그룹 레이블과 체크박스 그룹의 관계를 확인할 수 있도록 한다.</x:v>
      </x:c>
      <x:c r="K286" s="14" t="str">
        <x:v>UI-043, UI-107</x:v>
      </x:c>
      <x:c r="L286" s="14" t="str">
        <x:v>추출 후 기본 구조 검토; 원문 적용수준·전체 맥락 재확인 필요</x:v>
      </x:c>
      <x:c r="M286" s="14" t="str">
        <x:v>미확인</x:v>
      </x:c>
    </x:row>
    <x:row r="287" ht="37.5" customHeight="1">
      <x:c r="A287" s="13" t="str">
        <x:v>KRDS-SEC-045-U-01</x:v>
      </x:c>
      <x:c r="B287" s="13" t="str">
        <x:v>컴포넌트</x:v>
      </x:c>
      <x:c r="C287" s="13" t="str">
        <x:v>선택</x:v>
      </x:c>
      <x:c r="D287" s="13" t="str">
        <x:v>셀렉트</x:v>
      </x:c>
      <x:c r="E287" s="13" t="str">
        <x:v>사용성 가이드라인</x:v>
      </x:c>
      <x:c r="F287" s="13" t="str">
        <x:v>01</x:v>
      </x:c>
      <x:c r="G287" s="13" t="n">
        <x:v>554</x:v>
      </x:c>
      <x:c r="H287" s="13" t="n">
        <x:v>554</x:v>
      </x:c>
      <x:c r="I287" s="13" t="str">
        <x:v>555</x:v>
      </x:c>
      <x:c r="J287" s="13" t="str">
        <x:v>옵션 텍스트를 간결하게 제공한다.</x:v>
      </x:c>
      <x:c r="K287" s="13" t="str">
        <x:v>UI-044, UI-108</x:v>
      </x:c>
      <x:c r="L287" s="13" t="str">
        <x:v>추출 후 기본 구조 검토; 원문 적용수준·전체 맥락 재확인 필요</x:v>
      </x:c>
      <x:c r="M287" s="13" t="str">
        <x:v>미확인</x:v>
      </x:c>
    </x:row>
    <x:row r="288" ht="37.5" customHeight="1">
      <x:c r="A288" s="14" t="str">
        <x:v>KRDS-SEC-045-U-02</x:v>
      </x:c>
      <x:c r="B288" s="14" t="str">
        <x:v>컴포넌트</x:v>
      </x:c>
      <x:c r="C288" s="14" t="str">
        <x:v>선택</x:v>
      </x:c>
      <x:c r="D288" s="14" t="str">
        <x:v>셀렉트</x:v>
      </x:c>
      <x:c r="E288" s="14" t="str">
        <x:v>사용성 가이드라인</x:v>
      </x:c>
      <x:c r="F288" s="14" t="str">
        <x:v>02</x:v>
      </x:c>
      <x:c r="G288" s="14" t="n">
        <x:v>554</x:v>
      </x:c>
      <x:c r="H288" s="14" t="n">
        <x:v>554</x:v>
      </x:c>
      <x:c r="I288" s="14" t="str">
        <x:v>555</x:v>
      </x:c>
      <x:c r="J288" s="14" t="str">
        <x:v>모든 셀렉트에는 레이블을 제공한다.</x:v>
      </x:c>
      <x:c r="K288" s="14" t="str">
        <x:v>UI-044, UI-108</x:v>
      </x:c>
      <x:c r="L288" s="14" t="str">
        <x:v>추출 후 기본 구조 검토; 원문 적용수준·전체 맥락 재확인 필요</x:v>
      </x:c>
      <x:c r="M288" s="14" t="str">
        <x:v>미확인</x:v>
      </x:c>
    </x:row>
    <x:row r="289" ht="37.5" customHeight="1">
      <x:c r="A289" s="13" t="str">
        <x:v>KRDS-SEC-045-U-03</x:v>
      </x:c>
      <x:c r="B289" s="13" t="str">
        <x:v>컴포넌트</x:v>
      </x:c>
      <x:c r="C289" s="13" t="str">
        <x:v>선택</x:v>
      </x:c>
      <x:c r="D289" s="13" t="str">
        <x:v>셀렉트</x:v>
      </x:c>
      <x:c r="E289" s="13" t="str">
        <x:v>사용성 가이드라인</x:v>
      </x:c>
      <x:c r="F289" s="13" t="str">
        <x:v>03</x:v>
      </x:c>
      <x:c r="G289" s="13" t="n">
        <x:v>554</x:v>
      </x:c>
      <x:c r="H289" s="13" t="n">
        <x:v>554</x:v>
      </x:c>
      <x:c r="I289" s="13" t="str">
        <x:v>555</x:v>
      </x:c>
      <x:c r="J289" s="13" t="str">
        <x:v>셀렉트의 값을 변경하였을 때 폼이 제출되어서는 안 된다.</x:v>
      </x:c>
      <x:c r="K289" s="13" t="str">
        <x:v>UI-044, UI-108</x:v>
      </x:c>
      <x:c r="L289" s="13" t="str">
        <x:v>추출 후 기본 구조 검토; 원문 적용수준·전체 맥락 재확인 필요</x:v>
      </x:c>
      <x:c r="M289" s="13" t="str">
        <x:v>미확인</x:v>
      </x:c>
    </x:row>
    <x:row r="290" ht="37.5" customHeight="1">
      <x:c r="A290" s="14" t="str">
        <x:v>KRDS-SEC-045-A-01</x:v>
      </x:c>
      <x:c r="B290" s="14" t="str">
        <x:v>컴포넌트</x:v>
      </x:c>
      <x:c r="C290" s="14" t="str">
        <x:v>선택</x:v>
      </x:c>
      <x:c r="D290" s="14" t="str">
        <x:v>셀렉트</x:v>
      </x:c>
      <x:c r="E290" s="14" t="str">
        <x:v>접근성 가이드라인</x:v>
      </x:c>
      <x:c r="F290" s="14" t="str">
        <x:v>01</x:v>
      </x:c>
      <x:c r="G290" s="14" t="n">
        <x:v>556</x:v>
      </x:c>
      <x:c r="H290" s="14" t="n">
        <x:v>556</x:v>
      </x:c>
      <x:c r="I290" s="14" t="str"/>
      <x:c r="J290" s="14" t="str">
        <x:v>셀렉트에 접근 가능한 이름을 제공한다.</x:v>
      </x:c>
      <x:c r="K290" s="14" t="str">
        <x:v>UI-044, UI-108</x:v>
      </x:c>
      <x:c r="L290" s="14" t="str">
        <x:v>추출 후 기본 구조 검토; 원문 적용수준·전체 맥락 재확인 필요</x:v>
      </x:c>
      <x:c r="M290" s="14" t="str">
        <x:v>미확인</x:v>
      </x:c>
    </x:row>
    <x:row r="291" ht="37.5" customHeight="1">
      <x:c r="A291" s="13" t="str">
        <x:v>KRDS-SEC-045-A-02</x:v>
      </x:c>
      <x:c r="B291" s="13" t="str">
        <x:v>컴포넌트</x:v>
      </x:c>
      <x:c r="C291" s="13" t="str">
        <x:v>선택</x:v>
      </x:c>
      <x:c r="D291" s="13" t="str">
        <x:v>셀렉트</x:v>
      </x:c>
      <x:c r="E291" s="13" t="str">
        <x:v>접근성 가이드라인</x:v>
      </x:c>
      <x:c r="F291" s="13" t="str">
        <x:v>02</x:v>
      </x:c>
      <x:c r="G291" s="13" t="n">
        <x:v>556</x:v>
      </x:c>
      <x:c r="H291" s="13" t="n">
        <x:v>556</x:v>
      </x:c>
      <x:c r="I291" s="13" t="str"/>
      <x:c r="J291" s="13" t="str">
        <x:v>셀렉트 아이콘과 인접 배경 간 명도 대비를 3:1 이상으로 표현한다.</x:v>
      </x:c>
      <x:c r="K291" s="13" t="str">
        <x:v>UI-044, UI-108</x:v>
      </x:c>
      <x:c r="L291" s="13" t="str">
        <x:v>추출 후 기본 구조 검토; 원문 적용수준·전체 맥락 재확인 필요</x:v>
      </x:c>
      <x:c r="M291" s="13" t="str">
        <x:v>미확인</x:v>
      </x:c>
    </x:row>
    <x:row r="292" ht="37.5" customHeight="1">
      <x:c r="A292" s="14" t="str">
        <x:v>KRDS-SEC-046-U-01</x:v>
      </x:c>
      <x:c r="B292" s="14" t="str">
        <x:v>컴포넌트</x:v>
      </x:c>
      <x:c r="C292" s="14" t="str">
        <x:v>선택</x:v>
      </x:c>
      <x:c r="D292" s="14" t="str">
        <x:v>태그</x:v>
      </x:c>
      <x:c r="E292" s="14" t="str">
        <x:v>사용성 가이드라인</x:v>
      </x:c>
      <x:c r="F292" s="14" t="str">
        <x:v>01</x:v>
      </x:c>
      <x:c r="G292" s="14" t="n">
        <x:v>562</x:v>
      </x:c>
      <x:c r="H292" s="14" t="n">
        <x:v>562</x:v>
      </x:c>
      <x:c r="I292" s="14" t="str">
        <x:v>563</x:v>
      </x:c>
      <x:c r="J292" s="14" t="str">
        <x:v>레이블은 정확한 내용으로 간결하게 제공한다.</x:v>
      </x:c>
      <x:c r="K292" s="14" t="str">
        <x:v>UI-045</x:v>
      </x:c>
      <x:c r="L292" s="14" t="str">
        <x:v>추출 후 기본 구조 검토; 원문 적용수준·전체 맥락 재확인 필요</x:v>
      </x:c>
      <x:c r="M292" s="14" t="str">
        <x:v>미확인</x:v>
      </x:c>
    </x:row>
    <x:row r="293" ht="37.5" customHeight="1">
      <x:c r="A293" s="13" t="str">
        <x:v>KRDS-SEC-046-U-02</x:v>
      </x:c>
      <x:c r="B293" s="13" t="str">
        <x:v>컴포넌트</x:v>
      </x:c>
      <x:c r="C293" s="13" t="str">
        <x:v>선택</x:v>
      </x:c>
      <x:c r="D293" s="13" t="str">
        <x:v>태그</x:v>
      </x:c>
      <x:c r="E293" s="13" t="str">
        <x:v>사용성 가이드라인</x:v>
      </x:c>
      <x:c r="F293" s="13" t="str">
        <x:v>02</x:v>
      </x:c>
      <x:c r="G293" s="13" t="n">
        <x:v>562</x:v>
      </x:c>
      <x:c r="H293" s="13" t="n">
        <x:v>562</x:v>
      </x:c>
      <x:c r="I293" s="13" t="str">
        <x:v>563</x:v>
      </x:c>
      <x:c r="J293" s="13" t="str">
        <x:v>태그는 관련 요소 주변에 배치한다.</x:v>
      </x:c>
      <x:c r="K293" s="13" t="str">
        <x:v>UI-045</x:v>
      </x:c>
      <x:c r="L293" s="13" t="str">
        <x:v>추출 후 기본 구조 검토; 원문 적용수준·전체 맥락 재확인 필요</x:v>
      </x:c>
      <x:c r="M293" s="13" t="str">
        <x:v>미확인</x:v>
      </x:c>
    </x:row>
    <x:row r="294" ht="37.5" customHeight="1">
      <x:c r="A294" s="14" t="str">
        <x:v>KRDS-SEC-046-U-03</x:v>
      </x:c>
      <x:c r="B294" s="14" t="str">
        <x:v>컴포넌트</x:v>
      </x:c>
      <x:c r="C294" s="14" t="str">
        <x:v>선택</x:v>
      </x:c>
      <x:c r="D294" s="14" t="str">
        <x:v>태그</x:v>
      </x:c>
      <x:c r="E294" s="14" t="str">
        <x:v>사용성 가이드라인</x:v>
      </x:c>
      <x:c r="F294" s="14" t="str">
        <x:v>03</x:v>
      </x:c>
      <x:c r="G294" s="14" t="n">
        <x:v>562</x:v>
      </x:c>
      <x:c r="H294" s="14" t="n">
        <x:v>562</x:v>
      </x:c>
      <x:c r="I294" s="14" t="str">
        <x:v>563</x:v>
      </x:c>
      <x:c r="J294" s="14" t="str">
        <x:v>대화형 태그와 비대화형 태그를 같은 그룹에 포함하지 않는다.</x:v>
      </x:c>
      <x:c r="K294" s="14" t="str">
        <x:v>UI-045</x:v>
      </x:c>
      <x:c r="L294" s="14" t="str">
        <x:v>추출 후 기본 구조 검토; 원문 적용수준·전체 맥락 재확인 필요</x:v>
      </x:c>
      <x:c r="M294" s="14" t="str">
        <x:v>미확인</x:v>
      </x:c>
    </x:row>
    <x:row r="295" ht="37.5" customHeight="1">
      <x:c r="A295" s="13" t="str">
        <x:v>KRDS-SEC-046-U-04</x:v>
      </x:c>
      <x:c r="B295" s="13" t="str">
        <x:v>컴포넌트</x:v>
      </x:c>
      <x:c r="C295" s="13" t="str">
        <x:v>선택</x:v>
      </x:c>
      <x:c r="D295" s="13" t="str">
        <x:v>태그</x:v>
      </x:c>
      <x:c r="E295" s="13" t="str">
        <x:v>사용성 가이드라인</x:v>
      </x:c>
      <x:c r="F295" s="13" t="str">
        <x:v>04</x:v>
      </x:c>
      <x:c r="G295" s="13" t="n">
        <x:v>562</x:v>
      </x:c>
      <x:c r="H295" s="13" t="n">
        <x:v>562</x:v>
      </x:c>
      <x:c r="I295" s="13" t="str">
        <x:v>563</x:v>
      </x:c>
      <x:c r="J295" s="13" t="str">
        <x:v>지나치게 많은 태그를 사용하지 않는다.</x:v>
      </x:c>
      <x:c r="K295" s="13" t="str">
        <x:v>UI-045</x:v>
      </x:c>
      <x:c r="L295" s="13" t="str">
        <x:v>추출 후 기본 구조 검토; 원문 적용수준·전체 맥락 재확인 필요</x:v>
      </x:c>
      <x:c r="M295" s="13" t="str">
        <x:v>미확인</x:v>
      </x:c>
    </x:row>
    <x:row r="296" ht="37.5" customHeight="1">
      <x:c r="A296" s="14" t="str">
        <x:v>KRDS-SEC-046-U-05</x:v>
      </x:c>
      <x:c r="B296" s="14" t="str">
        <x:v>컴포넌트</x:v>
      </x:c>
      <x:c r="C296" s="14" t="str">
        <x:v>선택</x:v>
      </x:c>
      <x:c r="D296" s="14" t="str">
        <x:v>태그</x:v>
      </x:c>
      <x:c r="E296" s="14" t="str">
        <x:v>사용성 가이드라인</x:v>
      </x:c>
      <x:c r="F296" s="14" t="str">
        <x:v>05</x:v>
      </x:c>
      <x:c r="G296" s="14" t="n">
        <x:v>562</x:v>
      </x:c>
      <x:c r="H296" s="14" t="n">
        <x:v>562</x:v>
      </x:c>
      <x:c r="I296" s="14" t="str">
        <x:v>564</x:v>
      </x:c>
      <x:c r="J296" s="14" t="str">
        <x:v>태그의 표현에 지나치게 많은 색상을 사용하지 않는다.</x:v>
      </x:c>
      <x:c r="K296" s="14" t="str">
        <x:v>UI-045</x:v>
      </x:c>
      <x:c r="L296" s="14" t="str">
        <x:v>추출 후 기본 구조 검토; 원문 적용수준·전체 맥락 재확인 필요</x:v>
      </x:c>
      <x:c r="M296" s="14" t="str">
        <x:v>미확인</x:v>
      </x:c>
    </x:row>
    <x:row r="297" ht="37.5" customHeight="1">
      <x:c r="A297" s="13" t="str">
        <x:v>KRDS-SEC-046-U-06</x:v>
      </x:c>
      <x:c r="B297" s="13" t="str">
        <x:v>컴포넌트</x:v>
      </x:c>
      <x:c r="C297" s="13" t="str">
        <x:v>선택</x:v>
      </x:c>
      <x:c r="D297" s="13" t="str">
        <x:v>태그</x:v>
      </x:c>
      <x:c r="E297" s="13" t="str">
        <x:v>사용성 가이드라인</x:v>
      </x:c>
      <x:c r="F297" s="13" t="str">
        <x:v>06</x:v>
      </x:c>
      <x:c r="G297" s="13" t="n">
        <x:v>565</x:v>
      </x:c>
      <x:c r="H297" s="13" t="n">
        <x:v>565</x:v>
      </x:c>
      <x:c r="I297" s="13" t="str"/>
      <x:c r="J297" s="13" t="str">
        <x:v>태그의 표현에 지나치게 많은 색상을 사용하지 않는다.</x:v>
      </x:c>
      <x:c r="K297" s="13" t="str">
        <x:v>UI-045</x:v>
      </x:c>
      <x:c r="L297" s="13" t="str">
        <x:v>추출 후 기본 구조 검토; 원문 적용수준·전체 맥락 재확인 필요</x:v>
      </x:c>
      <x:c r="M297" s="13" t="str">
        <x:v>미확인</x:v>
      </x:c>
    </x:row>
    <x:row r="298" ht="37.5" customHeight="1">
      <x:c r="A298" s="14" t="str">
        <x:v>KRDS-SEC-046-A-01</x:v>
      </x:c>
      <x:c r="B298" s="14" t="str">
        <x:v>컴포넌트</x:v>
      </x:c>
      <x:c r="C298" s="14" t="str">
        <x:v>선택</x:v>
      </x:c>
      <x:c r="D298" s="14" t="str">
        <x:v>태그</x:v>
      </x:c>
      <x:c r="E298" s="14" t="str">
        <x:v>접근성 가이드라인</x:v>
      </x:c>
      <x:c r="F298" s="14" t="str">
        <x:v>01</x:v>
      </x:c>
      <x:c r="G298" s="14" t="n">
        <x:v>566</x:v>
      </x:c>
      <x:c r="H298" s="14" t="n">
        <x:v>566</x:v>
      </x:c>
      <x:c r="I298" s="14" t="str"/>
      <x:c r="J298" s="14" t="str">
        <x:v>대화형 태그의 초점을 명확하게 표시한다.</x:v>
      </x:c>
      <x:c r="K298" s="14" t="str">
        <x:v>UI-045</x:v>
      </x:c>
      <x:c r="L298" s="14" t="str">
        <x:v>추출 후 기본 구조 검토; 원문 적용수준·전체 맥락 재확인 필요</x:v>
      </x:c>
      <x:c r="M298" s="14" t="str">
        <x:v>미확인</x:v>
      </x:c>
    </x:row>
    <x:row r="299" ht="37.5" customHeight="1">
      <x:c r="A299" s="13" t="str">
        <x:v>KRDS-SEC-046-A-02</x:v>
      </x:c>
      <x:c r="B299" s="13" t="str">
        <x:v>컴포넌트</x:v>
      </x:c>
      <x:c r="C299" s="13" t="str">
        <x:v>선택</x:v>
      </x:c>
      <x:c r="D299" s="13" t="str">
        <x:v>태그</x:v>
      </x:c>
      <x:c r="E299" s="13" t="str">
        <x:v>접근성 가이드라인</x:v>
      </x:c>
      <x:c r="F299" s="13" t="str">
        <x:v>02</x:v>
      </x:c>
      <x:c r="G299" s="13" t="n">
        <x:v>566</x:v>
      </x:c>
      <x:c r="H299" s="13" t="n">
        <x:v>566</x:v>
      </x:c>
      <x:c r="I299" s="13" t="str"/>
      <x:c r="J299" s="13" t="str">
        <x:v>대화형 태그에 기능 또는 상태 정보를 명확하게 제공한다.</x:v>
      </x:c>
      <x:c r="K299" s="13" t="str">
        <x:v>UI-045</x:v>
      </x:c>
      <x:c r="L299" s="13" t="str">
        <x:v>추출 후 기본 구조 검토; 원문 적용수준·전체 맥락 재확인 필요</x:v>
      </x:c>
      <x:c r="M299" s="13" t="str">
        <x:v>미확인</x:v>
      </x:c>
    </x:row>
    <x:row r="300" ht="37.5" customHeight="1">
      <x:c r="A300" s="14" t="str">
        <x:v>KRDS-SEC-046-A-03</x:v>
      </x:c>
      <x:c r="B300" s="14" t="str">
        <x:v>컴포넌트</x:v>
      </x:c>
      <x:c r="C300" s="14" t="str">
        <x:v>선택</x:v>
      </x:c>
      <x:c r="D300" s="14" t="str">
        <x:v>태그</x:v>
      </x:c>
      <x:c r="E300" s="14" t="str">
        <x:v>접근성 가이드라인</x:v>
      </x:c>
      <x:c r="F300" s="14" t="str">
        <x:v>03</x:v>
      </x:c>
      <x:c r="G300" s="14" t="n">
        <x:v>567</x:v>
      </x:c>
      <x:c r="H300" s="14" t="n">
        <x:v>567</x:v>
      </x:c>
      <x:c r="I300" s="14" t="str"/>
      <x:c r="J300" s="14" t="str">
        <x:v>태그의 색상으로 의미를 전달하지 않아야 한다.</x:v>
      </x:c>
      <x:c r="K300" s="14" t="str">
        <x:v>UI-045</x:v>
      </x:c>
      <x:c r="L300" s="14" t="str">
        <x:v>추출 후 기본 구조 검토; 원문 적용수준·전체 맥락 재확인 필요</x:v>
      </x:c>
      <x:c r="M300" s="14" t="str">
        <x:v>미확인</x:v>
      </x:c>
    </x:row>
    <x:row r="301" ht="37.5" customHeight="1">
      <x:c r="A301" s="13" t="str">
        <x:v>KRDS-SEC-046-A-04</x:v>
      </x:c>
      <x:c r="B301" s="13" t="str">
        <x:v>컴포넌트</x:v>
      </x:c>
      <x:c r="C301" s="13" t="str">
        <x:v>선택</x:v>
      </x:c>
      <x:c r="D301" s="13" t="str">
        <x:v>태그</x:v>
      </x:c>
      <x:c r="E301" s="13" t="str">
        <x:v>접근성 가이드라인</x:v>
      </x:c>
      <x:c r="F301" s="13" t="str">
        <x:v>04</x:v>
      </x:c>
      <x:c r="G301" s="13" t="n">
        <x:v>567</x:v>
      </x:c>
      <x:c r="H301" s="13" t="n">
        <x:v>567</x:v>
      </x:c>
      <x:c r="I301" s="13" t="str"/>
      <x:c r="J301" s="13" t="str">
        <x:v>태그 레이블, 아이콘이 인접 배경과 3:1 이상의 명도 대비를 갖도록 표현한다.</x:v>
      </x:c>
      <x:c r="K301" s="13" t="str">
        <x:v>UI-045</x:v>
      </x:c>
      <x:c r="L301" s="13" t="str">
        <x:v>추출 후 기본 구조 검토; 원문 적용수준·전체 맥락 재확인 필요</x:v>
      </x:c>
      <x:c r="M301" s="13" t="str">
        <x:v>미확인</x:v>
      </x:c>
    </x:row>
    <x:row r="302" ht="37.5" customHeight="1">
      <x:c r="A302" s="14" t="str">
        <x:v>KRDS-SEC-047-U-01</x:v>
      </x:c>
      <x:c r="B302" s="14" t="str">
        <x:v>컴포넌트</x:v>
      </x:c>
      <x:c r="C302" s="14" t="str">
        <x:v>선택</x:v>
      </x:c>
      <x:c r="D302" s="14" t="str">
        <x:v>토글 스위치</x:v>
      </x:c>
      <x:c r="E302" s="14" t="str">
        <x:v>사용성 가이드라인</x:v>
      </x:c>
      <x:c r="F302" s="14" t="str">
        <x:v>01</x:v>
      </x:c>
      <x:c r="G302" s="14" t="n">
        <x:v>573</x:v>
      </x:c>
      <x:c r="H302" s="14" t="n">
        <x:v>573</x:v>
      </x:c>
      <x:c r="I302" s="14" t="str">
        <x:v>574</x:v>
      </x:c>
      <x:c r="J302" s="14" t="str">
        <x:v>레이블은 가능한 명사형으로 작성한다.</x:v>
      </x:c>
      <x:c r="K302" s="14" t="str">
        <x:v>UI-046, UI-109</x:v>
      </x:c>
      <x:c r="L302" s="14" t="str">
        <x:v>추출 후 기본 구조 검토; 원문 적용수준·전체 맥락 재확인 필요</x:v>
      </x:c>
      <x:c r="M302" s="14" t="str">
        <x:v>미확인</x:v>
      </x:c>
    </x:row>
    <x:row r="303" ht="37.5" customHeight="1">
      <x:c r="A303" s="13" t="str">
        <x:v>KRDS-SEC-047-U-02</x:v>
      </x:c>
      <x:c r="B303" s="13" t="str">
        <x:v>컴포넌트</x:v>
      </x:c>
      <x:c r="C303" s="13" t="str">
        <x:v>선택</x:v>
      </x:c>
      <x:c r="D303" s="13" t="str">
        <x:v>토글 스위치</x:v>
      </x:c>
      <x:c r="E303" s="13" t="str">
        <x:v>사용성 가이드라인</x:v>
      </x:c>
      <x:c r="F303" s="13" t="str">
        <x:v>02</x:v>
      </x:c>
      <x:c r="G303" s="13" t="n">
        <x:v>573</x:v>
      </x:c>
      <x:c r="H303" s="13" t="n">
        <x:v>573</x:v>
      </x:c>
      <x:c r="I303" s="13" t="str">
        <x:v>575</x:v>
      </x:c>
      <x:c r="J303" s="13" t="str">
        <x:v>스위치 상태에 상관없이 레이블을 일관되게 유지한다.</x:v>
      </x:c>
      <x:c r="K303" s="13" t="str">
        <x:v>UI-046, UI-109</x:v>
      </x:c>
      <x:c r="L303" s="13" t="str">
        <x:v>추출 후 기본 구조 검토; 원문 적용수준·전체 맥락 재확인 필요</x:v>
      </x:c>
      <x:c r="M303" s="13" t="str">
        <x:v>미확인</x:v>
      </x:c>
    </x:row>
    <x:row r="304" ht="37.5" customHeight="1">
      <x:c r="A304" s="14" t="str">
        <x:v>KRDS-SEC-047-U-03</x:v>
      </x:c>
      <x:c r="B304" s="14" t="str">
        <x:v>컴포넌트</x:v>
      </x:c>
      <x:c r="C304" s="14" t="str">
        <x:v>선택</x:v>
      </x:c>
      <x:c r="D304" s="14" t="str">
        <x:v>토글 스위치</x:v>
      </x:c>
      <x:c r="E304" s="14" t="str">
        <x:v>사용성 가이드라인</x:v>
      </x:c>
      <x:c r="F304" s="14" t="str">
        <x:v>03</x:v>
      </x:c>
      <x:c r="G304" s="14" t="n">
        <x:v>573</x:v>
      </x:c>
      <x:c r="H304" s="14" t="n">
        <x:v>573</x:v>
      </x:c>
      <x:c r="I304" s="14" t="str">
        <x:v>576</x:v>
      </x:c>
      <x:c r="J304" s="14" t="str">
        <x:v>레이블과 스위치 사이의 거리에 유의한다.</x:v>
      </x:c>
      <x:c r="K304" s="14" t="str">
        <x:v>UI-046, UI-109</x:v>
      </x:c>
      <x:c r="L304" s="14" t="str">
        <x:v>추출 후 기본 구조 검토; 원문 적용수준·전체 맥락 재확인 필요</x:v>
      </x:c>
      <x:c r="M304" s="14" t="str">
        <x:v>미확인</x:v>
      </x:c>
    </x:row>
    <x:row r="305" ht="37.5" customHeight="1">
      <x:c r="A305" s="13" t="str">
        <x:v>KRDS-SEC-047-U-04</x:v>
      </x:c>
      <x:c r="B305" s="13" t="str">
        <x:v>컴포넌트</x:v>
      </x:c>
      <x:c r="C305" s="13" t="str">
        <x:v>선택</x:v>
      </x:c>
      <x:c r="D305" s="13" t="str">
        <x:v>토글 스위치</x:v>
      </x:c>
      <x:c r="E305" s="13" t="str">
        <x:v>사용성 가이드라인</x:v>
      </x:c>
      <x:c r="F305" s="13" t="str">
        <x:v>04</x:v>
      </x:c>
      <x:c r="G305" s="13" t="n">
        <x:v>573</x:v>
      </x:c>
      <x:c r="H305" s="13" t="n">
        <x:v>573</x:v>
      </x:c>
      <x:c r="I305" s="13" t="str">
        <x:v>577</x:v>
      </x:c>
      <x:c r="J305" s="13" t="str">
        <x:v>한 화면 내에서의 토글 스위치 표현에 동일한 레이아웃을 사용한다.</x:v>
      </x:c>
      <x:c r="K305" s="13" t="str">
        <x:v>UI-046, UI-109</x:v>
      </x:c>
      <x:c r="L305" s="13" t="str">
        <x:v>추출 후 기본 구조 검토; 원문 적용수준·전체 맥락 재확인 필요</x:v>
      </x:c>
      <x:c r="M305" s="13" t="str">
        <x:v>미확인</x:v>
      </x:c>
    </x:row>
    <x:row r="306" ht="37.5" customHeight="1">
      <x:c r="A306" s="14" t="str">
        <x:v>KRDS-SEC-047-A-01</x:v>
      </x:c>
      <x:c r="B306" s="14" t="str">
        <x:v>컴포넌트</x:v>
      </x:c>
      <x:c r="C306" s="14" t="str">
        <x:v>선택</x:v>
      </x:c>
      <x:c r="D306" s="14" t="str">
        <x:v>토글 스위치</x:v>
      </x:c>
      <x:c r="E306" s="14" t="str">
        <x:v>접근성 가이드라인</x:v>
      </x:c>
      <x:c r="F306" s="14" t="str">
        <x:v>01</x:v>
      </x:c>
      <x:c r="G306" s="14" t="n">
        <x:v>578</x:v>
      </x:c>
      <x:c r="H306" s="14" t="n">
        <x:v>578</x:v>
      </x:c>
      <x:c r="I306" s="14" t="str"/>
      <x:c r="J306" s="14" t="str">
        <x:v>경로, 핸들, 상태 아이콘과 인접 배경 간 명도 대비를 3:1 이상으로 표현한다.</x:v>
      </x:c>
      <x:c r="K306" s="14" t="str">
        <x:v>UI-046, UI-109</x:v>
      </x:c>
      <x:c r="L306" s="14" t="str">
        <x:v>추출 후 기본 구조 검토; 원문 적용수준·전체 맥락 재확인 필요</x:v>
      </x:c>
      <x:c r="M306" s="14" t="str">
        <x:v>미확인</x:v>
      </x:c>
    </x:row>
    <x:row r="307" ht="37.5" customHeight="1">
      <x:c r="A307" s="13" t="str">
        <x:v>KRDS-SEC-047-A-02</x:v>
      </x:c>
      <x:c r="B307" s="13" t="str">
        <x:v>컴포넌트</x:v>
      </x:c>
      <x:c r="C307" s="13" t="str">
        <x:v>선택</x:v>
      </x:c>
      <x:c r="D307" s="13" t="str">
        <x:v>토글 스위치</x:v>
      </x:c>
      <x:c r="E307" s="13" t="str">
        <x:v>접근성 가이드라인</x:v>
      </x:c>
      <x:c r="F307" s="13" t="str">
        <x:v>02</x:v>
      </x:c>
      <x:c r="G307" s="13" t="n">
        <x:v>578</x:v>
      </x:c>
      <x:c r="H307" s="13" t="n">
        <x:v>578</x:v>
      </x:c>
      <x:c r="I307" s="13" t="str"/>
      <x:c r="J307" s="13" t="str">
        <x:v>토글 스위치를 키보드로 탐색하고 실행할 수 있도록 한다.</x:v>
      </x:c>
      <x:c r="K307" s="13" t="str">
        <x:v>UI-046, UI-109</x:v>
      </x:c>
      <x:c r="L307" s="13" t="str">
        <x:v>추출 후 기본 구조 검토; 원문 적용수준·전체 맥락 재확인 필요</x:v>
      </x:c>
      <x:c r="M307" s="13" t="str">
        <x:v>미확인</x:v>
      </x:c>
    </x:row>
    <x:row r="308" ht="37.5" customHeight="1">
      <x:c r="A308" s="14" t="str">
        <x:v>KRDS-SEC-047-A-03</x:v>
      </x:c>
      <x:c r="B308" s="14" t="str">
        <x:v>컴포넌트</x:v>
      </x:c>
      <x:c r="C308" s="14" t="str">
        <x:v>선택</x:v>
      </x:c>
      <x:c r="D308" s="14" t="str">
        <x:v>토글 스위치</x:v>
      </x:c>
      <x:c r="E308" s="14" t="str">
        <x:v>접근성 가이드라인</x:v>
      </x:c>
      <x:c r="F308" s="14" t="str">
        <x:v>03</x:v>
      </x:c>
      <x:c r="G308" s="14" t="n">
        <x:v>578</x:v>
      </x:c>
      <x:c r="H308" s="14" t="n">
        <x:v>578</x:v>
      </x:c>
      <x:c r="I308" s="14" t="str"/>
      <x:c r="J308" s="14" t="str">
        <x:v>토글 스위치에 키보드 초점이 명확하게 표시되도록 한다.</x:v>
      </x:c>
      <x:c r="K308" s="14" t="str">
        <x:v>UI-046, UI-109</x:v>
      </x:c>
      <x:c r="L308" s="14" t="str">
        <x:v>추출 후 기본 구조 검토; 원문 적용수준·전체 맥락 재확인 필요</x:v>
      </x:c>
      <x:c r="M308" s="14" t="str">
        <x:v>미확인</x:v>
      </x:c>
    </x:row>
    <x:row r="309" ht="37.5" customHeight="1">
      <x:c r="A309" s="13" t="str">
        <x:v>KRDS-SEC-047-A-04</x:v>
      </x:c>
      <x:c r="B309" s="13" t="str">
        <x:v>컴포넌트</x:v>
      </x:c>
      <x:c r="C309" s="13" t="str">
        <x:v>선택</x:v>
      </x:c>
      <x:c r="D309" s="13" t="str">
        <x:v>토글 스위치</x:v>
      </x:c>
      <x:c r="E309" s="13" t="str">
        <x:v>접근성 가이드라인</x:v>
      </x:c>
      <x:c r="F309" s="13" t="str">
        <x:v>04</x:v>
      </x:c>
      <x:c r="G309" s="13" t="n">
        <x:v>579</x:v>
      </x:c>
      <x:c r="H309" s="13" t="n">
        <x:v>579</x:v>
      </x:c>
      <x:c r="I309" s="13" t="str"/>
      <x:c r="J309" s="13" t="str">
        <x:v>토글 스위치에 접근 가능한 이름을 제공한다.</x:v>
      </x:c>
      <x:c r="K309" s="13" t="str">
        <x:v>UI-046, UI-109</x:v>
      </x:c>
      <x:c r="L309" s="13" t="str">
        <x:v>추출 후 기본 구조 검토; 원문 적용수준·전체 맥락 재확인 필요</x:v>
      </x:c>
      <x:c r="M309" s="13" t="str">
        <x:v>미확인</x:v>
      </x:c>
    </x:row>
    <x:row r="310" ht="37.5" customHeight="1">
      <x:c r="A310" s="14" t="str">
        <x:v>KRDS-SEC-047-A-05</x:v>
      </x:c>
      <x:c r="B310" s="14" t="str">
        <x:v>컴포넌트</x:v>
      </x:c>
      <x:c r="C310" s="14" t="str">
        <x:v>선택</x:v>
      </x:c>
      <x:c r="D310" s="14" t="str">
        <x:v>토글 스위치</x:v>
      </x:c>
      <x:c r="E310" s="14" t="str">
        <x:v>접근성 가이드라인</x:v>
      </x:c>
      <x:c r="F310" s="14" t="str">
        <x:v>05</x:v>
      </x:c>
      <x:c r="G310" s="14" t="n">
        <x:v>579</x:v>
      </x:c>
      <x:c r="H310" s="14" t="n">
        <x:v>579</x:v>
      </x:c>
      <x:c r="I310" s="14" t="str"/>
      <x:c r="J310" s="14" t="str">
        <x:v>스크린 리더에서 도움말을 인지할 수 있도록 한다.</x:v>
      </x:c>
      <x:c r="K310" s="14" t="str">
        <x:v>UI-046, UI-109</x:v>
      </x:c>
      <x:c r="L310" s="14" t="str">
        <x:v>추출 후 기본 구조 검토; 원문 적용수준·전체 맥락 재확인 필요</x:v>
      </x:c>
      <x:c r="M310" s="14" t="str">
        <x:v>미확인</x:v>
      </x:c>
    </x:row>
    <x:row r="311" ht="37.5" customHeight="1">
      <x:c r="A311" s="13" t="str">
        <x:v>KRDS-SEC-048-U-01</x:v>
      </x:c>
      <x:c r="B311" s="13" t="str">
        <x:v>컴포넌트</x:v>
      </x:c>
      <x:c r="C311" s="13" t="str">
        <x:v>피드백</x:v>
      </x:c>
      <x:c r="D311" s="13" t="str">
        <x:v>단계 표시기</x:v>
      </x:c>
      <x:c r="E311" s="13" t="str">
        <x:v>사용성 가이드라인</x:v>
      </x:c>
      <x:c r="F311" s="13" t="str">
        <x:v>01</x:v>
      </x:c>
      <x:c r="G311" s="13" t="n">
        <x:v>583</x:v>
      </x:c>
      <x:c r="H311" s="13" t="n">
        <x:v>583</x:v>
      </x:c>
      <x:c r="I311" s="13" t="str">
        <x:v>584</x:v>
      </x:c>
      <x:c r="J311" s="13" t="str">
        <x:v>단계 레이블은 해당 프로세스에 대한 간결하고 명확한 내용으로 제공한다.</x:v>
      </x:c>
      <x:c r="K311" s="13" t="str">
        <x:v>UI-047</x:v>
      </x:c>
      <x:c r="L311" s="13" t="str">
        <x:v>추출 후 기본 구조 검토; 원문 적용수준·전체 맥락 재확인 필요</x:v>
      </x:c>
      <x:c r="M311" s="13" t="str">
        <x:v>미확인</x:v>
      </x:c>
    </x:row>
    <x:row r="312" ht="37.5" customHeight="1">
      <x:c r="A312" s="14" t="str">
        <x:v>KRDS-SEC-048-U-02</x:v>
      </x:c>
      <x:c r="B312" s="14" t="str">
        <x:v>컴포넌트</x:v>
      </x:c>
      <x:c r="C312" s="14" t="str">
        <x:v>피드백</x:v>
      </x:c>
      <x:c r="D312" s="14" t="str">
        <x:v>단계 표시기</x:v>
      </x:c>
      <x:c r="E312" s="14" t="str">
        <x:v>사용성 가이드라인</x:v>
      </x:c>
      <x:c r="F312" s="14" t="str">
        <x:v>02</x:v>
      </x:c>
      <x:c r="G312" s="14" t="n">
        <x:v>583</x:v>
      </x:c>
      <x:c r="H312" s="14" t="n">
        <x:v>583</x:v>
      </x:c>
      <x:c r="I312" s="14" t="str">
        <x:v>585</x:v>
      </x:c>
      <x:c r="J312" s="14" t="str">
        <x:v>단계는 좌에서 우 또는 상에서 하의 순서로 논리적으로 전개될 수 있도록 구성한다.</x:v>
      </x:c>
      <x:c r="K312" s="14" t="str">
        <x:v>UI-047</x:v>
      </x:c>
      <x:c r="L312" s="14" t="str">
        <x:v>추출 후 기본 구조 검토; 원문 적용수준·전체 맥락 재확인 필요</x:v>
      </x:c>
      <x:c r="M312" s="14" t="str">
        <x:v>미확인</x:v>
      </x:c>
    </x:row>
    <x:row r="313" ht="37.5" customHeight="1">
      <x:c r="A313" s="13" t="str">
        <x:v>KRDS-SEC-048-U-03</x:v>
      </x:c>
      <x:c r="B313" s="13" t="str">
        <x:v>컴포넌트</x:v>
      </x:c>
      <x:c r="C313" s="13" t="str">
        <x:v>피드백</x:v>
      </x:c>
      <x:c r="D313" s="13" t="str">
        <x:v>단계 표시기</x:v>
      </x:c>
      <x:c r="E313" s="13" t="str">
        <x:v>사용성 가이드라인</x:v>
      </x:c>
      <x:c r="F313" s="13" t="str">
        <x:v>03</x:v>
      </x:c>
      <x:c r="G313" s="13" t="n">
        <x:v>583</x:v>
      </x:c>
      <x:c r="H313" s="13" t="n">
        <x:v>583</x:v>
      </x:c>
      <x:c r="I313" s="13" t="str">
        <x:v>585</x:v>
      </x:c>
      <x:c r="J313" s="13" t="str">
        <x:v>단계의 수는 최소 3개에서 최대 7개로 제공한다.</x:v>
      </x:c>
      <x:c r="K313" s="13" t="str">
        <x:v>UI-047</x:v>
      </x:c>
      <x:c r="L313" s="13" t="str">
        <x:v>추출 후 기본 구조 검토; 원문 적용수준·전체 맥락 재확인 필요</x:v>
      </x:c>
      <x:c r="M313" s="13" t="str">
        <x:v>미확인</x:v>
      </x:c>
    </x:row>
    <x:row r="314" ht="37.5" customHeight="1">
      <x:c r="A314" s="14" t="str">
        <x:v>KRDS-SEC-048-U-04</x:v>
      </x:c>
      <x:c r="B314" s="14" t="str">
        <x:v>컴포넌트</x:v>
      </x:c>
      <x:c r="C314" s="14" t="str">
        <x:v>피드백</x:v>
      </x:c>
      <x:c r="D314" s="14" t="str">
        <x:v>단계 표시기</x:v>
      </x:c>
      <x:c r="E314" s="14" t="str">
        <x:v>사용성 가이드라인</x:v>
      </x:c>
      <x:c r="F314" s="14" t="str">
        <x:v>04</x:v>
      </x:c>
      <x:c r="G314" s="14" t="n">
        <x:v>583</x:v>
      </x:c>
      <x:c r="H314" s="14" t="n">
        <x:v>583</x:v>
      </x:c>
      <x:c r="I314" s="14" t="str">
        <x:v>586</x:v>
      </x:c>
      <x:c r="J314" s="14" t="str">
        <x:v>현재 단계를 명확하게 인지할 수 있도록 표현한다.</x:v>
      </x:c>
      <x:c r="K314" s="14" t="str">
        <x:v>UI-047</x:v>
      </x:c>
      <x:c r="L314" s="14" t="str">
        <x:v>추출 후 기본 구조 검토; 원문 적용수준·전체 맥락 재확인 필요</x:v>
      </x:c>
      <x:c r="M314" s="14" t="str">
        <x:v>미확인</x:v>
      </x:c>
    </x:row>
    <x:row r="315" ht="37.5" customHeight="1">
      <x:c r="A315" s="13" t="str">
        <x:v>KRDS-SEC-048-U-05</x:v>
      </x:c>
      <x:c r="B315" s="13" t="str">
        <x:v>컴포넌트</x:v>
      </x:c>
      <x:c r="C315" s="13" t="str">
        <x:v>피드백</x:v>
      </x:c>
      <x:c r="D315" s="13" t="str">
        <x:v>단계 표시기</x:v>
      </x:c>
      <x:c r="E315" s="13" t="str">
        <x:v>사용성 가이드라인</x:v>
      </x:c>
      <x:c r="F315" s="13" t="str">
        <x:v>05</x:v>
      </x:c>
      <x:c r="G315" s="13" t="n">
        <x:v>583</x:v>
      </x:c>
      <x:c r="H315" s="13" t="n">
        <x:v>583</x:v>
      </x:c>
      <x:c r="I315" s="13" t="str">
        <x:v>587</x:v>
      </x:c>
      <x:c r="J315" s="13" t="str">
        <x:v>과업의 성격에 적합한 탐색 모델을 제공한다.</x:v>
      </x:c>
      <x:c r="K315" s="13" t="str">
        <x:v>UI-047</x:v>
      </x:c>
      <x:c r="L315" s="13" t="str">
        <x:v>추출 후 기본 구조 검토; 원문 적용수준·전체 맥락 재확인 필요</x:v>
      </x:c>
      <x:c r="M315" s="13" t="str">
        <x:v>미확인</x:v>
      </x:c>
    </x:row>
    <x:row r="316" ht="37.5" customHeight="1">
      <x:c r="A316" s="14" t="str">
        <x:v>KRDS-SEC-048-U-06</x:v>
      </x:c>
      <x:c r="B316" s="14" t="str">
        <x:v>컴포넌트</x:v>
      </x:c>
      <x:c r="C316" s="14" t="str">
        <x:v>피드백</x:v>
      </x:c>
      <x:c r="D316" s="14" t="str">
        <x:v>단계 표시기</x:v>
      </x:c>
      <x:c r="E316" s="14" t="str">
        <x:v>사용성 가이드라인</x:v>
      </x:c>
      <x:c r="F316" s="14" t="str">
        <x:v>06</x:v>
      </x:c>
      <x:c r="G316" s="14" t="n">
        <x:v>583</x:v>
      </x:c>
      <x:c r="H316" s="14" t="n">
        <x:v>583</x:v>
      </x:c>
      <x:c r="I316" s="14" t="str">
        <x:v>587</x:v>
      </x:c>
      <x:c r="J316" s="14" t="str">
        <x:v>선택적인 단계를 건너뛸 수 있는 수단을 제공한다.</x:v>
      </x:c>
      <x:c r="K316" s="14" t="str">
        <x:v>UI-047</x:v>
      </x:c>
      <x:c r="L316" s="14" t="str">
        <x:v>추출 후 기본 구조 검토; 원문 적용수준·전체 맥락 재확인 필요</x:v>
      </x:c>
      <x:c r="M316" s="14" t="str">
        <x:v>미확인</x:v>
      </x:c>
    </x:row>
    <x:row r="317" ht="37.5" customHeight="1">
      <x:c r="A317" s="13" t="str">
        <x:v>KRDS-SEC-048-A-01</x:v>
      </x:c>
      <x:c r="B317" s="13" t="str">
        <x:v>컴포넌트</x:v>
      </x:c>
      <x:c r="C317" s="13" t="str">
        <x:v>피드백</x:v>
      </x:c>
      <x:c r="D317" s="13" t="str">
        <x:v>단계 표시기</x:v>
      </x:c>
      <x:c r="E317" s="13" t="str">
        <x:v>접근성 가이드라인</x:v>
      </x:c>
      <x:c r="F317" s="13" t="str">
        <x:v>01</x:v>
      </x:c>
      <x:c r="G317" s="13" t="n">
        <x:v>588</x:v>
      </x:c>
      <x:c r="H317" s="13" t="n">
        <x:v>588</x:v>
      </x:c>
      <x:c r="I317" s="13" t="str"/>
      <x:c r="J317" s="13" t="str">
        <x:v>순서 있는 목록을 사용한다.</x:v>
      </x:c>
      <x:c r="K317" s="13" t="str">
        <x:v>UI-047</x:v>
      </x:c>
      <x:c r="L317" s="13" t="str">
        <x:v>추출 후 기본 구조 검토; 원문 적용수준·전체 맥락 재확인 필요</x:v>
      </x:c>
      <x:c r="M317" s="13" t="str">
        <x:v>미확인</x:v>
      </x:c>
    </x:row>
    <x:row r="318" ht="37.5" customHeight="1">
      <x:c r="A318" s="14" t="str">
        <x:v>KRDS-SEC-048-A-02</x:v>
      </x:c>
      <x:c r="B318" s="14" t="str">
        <x:v>컴포넌트</x:v>
      </x:c>
      <x:c r="C318" s="14" t="str">
        <x:v>피드백</x:v>
      </x:c>
      <x:c r="D318" s="14" t="str">
        <x:v>단계 표시기</x:v>
      </x:c>
      <x:c r="E318" s="14" t="str">
        <x:v>접근성 가이드라인</x:v>
      </x:c>
      <x:c r="F318" s="14" t="str">
        <x:v>02</x:v>
      </x:c>
      <x:c r="G318" s="14" t="n">
        <x:v>588</x:v>
      </x:c>
      <x:c r="H318" s="14" t="n">
        <x:v>588</x:v>
      </x:c>
      <x:c r="I318" s="14" t="str"/>
      <x:c r="J318" s="14" t="str">
        <x:v>단계 식별자를 색상으로만 구분하여 표현하지 않는다.</x:v>
      </x:c>
      <x:c r="K318" s="14" t="str">
        <x:v>UI-047</x:v>
      </x:c>
      <x:c r="L318" s="14" t="str">
        <x:v>추출 후 기본 구조 검토; 원문 적용수준·전체 맥락 재확인 필요</x:v>
      </x:c>
      <x:c r="M318" s="14" t="str">
        <x:v>미확인</x:v>
      </x:c>
    </x:row>
    <x:row r="319" ht="37.5" customHeight="1">
      <x:c r="A319" s="13" t="str">
        <x:v>KRDS-SEC-048-A-03</x:v>
      </x:c>
      <x:c r="B319" s="13" t="str">
        <x:v>컴포넌트</x:v>
      </x:c>
      <x:c r="C319" s="13" t="str">
        <x:v>피드백</x:v>
      </x:c>
      <x:c r="D319" s="13" t="str">
        <x:v>단계 표시기</x:v>
      </x:c>
      <x:c r="E319" s="13" t="str">
        <x:v>접근성 가이드라인</x:v>
      </x:c>
      <x:c r="F319" s="13" t="str">
        <x:v>03</x:v>
      </x:c>
      <x:c r="G319" s="13" t="n">
        <x:v>588</x:v>
      </x:c>
      <x:c r="H319" s="13" t="n">
        <x:v>588</x:v>
      </x:c>
      <x:c r="I319" s="13" t="str"/>
      <x:c r="J319" s="13" t="str">
        <x:v>현재 단계를 스크린 리더로 확인할 수 있도록 한다.</x:v>
      </x:c>
      <x:c r="K319" s="13" t="str">
        <x:v>UI-047</x:v>
      </x:c>
      <x:c r="L319" s="13" t="str">
        <x:v>추출 후 기본 구조 검토; 원문 적용수준·전체 맥락 재확인 필요</x:v>
      </x:c>
      <x:c r="M319" s="13" t="str">
        <x:v>미확인</x:v>
      </x:c>
    </x:row>
    <x:row r="320" ht="37.5" customHeight="1">
      <x:c r="A320" s="14" t="str">
        <x:v>KRDS-SEC-049-U-01</x:v>
      </x:c>
      <x:c r="B320" s="14" t="str">
        <x:v>컴포넌트</x:v>
      </x:c>
      <x:c r="C320" s="14" t="str">
        <x:v>피드백</x:v>
      </x:c>
      <x:c r="D320" s="14" t="str">
        <x:v>스피너</x:v>
      </x:c>
      <x:c r="E320" s="14" t="str">
        <x:v>사용성 가이드라인</x:v>
      </x:c>
      <x:c r="F320" s="14" t="str">
        <x:v>01</x:v>
      </x:c>
      <x:c r="G320" s="14" t="n">
        <x:v>592</x:v>
      </x:c>
      <x:c r="H320" s="14" t="n">
        <x:v>592</x:v>
      </x:c>
      <x:c r="I320" s="14" t="str">
        <x:v>593</x:v>
      </x:c>
      <x:c r="J320" s="14" t="str">
        <x:v>스피너를 장식용으로 사용하지 않는다.</x:v>
      </x:c>
      <x:c r="K320" s="14" t="str">
        <x:v>UI-048</x:v>
      </x:c>
      <x:c r="L320" s="14" t="str">
        <x:v>추출 후 기본 구조 검토; 원문 적용수준·전체 맥락 재확인 필요</x:v>
      </x:c>
      <x:c r="M320" s="14" t="str">
        <x:v>미확인</x:v>
      </x:c>
    </x:row>
    <x:row r="321" ht="37.5" customHeight="1">
      <x:c r="A321" s="13" t="str">
        <x:v>KRDS-SEC-049-U-02</x:v>
      </x:c>
      <x:c r="B321" s="13" t="str">
        <x:v>컴포넌트</x:v>
      </x:c>
      <x:c r="C321" s="13" t="str">
        <x:v>피드백</x:v>
      </x:c>
      <x:c r="D321" s="13" t="str">
        <x:v>스피너</x:v>
      </x:c>
      <x:c r="E321" s="13" t="str">
        <x:v>사용성 가이드라인</x:v>
      </x:c>
      <x:c r="F321" s="13" t="str">
        <x:v>02</x:v>
      </x:c>
      <x:c r="G321" s="13" t="n">
        <x:v>592</x:v>
      </x:c>
      <x:c r="H321" s="13" t="n">
        <x:v>592</x:v>
      </x:c>
      <x:c r="I321" s="13" t="str">
        <x:v>593</x:v>
      </x:c>
      <x:c r="J321" s="13" t="str">
        <x:v>상황에 맞는 적절한 크기의 스피너를 사용한다.</x:v>
      </x:c>
      <x:c r="K321" s="13" t="str">
        <x:v>UI-048</x:v>
      </x:c>
      <x:c r="L321" s="13" t="str">
        <x:v>추출 후 기본 구조 검토; 원문 적용수준·전체 맥락 재확인 필요</x:v>
      </x:c>
      <x:c r="M321" s="13" t="str">
        <x:v>미확인</x:v>
      </x:c>
    </x:row>
    <x:row r="322" ht="37.5" customHeight="1">
      <x:c r="A322" s="14" t="str">
        <x:v>KRDS-SEC-049-U-03</x:v>
      </x:c>
      <x:c r="B322" s="14" t="str">
        <x:v>컴포넌트</x:v>
      </x:c>
      <x:c r="C322" s="14" t="str">
        <x:v>피드백</x:v>
      </x:c>
      <x:c r="D322" s="14" t="str">
        <x:v>스피너</x:v>
      </x:c>
      <x:c r="E322" s="14" t="str">
        <x:v>사용성 가이드라인</x:v>
      </x:c>
      <x:c r="F322" s="14" t="str">
        <x:v>03</x:v>
      </x:c>
      <x:c r="G322" s="14" t="n">
        <x:v>592</x:v>
      </x:c>
      <x:c r="H322" s="14" t="n">
        <x:v>592</x:v>
      </x:c>
      <x:c r="I322" s="14" t="str">
        <x:v>593</x:v>
      </x:c>
      <x:c r="J322" s="14" t="str">
        <x:v>스피너는 처리가 진행 중인 영역 근처에 배치한다.</x:v>
      </x:c>
      <x:c r="K322" s="14" t="str">
        <x:v>UI-048</x:v>
      </x:c>
      <x:c r="L322" s="14" t="str">
        <x:v>추출 후 기본 구조 검토; 원문 적용수준·전체 맥락 재확인 필요</x:v>
      </x:c>
      <x:c r="M322" s="14" t="str">
        <x:v>미확인</x:v>
      </x:c>
    </x:row>
    <x:row r="323" ht="37.5" customHeight="1">
      <x:c r="A323" s="13" t="str">
        <x:v>KRDS-SEC-049-U-04</x:v>
      </x:c>
      <x:c r="B323" s="13" t="str">
        <x:v>컴포넌트</x:v>
      </x:c>
      <x:c r="C323" s="13" t="str">
        <x:v>피드백</x:v>
      </x:c>
      <x:c r="D323" s="13" t="str">
        <x:v>스피너</x:v>
      </x:c>
      <x:c r="E323" s="13" t="str">
        <x:v>사용성 가이드라인</x:v>
      </x:c>
      <x:c r="F323" s="13" t="str">
        <x:v>04</x:v>
      </x:c>
      <x:c r="G323" s="13" t="n">
        <x:v>592</x:v>
      </x:c>
      <x:c r="H323" s="13" t="n">
        <x:v>592</x:v>
      </x:c>
      <x:c r="I323" s="13" t="str">
        <x:v>594</x:v>
      </x:c>
      <x:c r="J323" s="13" t="str">
        <x:v>불확정 스피너의 애니메이션의 루프를 중지하지 않는다.</x:v>
      </x:c>
      <x:c r="K323" s="13" t="str">
        <x:v>UI-048</x:v>
      </x:c>
      <x:c r="L323" s="13" t="str">
        <x:v>추출 후 기본 구조 검토; 원문 적용수준·전체 맥락 재확인 필요</x:v>
      </x:c>
      <x:c r="M323" s="13" t="str">
        <x:v>미확인</x:v>
      </x:c>
    </x:row>
    <x:row r="324" ht="37.5" customHeight="1">
      <x:c r="A324" s="14" t="str">
        <x:v>KRDS-SEC-049-U-05</x:v>
      </x:c>
      <x:c r="B324" s="14" t="str">
        <x:v>컴포넌트</x:v>
      </x:c>
      <x:c r="C324" s="14" t="str">
        <x:v>피드백</x:v>
      </x:c>
      <x:c r="D324" s="14" t="str">
        <x:v>스피너</x:v>
      </x:c>
      <x:c r="E324" s="14" t="str">
        <x:v>사용성 가이드라인</x:v>
      </x:c>
      <x:c r="F324" s="14" t="str">
        <x:v>05</x:v>
      </x:c>
      <x:c r="G324" s="14" t="n">
        <x:v>592</x:v>
      </x:c>
      <x:c r="H324" s="14" t="n">
        <x:v>592</x:v>
      </x:c>
      <x:c r="I324" s="14" t="str">
        <x:v>594</x:v>
      </x:c>
      <x:c r="J324" s="14" t="str">
        <x:v>컴포넌트의 일부로 작게 표시되지 않는 한, 두 개 이상의 스피너를 동시에 표시하지 않는다.</x:v>
      </x:c>
      <x:c r="K324" s="14" t="str">
        <x:v>UI-048</x:v>
      </x:c>
      <x:c r="L324" s="14" t="str">
        <x:v>추출 후 기본 구조 검토; 원문 적용수준·전체 맥락 재확인 필요</x:v>
      </x:c>
      <x:c r="M324" s="14" t="str">
        <x:v>미확인</x:v>
      </x:c>
    </x:row>
    <x:row r="325" ht="37.5" customHeight="1">
      <x:c r="A325" s="13" t="str">
        <x:v>KRDS-SEC-049-A-01</x:v>
      </x:c>
      <x:c r="B325" s="13" t="str">
        <x:v>컴포넌트</x:v>
      </x:c>
      <x:c r="C325" s="13" t="str">
        <x:v>피드백</x:v>
      </x:c>
      <x:c r="D325" s="13" t="str">
        <x:v>스피너</x:v>
      </x:c>
      <x:c r="E325" s="13" t="str">
        <x:v>접근성 가이드라인</x:v>
      </x:c>
      <x:c r="F325" s="13" t="str">
        <x:v>01</x:v>
      </x:c>
      <x:c r="G325" s="13" t="n">
        <x:v>595</x:v>
      </x:c>
      <x:c r="H325" s="13" t="n">
        <x:v>595</x:v>
      </x:c>
      <x:c r="I325" s="13" t="str"/>
      <x:c r="J325" s="13" t="str">
        <x:v>인접 배경과 경로 간 명도 대비, 경로와 식별자 간 명도 대비를 3:1 이상으로 표현한다.</x:v>
      </x:c>
      <x:c r="K325" s="13" t="str">
        <x:v>UI-048</x:v>
      </x:c>
      <x:c r="L325" s="13" t="str">
        <x:v>추출 후 기본 구조 검토; 원문 적용수준·전체 맥락 재확인 필요</x:v>
      </x:c>
      <x:c r="M325" s="13" t="str">
        <x:v>미확인</x:v>
      </x:c>
    </x:row>
    <x:row r="326" ht="37.5" customHeight="1">
      <x:c r="A326" s="14" t="str">
        <x:v>KRDS-SEC-049-A-02</x:v>
      </x:c>
      <x:c r="B326" s="14" t="str">
        <x:v>컴포넌트</x:v>
      </x:c>
      <x:c r="C326" s="14" t="str">
        <x:v>피드백</x:v>
      </x:c>
      <x:c r="D326" s="14" t="str">
        <x:v>스피너</x:v>
      </x:c>
      <x:c r="E326" s="14" t="str">
        <x:v>접근성 가이드라인</x:v>
      </x:c>
      <x:c r="F326" s="14" t="str">
        <x:v>02</x:v>
      </x:c>
      <x:c r="G326" s="14" t="n">
        <x:v>595</x:v>
      </x:c>
      <x:c r="H326" s="14" t="n">
        <x:v>595</x:v>
      </x:c>
      <x:c r="I326" s="14" t="str"/>
      <x:c r="J326" s="14" t="str">
        <x:v>스피너 상태에 대한 설명을 스크린 리더에서 확인할 수 있도록 한다.</x:v>
      </x:c>
      <x:c r="K326" s="14" t="str">
        <x:v>UI-048</x:v>
      </x:c>
      <x:c r="L326" s="14" t="str">
        <x:v>추출 후 기본 구조 검토; 원문 적용수준·전체 맥락 재확인 필요</x:v>
      </x:c>
      <x:c r="M326" s="14" t="str">
        <x:v>미확인</x:v>
      </x:c>
    </x:row>
    <x:row r="327" ht="37.5" customHeight="1">
      <x:c r="A327" s="13" t="str">
        <x:v>KRDS-SEC-050-U-01</x:v>
      </x:c>
      <x:c r="B327" s="13" t="str">
        <x:v>컴포넌트</x:v>
      </x:c>
      <x:c r="C327" s="13" t="str">
        <x:v>도움</x:v>
      </x:c>
      <x:c r="D327" s="13" t="str">
        <x:v>도움 패널</x:v>
      </x:c>
      <x:c r="E327" s="13" t="str">
        <x:v>사용성 가이드라인</x:v>
      </x:c>
      <x:c r="F327" s="13" t="str">
        <x:v>01</x:v>
      </x:c>
      <x:c r="G327" s="13" t="n">
        <x:v>601</x:v>
      </x:c>
      <x:c r="H327" s="13" t="n">
        <x:v>601</x:v>
      </x:c>
      <x:c r="I327" s="13" t="str">
        <x:v>602</x:v>
      </x:c>
      <x:c r="J327" s="13" t="str">
        <x:v>화면이 로딩되었을 때 도움 패널은 열린 상태로 제공한다.</x:v>
      </x:c>
      <x:c r="K327" s="13" t="str">
        <x:v>UI-049</x:v>
      </x:c>
      <x:c r="L327" s="13" t="str">
        <x:v>추출 후 기본 구조 검토; 원문 적용수준·전체 맥락 재확인 필요</x:v>
      </x:c>
      <x:c r="M327" s="13" t="str">
        <x:v>미확인</x:v>
      </x:c>
    </x:row>
    <x:row r="328" ht="37.5" customHeight="1">
      <x:c r="A328" s="14" t="str">
        <x:v>KRDS-SEC-050-U-02</x:v>
      </x:c>
      <x:c r="B328" s="14" t="str">
        <x:v>컴포넌트</x:v>
      </x:c>
      <x:c r="C328" s="14" t="str">
        <x:v>도움</x:v>
      </x:c>
      <x:c r="D328" s="14" t="str">
        <x:v>도움 패널</x:v>
      </x:c>
      <x:c r="E328" s="14" t="str">
        <x:v>사용성 가이드라인</x:v>
      </x:c>
      <x:c r="F328" s="14" t="str">
        <x:v>02</x:v>
      </x:c>
      <x:c r="G328" s="14" t="n">
        <x:v>601</x:v>
      </x:c>
      <x:c r="H328" s="14" t="n">
        <x:v>601</x:v>
      </x:c>
      <x:c r="I328" s="14" t="str">
        <x:v>603</x:v>
      </x:c>
      <x:c r="J328" s="14" t="str">
        <x:v>도움 패널의 첫 화면은 기본 상태로 제공한다.</x:v>
      </x:c>
      <x:c r="K328" s="14" t="str">
        <x:v>UI-049</x:v>
      </x:c>
      <x:c r="L328" s="14" t="str">
        <x:v>추출 후 기본 구조 검토; 원문 적용수준·전체 맥락 재확인 필요</x:v>
      </x:c>
      <x:c r="M328" s="14" t="str">
        <x:v>미확인</x:v>
      </x:c>
    </x:row>
    <x:row r="329" ht="37.5" customHeight="1">
      <x:c r="A329" s="13" t="str">
        <x:v>KRDS-SEC-050-U-03</x:v>
      </x:c>
      <x:c r="B329" s="13" t="str">
        <x:v>컴포넌트</x:v>
      </x:c>
      <x:c r="C329" s="13" t="str">
        <x:v>도움</x:v>
      </x:c>
      <x:c r="D329" s="13" t="str">
        <x:v>도움 패널</x:v>
      </x:c>
      <x:c r="E329" s="13" t="str">
        <x:v>사용성 가이드라인</x:v>
      </x:c>
      <x:c r="F329" s="13" t="str">
        <x:v>03</x:v>
      </x:c>
      <x:c r="G329" s="13" t="n">
        <x:v>601</x:v>
      </x:c>
      <x:c r="H329" s="13" t="n">
        <x:v>601</x:v>
      </x:c>
      <x:c r="I329" s="13" t="str">
        <x:v>604</x:v>
      </x:c>
      <x:c r="J329" s="13" t="str">
        <x:v>아이콘 버튼은 도움 정보를 제공하고자 하는 요소 주변에 배치한다.</x:v>
      </x:c>
      <x:c r="K329" s="13" t="str">
        <x:v>UI-049</x:v>
      </x:c>
      <x:c r="L329" s="13" t="str">
        <x:v>추출 후 기본 구조 검토; 원문 적용수준·전체 맥락 재확인 필요</x:v>
      </x:c>
      <x:c r="M329" s="13" t="str">
        <x:v>미확인</x:v>
      </x:c>
    </x:row>
    <x:row r="330" ht="37.5" customHeight="1">
      <x:c r="A330" s="14" t="str">
        <x:v>KRDS-SEC-050-U-04</x:v>
      </x:c>
      <x:c r="B330" s="14" t="str">
        <x:v>컴포넌트</x:v>
      </x:c>
      <x:c r="C330" s="14" t="str">
        <x:v>도움</x:v>
      </x:c>
      <x:c r="D330" s="14" t="str">
        <x:v>도움 패널</x:v>
      </x:c>
      <x:c r="E330" s="14" t="str">
        <x:v>사용성 가이드라인</x:v>
      </x:c>
      <x:c r="F330" s="14" t="str">
        <x:v>04</x:v>
      </x:c>
      <x:c r="G330" s="14" t="n">
        <x:v>601</x:v>
      </x:c>
      <x:c r="H330" s="14" t="n">
        <x:v>601</x:v>
      </x:c>
      <x:c r="I330" s="14" t="str">
        <x:v>604</x:v>
      </x:c>
      <x:c r="J330" s="14" t="str">
        <x:v>도움 패널의 섹션 제목은 아이콘 버튼과 관련된 본문 섹션 제목/레이블 텍스트와 일치해야 한다.</x:v>
      </x:c>
      <x:c r="K330" s="14" t="str">
        <x:v>UI-049</x:v>
      </x:c>
      <x:c r="L330" s="14" t="str">
        <x:v>추출 후 기본 구조 검토; 원문 적용수준·전체 맥락 재확인 필요</x:v>
      </x:c>
      <x:c r="M330" s="14" t="str">
        <x:v>미확인</x:v>
      </x:c>
    </x:row>
    <x:row r="331" ht="37.5" customHeight="1">
      <x:c r="A331" s="13" t="str">
        <x:v>KRDS-SEC-050-U-05</x:v>
      </x:c>
      <x:c r="B331" s="13" t="str">
        <x:v>컴포넌트</x:v>
      </x:c>
      <x:c r="C331" s="13" t="str">
        <x:v>도움</x:v>
      </x:c>
      <x:c r="D331" s="13" t="str">
        <x:v>도움 패널</x:v>
      </x:c>
      <x:c r="E331" s="13" t="str">
        <x:v>사용성 가이드라인</x:v>
      </x:c>
      <x:c r="F331" s="13" t="str">
        <x:v>05</x:v>
      </x:c>
      <x:c r="G331" s="13" t="n">
        <x:v>601</x:v>
      </x:c>
      <x:c r="H331" s="13" t="n">
        <x:v>601</x:v>
      </x:c>
      <x:c r="I331" s="13" t="str">
        <x:v>604</x:v>
      </x:c>
      <x:c r="J331" s="13" t="str">
        <x:v>콘텐츠를 간결하게 유지한다.</x:v>
      </x:c>
      <x:c r="K331" s="13" t="str">
        <x:v>UI-049</x:v>
      </x:c>
      <x:c r="L331" s="13" t="str">
        <x:v>추출 후 기본 구조 검토; 원문 적용수준·전체 맥락 재확인 필요</x:v>
      </x:c>
      <x:c r="M331" s="13" t="str">
        <x:v>미확인</x:v>
      </x:c>
    </x:row>
    <x:row r="332" ht="37.5" customHeight="1">
      <x:c r="A332" s="14" t="str">
        <x:v>KRDS-SEC-050-U-06</x:v>
      </x:c>
      <x:c r="B332" s="14" t="str">
        <x:v>컴포넌트</x:v>
      </x:c>
      <x:c r="C332" s="14" t="str">
        <x:v>도움</x:v>
      </x:c>
      <x:c r="D332" s="14" t="str">
        <x:v>도움 패널</x:v>
      </x:c>
      <x:c r="E332" s="14" t="str">
        <x:v>사용성 가이드라인</x:v>
      </x:c>
      <x:c r="F332" s="14" t="str">
        <x:v>06</x:v>
      </x:c>
      <x:c r="G332" s="14" t="n">
        <x:v>601</x:v>
      </x:c>
      <x:c r="H332" s="14" t="n">
        <x:v>601</x:v>
      </x:c>
      <x:c r="I332" s="14" t="str">
        <x:v>605</x:v>
      </x:c>
      <x:c r="J332" s="14" t="str">
        <x:v>사용자가 작업을 수행하기 위해 반드시 알아야 하는 필수 정보가 패널에서만 제공되지 않도록 한다.</x:v>
      </x:c>
      <x:c r="K332" s="14" t="str">
        <x:v>UI-049</x:v>
      </x:c>
      <x:c r="L332" s="14" t="str">
        <x:v>추출 후 기본 구조 검토; 원문 적용수준·전체 맥락 재확인 필요</x:v>
      </x:c>
      <x:c r="M332" s="14" t="str">
        <x:v>미확인</x:v>
      </x:c>
    </x:row>
    <x:row r="333" ht="37.5" customHeight="1">
      <x:c r="A333" s="13" t="str">
        <x:v>KRDS-SEC-050-U-07</x:v>
      </x:c>
      <x:c r="B333" s="13" t="str">
        <x:v>컴포넌트</x:v>
      </x:c>
      <x:c r="C333" s="13" t="str">
        <x:v>도움</x:v>
      </x:c>
      <x:c r="D333" s="13" t="str">
        <x:v>도움 패널</x:v>
      </x:c>
      <x:c r="E333" s="13" t="str">
        <x:v>사용성 가이드라인</x:v>
      </x:c>
      <x:c r="F333" s="13" t="str">
        <x:v>07</x:v>
      </x:c>
      <x:c r="G333" s="13" t="n">
        <x:v>601</x:v>
      </x:c>
      <x:c r="H333" s="13" t="n">
        <x:v>601</x:v>
      </x:c>
      <x:c r="I333" s="13" t="str">
        <x:v>605</x:v>
      </x:c>
      <x:c r="J333" s="13" t="str">
        <x:v>패널에서 제공하는 웹 페이지 링크는 새 창으로 실행한다.</x:v>
      </x:c>
      <x:c r="K333" s="13" t="str">
        <x:v>UI-049</x:v>
      </x:c>
      <x:c r="L333" s="13" t="str">
        <x:v>추출 후 기본 구조 검토; 원문 적용수준·전체 맥락 재확인 필요</x:v>
      </x:c>
      <x:c r="M333" s="13" t="str">
        <x:v>미확인</x:v>
      </x:c>
    </x:row>
    <x:row r="334" ht="37.5" customHeight="1">
      <x:c r="A334" s="14" t="str">
        <x:v>KRDS-SEC-050-U-08</x:v>
      </x:c>
      <x:c r="B334" s="14" t="str">
        <x:v>컴포넌트</x:v>
      </x:c>
      <x:c r="C334" s="14" t="str">
        <x:v>도움</x:v>
      </x:c>
      <x:c r="D334" s="14" t="str">
        <x:v>도움 패널</x:v>
      </x:c>
      <x:c r="E334" s="14" t="str">
        <x:v>사용성 가이드라인</x:v>
      </x:c>
      <x:c r="F334" s="14" t="str">
        <x:v>08</x:v>
      </x:c>
      <x:c r="G334" s="14" t="n">
        <x:v>601</x:v>
      </x:c>
      <x:c r="H334" s="14" t="n">
        <x:v>601</x:v>
      </x:c>
      <x:c r="I334" s="14" t="str">
        <x:v>605</x:v>
      </x:c>
      <x:c r="J334" s="14" t="str">
        <x:v>본문은 사용자가 특정 아이콘 버튼을 실행하는 경우에만 변경되도록 한다.</x:v>
      </x:c>
      <x:c r="K334" s="14" t="str">
        <x:v>UI-049</x:v>
      </x:c>
      <x:c r="L334" s="14" t="str">
        <x:v>추출 후 기본 구조 검토; 원문 적용수준·전체 맥락 재확인 필요</x:v>
      </x:c>
      <x:c r="M334" s="14" t="str">
        <x:v>미확인</x:v>
      </x:c>
    </x:row>
    <x:row r="335" ht="37.5" customHeight="1">
      <x:c r="A335" s="13" t="str">
        <x:v>KRDS-SEC-050-P-01</x:v>
      </x:c>
      <x:c r="B335" s="13" t="str">
        <x:v>컴포넌트</x:v>
      </x:c>
      <x:c r="C335" s="13" t="str">
        <x:v>도움</x:v>
      </x:c>
      <x:c r="D335" s="13" t="str">
        <x:v>도움 패널</x:v>
      </x:c>
      <x:c r="E335" s="13" t="str">
        <x:v>플랫폼에 대한 고려 사항</x:v>
      </x:c>
      <x:c r="F335" s="13" t="str">
        <x:v>01</x:v>
      </x:c>
      <x:c r="G335" s="13" t="n">
        <x:v>606</x:v>
      </x:c>
      <x:c r="H335" s="13" t="n">
        <x:v>606</x:v>
      </x:c>
      <x:c r="I335" s="13" t="str"/>
      <x:c r="J335" s="13" t="str">
        <x:v>화면 너비가 충분하지 않을 때 도움 패널은 패널 열기 버튼으로 축약하여 제공한다.</x:v>
      </x:c>
      <x:c r="K335" s="13" t="str">
        <x:v>UI-049</x:v>
      </x:c>
      <x:c r="L335" s="13" t="str">
        <x:v>추출 후 기본 구조 검토; 원문 적용수준·전체 맥락 재확인 필요</x:v>
      </x:c>
      <x:c r="M335" s="13" t="str">
        <x:v>미확인</x:v>
      </x:c>
    </x:row>
    <x:row r="336" ht="37.5" customHeight="1">
      <x:c r="A336" s="14" t="str">
        <x:v>KRDS-SEC-050-A-01</x:v>
      </x:c>
      <x:c r="B336" s="14" t="str">
        <x:v>컴포넌트</x:v>
      </x:c>
      <x:c r="C336" s="14" t="str">
        <x:v>도움</x:v>
      </x:c>
      <x:c r="D336" s="14" t="str">
        <x:v>도움 패널</x:v>
      </x:c>
      <x:c r="E336" s="14" t="str">
        <x:v>접근성 가이드라인</x:v>
      </x:c>
      <x:c r="F336" s="14" t="str">
        <x:v>01</x:v>
      </x:c>
      <x:c r="G336" s="14" t="n">
        <x:v>607</x:v>
      </x:c>
      <x:c r="H336" s="14" t="n">
        <x:v>607</x:v>
      </x:c>
      <x:c r="I336" s="14" t="str"/>
      <x:c r="J336" s="14" t="str">
        <x:v>아이콘과 인접 배경 간 명도 대비를 3:1 이상으로 제공한다.</x:v>
      </x:c>
      <x:c r="K336" s="14" t="str">
        <x:v>UI-049</x:v>
      </x:c>
      <x:c r="L336" s="14" t="str">
        <x:v>추출 후 기본 구조 검토; 원문 적용수준·전체 맥락 재확인 필요</x:v>
      </x:c>
      <x:c r="M336" s="14" t="str">
        <x:v>미확인</x:v>
      </x:c>
    </x:row>
    <x:row r="337" ht="37.5" customHeight="1">
      <x:c r="A337" s="13" t="str">
        <x:v>KRDS-SEC-050-A-02</x:v>
      </x:c>
      <x:c r="B337" s="13" t="str">
        <x:v>컴포넌트</x:v>
      </x:c>
      <x:c r="C337" s="13" t="str">
        <x:v>도움</x:v>
      </x:c>
      <x:c r="D337" s="13" t="str">
        <x:v>도움 패널</x:v>
      </x:c>
      <x:c r="E337" s="13" t="str">
        <x:v>접근성 가이드라인</x:v>
      </x:c>
      <x:c r="F337" s="13" t="str">
        <x:v>02</x:v>
      </x:c>
      <x:c r="G337" s="13" t="n">
        <x:v>607</x:v>
      </x:c>
      <x:c r="H337" s="13" t="n">
        <x:v>607</x:v>
      </x:c>
      <x:c r="I337" s="13" t="str"/>
      <x:c r="J337" s="13" t="str">
        <x:v>아이콘 버튼에 이름을 제공한다.</x:v>
      </x:c>
      <x:c r="K337" s="13" t="str">
        <x:v>UI-049</x:v>
      </x:c>
      <x:c r="L337" s="13" t="str">
        <x:v>추출 후 기본 구조 검토; 원문 적용수준·전체 맥락 재확인 필요</x:v>
      </x:c>
      <x:c r="M337" s="13" t="str">
        <x:v>미확인</x:v>
      </x:c>
    </x:row>
    <x:row r="338" ht="37.5" customHeight="1">
      <x:c r="A338" s="14" t="str">
        <x:v>KRDS-SEC-050-A-03</x:v>
      </x:c>
      <x:c r="B338" s="14" t="str">
        <x:v>컴포넌트</x:v>
      </x:c>
      <x:c r="C338" s="14" t="str">
        <x:v>도움</x:v>
      </x:c>
      <x:c r="D338" s="14" t="str">
        <x:v>도움 패널</x:v>
      </x:c>
      <x:c r="E338" s="14" t="str">
        <x:v>접근성 가이드라인</x:v>
      </x:c>
      <x:c r="F338" s="14" t="str">
        <x:v>03</x:v>
      </x:c>
      <x:c r="G338" s="14" t="n">
        <x:v>607</x:v>
      </x:c>
      <x:c r="H338" s="14" t="n">
        <x:v>607</x:v>
      </x:c>
      <x:c r="I338" s="14" t="str"/>
      <x:c r="J338" s="14" t="str">
        <x:v>아이콘 버튼에 고유하고 적절한 이름을 제공한다.</x:v>
      </x:c>
      <x:c r="K338" s="14" t="str">
        <x:v>UI-049</x:v>
      </x:c>
      <x:c r="L338" s="14" t="str">
        <x:v>추출 후 기본 구조 검토; 원문 적용수준·전체 맥락 재확인 필요</x:v>
      </x:c>
      <x:c r="M338" s="14" t="str">
        <x:v>미확인</x:v>
      </x:c>
    </x:row>
    <x:row r="339" ht="37.5" customHeight="1">
      <x:c r="A339" s="13" t="str">
        <x:v>KRDS-SEC-050-A-04</x:v>
      </x:c>
      <x:c r="B339" s="13" t="str">
        <x:v>컴포넌트</x:v>
      </x:c>
      <x:c r="C339" s="13" t="str">
        <x:v>도움</x:v>
      </x:c>
      <x:c r="D339" s="13" t="str">
        <x:v>도움 패널</x:v>
      </x:c>
      <x:c r="E339" s="13" t="str">
        <x:v>접근성 가이드라인</x:v>
      </x:c>
      <x:c r="F339" s="13" t="str">
        <x:v>04</x:v>
      </x:c>
      <x:c r="G339" s="13" t="n">
        <x:v>608</x:v>
      </x:c>
      <x:c r="H339" s="13" t="n">
        <x:v>608</x:v>
      </x:c>
      <x:c r="I339" s="13" t="str"/>
      <x:c r="J339" s="13" t="str">
        <x:v>키보드 초점은 논리적인 순서로 이동해야 한다.</x:v>
      </x:c>
      <x:c r="K339" s="13" t="str">
        <x:v>UI-049</x:v>
      </x:c>
      <x:c r="L339" s="13" t="str">
        <x:v>추출 후 기본 구조 검토; 원문 적용수준·전체 맥락 재확인 필요</x:v>
      </x:c>
      <x:c r="M339" s="13" t="str">
        <x:v>미확인</x:v>
      </x:c>
    </x:row>
    <x:row r="340" ht="37.5" customHeight="1">
      <x:c r="A340" s="14" t="str">
        <x:v>KRDS-SEC-050-A-05</x:v>
      </x:c>
      <x:c r="B340" s="14" t="str">
        <x:v>컴포넌트</x:v>
      </x:c>
      <x:c r="C340" s="14" t="str">
        <x:v>도움</x:v>
      </x:c>
      <x:c r="D340" s="14" t="str">
        <x:v>도움 패널</x:v>
      </x:c>
      <x:c r="E340" s="14" t="str">
        <x:v>접근성 가이드라인</x:v>
      </x:c>
      <x:c r="F340" s="14" t="str">
        <x:v>05</x:v>
      </x:c>
      <x:c r="G340" s="14" t="n">
        <x:v>608</x:v>
      </x:c>
      <x:c r="H340" s="14" t="n">
        <x:v>608</x:v>
      </x:c>
      <x:c r="I340" s="14" t="str"/>
      <x:c r="J340" s="14" t="str">
        <x:v>아이콘 버튼의 크기를 44px × 44px 이상으로 제공하는 방안을 고려한다.</x:v>
      </x:c>
      <x:c r="K340" s="14" t="str">
        <x:v>UI-049</x:v>
      </x:c>
      <x:c r="L340" s="14" t="str">
        <x:v>추출 후 기본 구조 검토; 원문 적용수준·전체 맥락 재확인 필요</x:v>
      </x:c>
      <x:c r="M340" s="14" t="str">
        <x:v>미확인</x:v>
      </x:c>
    </x:row>
    <x:row r="341" ht="37.5" customHeight="1">
      <x:c r="A341" s="13" t="str">
        <x:v>KRDS-SEC-050-A-06</x:v>
      </x:c>
      <x:c r="B341" s="13" t="str">
        <x:v>컴포넌트</x:v>
      </x:c>
      <x:c r="C341" s="13" t="str">
        <x:v>도움</x:v>
      </x:c>
      <x:c r="D341" s="13" t="str">
        <x:v>도움 패널</x:v>
      </x:c>
      <x:c r="E341" s="13" t="str">
        <x:v>접근성 가이드라인</x:v>
      </x:c>
      <x:c r="F341" s="13" t="str">
        <x:v>06</x:v>
      </x:c>
      <x:c r="G341" s="13" t="n">
        <x:v>608</x:v>
      </x:c>
      <x:c r="H341" s="13" t="n">
        <x:v>608</x:v>
      </x:c>
      <x:c r="I341" s="13" t="str"/>
      <x:c r="J341" s="13" t="str">
        <x:v>패널 열기 버튼과 패널은 본문 바로 다음 요소로 제공한다.</x:v>
      </x:c>
      <x:c r="K341" s="13" t="str">
        <x:v>UI-049</x:v>
      </x:c>
      <x:c r="L341" s="13" t="str">
        <x:v>추출 후 기본 구조 검토; 원문 적용수준·전체 맥락 재확인 필요</x:v>
      </x:c>
      <x:c r="M341" s="13" t="str">
        <x:v>미확인</x:v>
      </x:c>
    </x:row>
    <x:row r="342" ht="37.5" customHeight="1">
      <x:c r="A342" s="14" t="str">
        <x:v>KRDS-SEC-051-U-01</x:v>
      </x:c>
      <x:c r="B342" s="14" t="str">
        <x:v>컴포넌트</x:v>
      </x:c>
      <x:c r="C342" s="14" t="str">
        <x:v>도움</x:v>
      </x:c>
      <x:c r="D342" s="14" t="str">
        <x:v>따라하기 패널</x:v>
      </x:c>
      <x:c r="E342" s="14" t="str">
        <x:v>사용성 가이드라인</x:v>
      </x:c>
      <x:c r="F342" s="14" t="str">
        <x:v>01</x:v>
      </x:c>
      <x:c r="G342" s="14" t="n">
        <x:v>614</x:v>
      </x:c>
      <x:c r="H342" s="14" t="n">
        <x:v>614</x:v>
      </x:c>
      <x:c r="I342" s="14" t="str">
        <x:v>615</x:v>
      </x:c>
      <x:c r="J342" s="14" t="str">
        <x:v>사용자가 중단하기 버튼을 누르기 전까지 콘텐츠가 변경되지 않아야 한다.</x:v>
      </x:c>
      <x:c r="K342" s="14" t="str">
        <x:v>UI-050</x:v>
      </x:c>
      <x:c r="L342" s="14" t="str">
        <x:v>추출 후 기본 구조 검토; 원문 적용수준·전체 맥락 재확인 필요</x:v>
      </x:c>
      <x:c r="M342" s="14" t="str">
        <x:v>미확인</x:v>
      </x:c>
    </x:row>
    <x:row r="343" ht="37.5" customHeight="1">
      <x:c r="A343" s="13" t="str">
        <x:v>KRDS-SEC-051-U-02</x:v>
      </x:c>
      <x:c r="B343" s="13" t="str">
        <x:v>컴포넌트</x:v>
      </x:c>
      <x:c r="C343" s="13" t="str">
        <x:v>도움</x:v>
      </x:c>
      <x:c r="D343" s="13" t="str">
        <x:v>따라하기 패널</x:v>
      </x:c>
      <x:c r="E343" s="13" t="str">
        <x:v>사용성 가이드라인</x:v>
      </x:c>
      <x:c r="F343" s="13" t="str">
        <x:v>02</x:v>
      </x:c>
      <x:c r="G343" s="13" t="n">
        <x:v>614</x:v>
      </x:c>
      <x:c r="H343" s="13" t="n">
        <x:v>614</x:v>
      </x:c>
      <x:c r="I343" s="13" t="str">
        <x:v>615</x:v>
      </x:c>
      <x:c r="J343" s="13" t="str">
        <x:v>사용자가 중단하기 버튼을 누르기 전까지 따라하기 프로세스가 중단되지 않아야 한다.</x:v>
      </x:c>
      <x:c r="K343" s="13" t="str">
        <x:v>UI-050</x:v>
      </x:c>
      <x:c r="L343" s="13" t="str">
        <x:v>추출 후 기본 구조 검토; 원문 적용수준·전체 맥락 재확인 필요</x:v>
      </x:c>
      <x:c r="M343" s="13" t="str">
        <x:v>미확인</x:v>
      </x:c>
    </x:row>
    <x:row r="344" ht="37.5" customHeight="1">
      <x:c r="A344" s="14" t="str">
        <x:v>KRDS-SEC-051-U-03</x:v>
      </x:c>
      <x:c r="B344" s="14" t="str">
        <x:v>컴포넌트</x:v>
      </x:c>
      <x:c r="C344" s="14" t="str">
        <x:v>도움</x:v>
      </x:c>
      <x:c r="D344" s="14" t="str">
        <x:v>따라하기 패널</x:v>
      </x:c>
      <x:c r="E344" s="14" t="str">
        <x:v>사용성 가이드라인</x:v>
      </x:c>
      <x:c r="F344" s="14" t="str">
        <x:v>03</x:v>
      </x:c>
      <x:c r="G344" s="14" t="n">
        <x:v>614</x:v>
      </x:c>
      <x:c r="H344" s="14" t="n">
        <x:v>614</x:v>
      </x:c>
      <x:c r="I344" s="14" t="str">
        <x:v>615</x:v>
      </x:c>
      <x:c r="J344" s="14" t="str">
        <x:v>콘텐츠를 간결하게 유지한다.</x:v>
      </x:c>
      <x:c r="K344" s="14" t="str">
        <x:v>UI-050</x:v>
      </x:c>
      <x:c r="L344" s="14" t="str">
        <x:v>추출 후 기본 구조 검토; 원문 적용수준·전체 맥락 재확인 필요</x:v>
      </x:c>
      <x:c r="M344" s="14" t="str">
        <x:v>미확인</x:v>
      </x:c>
    </x:row>
    <x:row r="345" ht="37.5" customHeight="1">
      <x:c r="A345" s="13" t="str">
        <x:v>KRDS-SEC-051-U-04</x:v>
      </x:c>
      <x:c r="B345" s="13" t="str">
        <x:v>컴포넌트</x:v>
      </x:c>
      <x:c r="C345" s="13" t="str">
        <x:v>도움</x:v>
      </x:c>
      <x:c r="D345" s="13" t="str">
        <x:v>따라하기 패널</x:v>
      </x:c>
      <x:c r="E345" s="13" t="str">
        <x:v>사용성 가이드라인</x:v>
      </x:c>
      <x:c r="F345" s="13" t="str">
        <x:v>04</x:v>
      </x:c>
      <x:c r="G345" s="13" t="n">
        <x:v>614</x:v>
      </x:c>
      <x:c r="H345" s="13" t="n">
        <x:v>614</x:v>
      </x:c>
      <x:c r="I345" s="13" t="str">
        <x:v>615</x:v>
      </x:c>
      <x:c r="J345" s="13" t="str">
        <x:v>패널에서 제공하는 웹 페이지 링크는 새 창으로 실행한다.</x:v>
      </x:c>
      <x:c r="K345" s="13" t="str">
        <x:v>UI-050</x:v>
      </x:c>
      <x:c r="L345" s="13" t="str">
        <x:v>추출 후 기본 구조 검토; 원문 적용수준·전체 맥락 재확인 필요</x:v>
      </x:c>
      <x:c r="M345" s="13" t="str">
        <x:v>미확인</x:v>
      </x:c>
    </x:row>
    <x:row r="346" ht="37.5" customHeight="1">
      <x:c r="A346" s="14" t="str">
        <x:v>KRDS-SEC-051-P-01</x:v>
      </x:c>
      <x:c r="B346" s="14" t="str">
        <x:v>컴포넌트</x:v>
      </x:c>
      <x:c r="C346" s="14" t="str">
        <x:v>도움</x:v>
      </x:c>
      <x:c r="D346" s="14" t="str">
        <x:v>따라하기 패널</x:v>
      </x:c>
      <x:c r="E346" s="14" t="str">
        <x:v>플랫폼에 대한 고려 사항</x:v>
      </x:c>
      <x:c r="F346" s="14" t="str">
        <x:v>01</x:v>
      </x:c>
      <x:c r="G346" s="14" t="n">
        <x:v>616</x:v>
      </x:c>
      <x:c r="H346" s="14" t="n">
        <x:v>616</x:v>
      </x:c>
      <x:c r="I346" s="14" t="str"/>
      <x:c r="J346" s="14" t="str">
        <x:v>화면 너비가 충분하지 않을 때 따라하기 패널은 패널 열기 버튼으로 축약하여 제공한다.</x:v>
      </x:c>
      <x:c r="K346" s="14" t="str">
        <x:v>UI-050</x:v>
      </x:c>
      <x:c r="L346" s="14" t="str">
        <x:v>추출 후 기본 구조 검토; 원문 적용수준·전체 맥락 재확인 필요</x:v>
      </x:c>
      <x:c r="M346" s="14" t="str">
        <x:v>미확인</x:v>
      </x:c>
    </x:row>
    <x:row r="347" ht="37.5" customHeight="1">
      <x:c r="A347" s="13" t="str">
        <x:v>KRDS-SEC-051-A-01</x:v>
      </x:c>
      <x:c r="B347" s="13" t="str">
        <x:v>컴포넌트</x:v>
      </x:c>
      <x:c r="C347" s="13" t="str">
        <x:v>도움</x:v>
      </x:c>
      <x:c r="D347" s="13" t="str">
        <x:v>따라하기 패널</x:v>
      </x:c>
      <x:c r="E347" s="13" t="str">
        <x:v>접근성 가이드라인</x:v>
      </x:c>
      <x:c r="F347" s="13" t="str">
        <x:v>01</x:v>
      </x:c>
      <x:c r="G347" s="13" t="n">
        <x:v>617</x:v>
      </x:c>
      <x:c r="H347" s="13" t="n">
        <x:v>617</x:v>
      </x:c>
      <x:c r="I347" s="13" t="str"/>
      <x:c r="J347" s="13" t="str">
        <x:v>키보드 초점은 논리적인 순서로 이동해야 한다.</x:v>
      </x:c>
      <x:c r="K347" s="13" t="str">
        <x:v>UI-050</x:v>
      </x:c>
      <x:c r="L347" s="13" t="str">
        <x:v>추출 후 기본 구조 검토; 원문 적용수준·전체 맥락 재확인 필요</x:v>
      </x:c>
      <x:c r="M347" s="13" t="str">
        <x:v>미확인</x:v>
      </x:c>
    </x:row>
    <x:row r="348" ht="37.5" customHeight="1">
      <x:c r="A348" s="14" t="str">
        <x:v>KRDS-SEC-051-A-02</x:v>
      </x:c>
      <x:c r="B348" s="14" t="str">
        <x:v>컴포넌트</x:v>
      </x:c>
      <x:c r="C348" s="14" t="str">
        <x:v>도움</x:v>
      </x:c>
      <x:c r="D348" s="14" t="str">
        <x:v>따라하기 패널</x:v>
      </x:c>
      <x:c r="E348" s="14" t="str">
        <x:v>접근성 가이드라인</x:v>
      </x:c>
      <x:c r="F348" s="14" t="str">
        <x:v>02</x:v>
      </x:c>
      <x:c r="G348" s="14" t="n">
        <x:v>617</x:v>
      </x:c>
      <x:c r="H348" s="14" t="n">
        <x:v>617</x:v>
      </x:c>
      <x:c r="I348" s="14" t="str"/>
      <x:c r="J348" s="14" t="str">
        <x:v>패널 열기 버튼과 패널은 본문 바로 다음 요소로 제공한다.</x:v>
      </x:c>
      <x:c r="K348" s="14" t="str">
        <x:v>UI-050</x:v>
      </x:c>
      <x:c r="L348" s="14" t="str">
        <x:v>추출 후 기본 구조 검토; 원문 적용수준·전체 맥락 재확인 필요</x:v>
      </x:c>
      <x:c r="M348" s="14" t="str">
        <x:v>미확인</x:v>
      </x:c>
    </x:row>
    <x:row r="349" ht="37.5" customHeight="1">
      <x:c r="A349" s="13" t="str">
        <x:v>KRDS-SEC-052-U-01</x:v>
      </x:c>
      <x:c r="B349" s="13" t="str">
        <x:v>컴포넌트</x:v>
      </x:c>
      <x:c r="C349" s="13" t="str">
        <x:v>도움</x:v>
      </x:c>
      <x:c r="D349" s="13" t="str">
        <x:v>맥락적 도움말</x:v>
      </x:c>
      <x:c r="E349" s="13" t="str">
        <x:v>사용성 가이드라인</x:v>
      </x:c>
      <x:c r="F349" s="13" t="str">
        <x:v>01</x:v>
      </x:c>
      <x:c r="G349" s="13" t="n">
        <x:v>623</x:v>
      </x:c>
      <x:c r="H349" s="13" t="n">
        <x:v>623</x:v>
      </x:c>
      <x:c r="I349" s="13" t="str">
        <x:v>624</x:v>
      </x:c>
      <x:c r="J349" s="13" t="str">
        <x:v>아이콘 버튼은 도움 정보를 제공하고자 하는 요소 주변에 배치한다.</x:v>
      </x:c>
      <x:c r="K349" s="13" t="str">
        <x:v>UI-051</x:v>
      </x:c>
      <x:c r="L349" s="13" t="str">
        <x:v>추출 후 기본 구조 검토; 원문 적용수준·전체 맥락 재확인 필요</x:v>
      </x:c>
      <x:c r="M349" s="13" t="str">
        <x:v>미확인</x:v>
      </x:c>
    </x:row>
    <x:row r="350" ht="37.5" customHeight="1">
      <x:c r="A350" s="14" t="str">
        <x:v>KRDS-SEC-052-U-02</x:v>
      </x:c>
      <x:c r="B350" s="14" t="str">
        <x:v>컴포넌트</x:v>
      </x:c>
      <x:c r="C350" s="14" t="str">
        <x:v>도움</x:v>
      </x:c>
      <x:c r="D350" s="14" t="str">
        <x:v>맥락적 도움말</x:v>
      </x:c>
      <x:c r="E350" s="14" t="str">
        <x:v>사용성 가이드라인</x:v>
      </x:c>
      <x:c r="F350" s="14" t="str">
        <x:v>02</x:v>
      </x:c>
      <x:c r="G350" s="14" t="n">
        <x:v>623</x:v>
      </x:c>
      <x:c r="H350" s="14" t="n">
        <x:v>623</x:v>
      </x:c>
      <x:c r="I350" s="14" t="str">
        <x:v>625</x:v>
      </x:c>
      <x:c r="J350" s="14" t="str">
        <x:v>팝오버 영역이 화면을 벗어나지 않도록 표현한다.</x:v>
      </x:c>
      <x:c r="K350" s="14" t="str">
        <x:v>UI-051</x:v>
      </x:c>
      <x:c r="L350" s="14" t="str">
        <x:v>추출 후 기본 구조 검토; 원문 적용수준·전체 맥락 재확인 필요</x:v>
      </x:c>
      <x:c r="M350" s="14" t="str">
        <x:v>미확인</x:v>
      </x:c>
    </x:row>
    <x:row r="351" ht="37.5" customHeight="1">
      <x:c r="A351" s="13" t="str">
        <x:v>KRDS-SEC-052-U-03</x:v>
      </x:c>
      <x:c r="B351" s="13" t="str">
        <x:v>컴포넌트</x:v>
      </x:c>
      <x:c r="C351" s="13" t="str">
        <x:v>도움</x:v>
      </x:c>
      <x:c r="D351" s="13" t="str">
        <x:v>맥락적 도움말</x:v>
      </x:c>
      <x:c r="E351" s="13" t="str">
        <x:v>사용성 가이드라인</x:v>
      </x:c>
      <x:c r="F351" s="13" t="str">
        <x:v>03</x:v>
      </x:c>
      <x:c r="G351" s="13" t="n">
        <x:v>623</x:v>
      </x:c>
      <x:c r="H351" s="13" t="n">
        <x:v>623</x:v>
      </x:c>
      <x:c r="I351" s="13" t="str">
        <x:v>626</x:v>
      </x:c>
      <x:c r="J351" s="13" t="str">
        <x:v>팝오버 영역이 본문의 중요 콘텐츠를 가리지 않도록 표현한다.</x:v>
      </x:c>
      <x:c r="K351" s="13" t="str">
        <x:v>UI-051</x:v>
      </x:c>
      <x:c r="L351" s="13" t="str">
        <x:v>추출 후 기본 구조 검토; 원문 적용수준·전체 맥락 재확인 필요</x:v>
      </x:c>
      <x:c r="M351" s="13" t="str">
        <x:v>미확인</x:v>
      </x:c>
    </x:row>
    <x:row r="352" ht="37.5" customHeight="1">
      <x:c r="A352" s="14" t="str">
        <x:v>KRDS-SEC-052-U-04</x:v>
      </x:c>
      <x:c r="B352" s="14" t="str">
        <x:v>컴포넌트</x:v>
      </x:c>
      <x:c r="C352" s="14" t="str">
        <x:v>도움</x:v>
      </x:c>
      <x:c r="D352" s="14" t="str">
        <x:v>맥락적 도움말</x:v>
      </x:c>
      <x:c r="E352" s="14" t="str">
        <x:v>사용성 가이드라인</x:v>
      </x:c>
      <x:c r="F352" s="14" t="str">
        <x:v>04</x:v>
      </x:c>
      <x:c r="G352" s="14" t="n">
        <x:v>623</x:v>
      </x:c>
      <x:c r="H352" s="14" t="n">
        <x:v>623</x:v>
      </x:c>
      <x:c r="I352" s="14" t="str">
        <x:v>627</x:v>
      </x:c>
      <x:c r="J352" s="14" t="str">
        <x:v>사용자가 작업을 수행하기 위해 반드시 알아야 하는 필수 정보가 맥락적 도움말 콘텐츠에서만 제공되지 않도록 한다.</x:v>
      </x:c>
      <x:c r="K352" s="14" t="str">
        <x:v>UI-051</x:v>
      </x:c>
      <x:c r="L352" s="14" t="str">
        <x:v>추출 후 기본 구조 검토; 원문 적용수준·전체 맥락 재확인 필요</x:v>
      </x:c>
      <x:c r="M352" s="14" t="str">
        <x:v>미확인</x:v>
      </x:c>
    </x:row>
    <x:row r="353" ht="37.5" customHeight="1">
      <x:c r="A353" s="13" t="str">
        <x:v>KRDS-SEC-052-U-05</x:v>
      </x:c>
      <x:c r="B353" s="13" t="str">
        <x:v>컴포넌트</x:v>
      </x:c>
      <x:c r="C353" s="13" t="str">
        <x:v>도움</x:v>
      </x:c>
      <x:c r="D353" s="13" t="str">
        <x:v>맥락적 도움말</x:v>
      </x:c>
      <x:c r="E353" s="13" t="str">
        <x:v>사용성 가이드라인</x:v>
      </x:c>
      <x:c r="F353" s="13" t="str">
        <x:v>05</x:v>
      </x:c>
      <x:c r="G353" s="13" t="n">
        <x:v>623</x:v>
      </x:c>
      <x:c r="H353" s="13" t="n">
        <x:v>623</x:v>
      </x:c>
      <x:c r="I353" s="13" t="str">
        <x:v>628</x:v>
      </x:c>
      <x:c r="J353" s="13" t="str">
        <x:v>맥락적 도움말에서 또 다른 맥락적 도움말을 실행하거나 모달을 실행하지 않도록 한다.</x:v>
      </x:c>
      <x:c r="K353" s="13" t="str">
        <x:v>UI-051</x:v>
      </x:c>
      <x:c r="L353" s="13" t="str">
        <x:v>추출 후 기본 구조 검토; 원문 적용수준·전체 맥락 재확인 필요</x:v>
      </x:c>
      <x:c r="M353" s="13" t="str">
        <x:v>미확인</x:v>
      </x:c>
    </x:row>
    <x:row r="354" ht="37.5" customHeight="1">
      <x:c r="A354" s="14" t="str">
        <x:v>KRDS-SEC-052-U-06</x:v>
      </x:c>
      <x:c r="B354" s="14" t="str">
        <x:v>컴포넌트</x:v>
      </x:c>
      <x:c r="C354" s="14" t="str">
        <x:v>도움</x:v>
      </x:c>
      <x:c r="D354" s="14" t="str">
        <x:v>맥락적 도움말</x:v>
      </x:c>
      <x:c r="E354" s="14" t="str">
        <x:v>사용성 가이드라인</x:v>
      </x:c>
      <x:c r="F354" s="14" t="str">
        <x:v>06</x:v>
      </x:c>
      <x:c r="G354" s="14" t="n">
        <x:v>623</x:v>
      </x:c>
      <x:c r="H354" s="14" t="n">
        <x:v>623</x:v>
      </x:c>
      <x:c r="I354" s="14" t="str">
        <x:v>628</x:v>
      </x:c>
      <x:c r="J354" s="14" t="str">
        <x:v>도움말 내부 링크는 새 창으로 실행한다.</x:v>
      </x:c>
      <x:c r="K354" s="14" t="str">
        <x:v>UI-051</x:v>
      </x:c>
      <x:c r="L354" s="14" t="str">
        <x:v>추출 후 기본 구조 검토; 원문 적용수준·전체 맥락 재확인 필요</x:v>
      </x:c>
      <x:c r="M354" s="14" t="str">
        <x:v>미확인</x:v>
      </x:c>
    </x:row>
    <x:row r="355" ht="37.5" customHeight="1">
      <x:c r="A355" s="13" t="str">
        <x:v>KRDS-SEC-052-U-07</x:v>
      </x:c>
      <x:c r="B355" s="13" t="str">
        <x:v>컴포넌트</x:v>
      </x:c>
      <x:c r="C355" s="13" t="str">
        <x:v>도움</x:v>
      </x:c>
      <x:c r="D355" s="13" t="str">
        <x:v>맥락적 도움말</x:v>
      </x:c>
      <x:c r="E355" s="13" t="str">
        <x:v>사용성 가이드라인</x:v>
      </x:c>
      <x:c r="F355" s="13" t="str">
        <x:v>07</x:v>
      </x:c>
      <x:c r="G355" s="13" t="n">
        <x:v>623</x:v>
      </x:c>
      <x:c r="H355" s="13" t="n">
        <x:v>623</x:v>
      </x:c>
      <x:c r="I355" s="13" t="str">
        <x:v>629</x:v>
      </x:c>
      <x:c r="J355" s="13" t="str">
        <x:v>맥락적 도움말과 도움 패널을 함께 사용하지 않는다.</x:v>
      </x:c>
      <x:c r="K355" s="13" t="str">
        <x:v>UI-051</x:v>
      </x:c>
      <x:c r="L355" s="13" t="str">
        <x:v>추출 후 기본 구조 검토; 원문 적용수준·전체 맥락 재확인 필요</x:v>
      </x:c>
      <x:c r="M355" s="13" t="str">
        <x:v>미확인</x:v>
      </x:c>
    </x:row>
    <x:row r="356" ht="37.5" customHeight="1">
      <x:c r="A356" s="14" t="str">
        <x:v>KRDS-SEC-052-P-01</x:v>
      </x:c>
      <x:c r="B356" s="14" t="str">
        <x:v>컴포넌트</x:v>
      </x:c>
      <x:c r="C356" s="14" t="str">
        <x:v>도움</x:v>
      </x:c>
      <x:c r="D356" s="14" t="str">
        <x:v>맥락적 도움말</x:v>
      </x:c>
      <x:c r="E356" s="14" t="str">
        <x:v>플랫폼에 대한 고려 사항</x:v>
      </x:c>
      <x:c r="F356" s="14" t="str">
        <x:v>01</x:v>
      </x:c>
      <x:c r="G356" s="14" t="n">
        <x:v>630</x:v>
      </x:c>
      <x:c r="H356" s="14" t="n">
        <x:v>630</x:v>
      </x:c>
      <x:c r="I356" s="14" t="str"/>
      <x:c r="J356" s="14" t="str">
        <x:v>모든 화면 크기에서 팝오버 영역이 완전히 표시되는지 확인한다.</x:v>
      </x:c>
      <x:c r="K356" s="14" t="str">
        <x:v>UI-051</x:v>
      </x:c>
      <x:c r="L356" s="14" t="str">
        <x:v>추출 후 기본 구조 검토; 원문 적용수준·전체 맥락 재확인 필요</x:v>
      </x:c>
      <x:c r="M356" s="14" t="str">
        <x:v>미확인</x:v>
      </x:c>
    </x:row>
    <x:row r="357" ht="37.5" customHeight="1">
      <x:c r="A357" s="13" t="str">
        <x:v>KRDS-SEC-052-A-01</x:v>
      </x:c>
      <x:c r="B357" s="13" t="str">
        <x:v>컴포넌트</x:v>
      </x:c>
      <x:c r="C357" s="13" t="str">
        <x:v>도움</x:v>
      </x:c>
      <x:c r="D357" s="13" t="str">
        <x:v>맥락적 도움말</x:v>
      </x:c>
      <x:c r="E357" s="13" t="str">
        <x:v>접근성 가이드라인</x:v>
      </x:c>
      <x:c r="F357" s="13" t="str">
        <x:v>01</x:v>
      </x:c>
      <x:c r="G357" s="13" t="n">
        <x:v>631</x:v>
      </x:c>
      <x:c r="H357" s="13" t="n">
        <x:v>631</x:v>
      </x:c>
      <x:c r="I357" s="13" t="str"/>
      <x:c r="J357" s="13" t="str">
        <x:v>아이콘과 인접 배경 간 명도 대비를 3:1 이상으로 제공한다.</x:v>
      </x:c>
      <x:c r="K357" s="13" t="str">
        <x:v>UI-051</x:v>
      </x:c>
      <x:c r="L357" s="13" t="str">
        <x:v>추출 후 기본 구조 검토; 원문 적용수준·전체 맥락 재확인 필요</x:v>
      </x:c>
      <x:c r="M357" s="13" t="str">
        <x:v>미확인</x:v>
      </x:c>
    </x:row>
    <x:row r="358" ht="37.5" customHeight="1">
      <x:c r="A358" s="14" t="str">
        <x:v>KRDS-SEC-052-A-02</x:v>
      </x:c>
      <x:c r="B358" s="14" t="str">
        <x:v>컴포넌트</x:v>
      </x:c>
      <x:c r="C358" s="14" t="str">
        <x:v>도움</x:v>
      </x:c>
      <x:c r="D358" s="14" t="str">
        <x:v>맥락적 도움말</x:v>
      </x:c>
      <x:c r="E358" s="14" t="str">
        <x:v>접근성 가이드라인</x:v>
      </x:c>
      <x:c r="F358" s="14" t="str">
        <x:v>02</x:v>
      </x:c>
      <x:c r="G358" s="14" t="n">
        <x:v>631</x:v>
      </x:c>
      <x:c r="H358" s="14" t="n">
        <x:v>631</x:v>
      </x:c>
      <x:c r="I358" s="14" t="str"/>
      <x:c r="J358" s="14" t="str">
        <x:v>아이콘 버튼에 이름을 제공한다.</x:v>
      </x:c>
      <x:c r="K358" s="14" t="str">
        <x:v>UI-051</x:v>
      </x:c>
      <x:c r="L358" s="14" t="str">
        <x:v>추출 후 기본 구조 검토; 원문 적용수준·전체 맥락 재확인 필요</x:v>
      </x:c>
      <x:c r="M358" s="14" t="str">
        <x:v>미확인</x:v>
      </x:c>
    </x:row>
    <x:row r="359" ht="37.5" customHeight="1">
      <x:c r="A359" s="13" t="str">
        <x:v>KRDS-SEC-052-A-03</x:v>
      </x:c>
      <x:c r="B359" s="13" t="str">
        <x:v>컴포넌트</x:v>
      </x:c>
      <x:c r="C359" s="13" t="str">
        <x:v>도움</x:v>
      </x:c>
      <x:c r="D359" s="13" t="str">
        <x:v>맥락적 도움말</x:v>
      </x:c>
      <x:c r="E359" s="13" t="str">
        <x:v>접근성 가이드라인</x:v>
      </x:c>
      <x:c r="F359" s="13" t="str">
        <x:v>03</x:v>
      </x:c>
      <x:c r="G359" s="13" t="n">
        <x:v>631</x:v>
      </x:c>
      <x:c r="H359" s="13" t="n">
        <x:v>631</x:v>
      </x:c>
      <x:c r="I359" s="13" t="str"/>
      <x:c r="J359" s="13" t="str">
        <x:v>아이콘 버튼에 고유하고 적절한 이름을 제공한다.</x:v>
      </x:c>
      <x:c r="K359" s="13" t="str">
        <x:v>UI-051</x:v>
      </x:c>
      <x:c r="L359" s="13" t="str">
        <x:v>추출 후 기본 구조 검토; 원문 적용수준·전체 맥락 재확인 필요</x:v>
      </x:c>
      <x:c r="M359" s="13" t="str">
        <x:v>미확인</x:v>
      </x:c>
    </x:row>
    <x:row r="360" ht="37.5" customHeight="1">
      <x:c r="A360" s="14" t="str">
        <x:v>KRDS-SEC-052-A-04</x:v>
      </x:c>
      <x:c r="B360" s="14" t="str">
        <x:v>컴포넌트</x:v>
      </x:c>
      <x:c r="C360" s="14" t="str">
        <x:v>도움</x:v>
      </x:c>
      <x:c r="D360" s="14" t="str">
        <x:v>맥락적 도움말</x:v>
      </x:c>
      <x:c r="E360" s="14" t="str">
        <x:v>접근성 가이드라인</x:v>
      </x:c>
      <x:c r="F360" s="14" t="str">
        <x:v>04</x:v>
      </x:c>
      <x:c r="G360" s="14" t="n">
        <x:v>632</x:v>
      </x:c>
      <x:c r="H360" s="14" t="n">
        <x:v>632</x:v>
      </x:c>
      <x:c r="I360" s="14" t="str"/>
      <x:c r="J360" s="14" t="str">
        <x:v>맥락적 도움말은 사용자가 요청한 경우에만 실행되어야 한다.</x:v>
      </x:c>
      <x:c r="K360" s="14" t="str">
        <x:v>UI-051</x:v>
      </x:c>
      <x:c r="L360" s="14" t="str">
        <x:v>추출 후 기본 구조 검토; 원문 적용수준·전체 맥락 재확인 필요</x:v>
      </x:c>
      <x:c r="M360" s="14" t="str">
        <x:v>미확인</x:v>
      </x:c>
    </x:row>
    <x:row r="361" ht="37.5" customHeight="1">
      <x:c r="A361" s="13" t="str">
        <x:v>KRDS-SEC-052-A-05</x:v>
      </x:c>
      <x:c r="B361" s="13" t="str">
        <x:v>컴포넌트</x:v>
      </x:c>
      <x:c r="C361" s="13" t="str">
        <x:v>도움</x:v>
      </x:c>
      <x:c r="D361" s="13" t="str">
        <x:v>맥락적 도움말</x:v>
      </x:c>
      <x:c r="E361" s="13" t="str">
        <x:v>접근성 가이드라인</x:v>
      </x:c>
      <x:c r="F361" s="13" t="str">
        <x:v>05</x:v>
      </x:c>
      <x:c r="G361" s="13" t="n">
        <x:v>632</x:v>
      </x:c>
      <x:c r="H361" s="13" t="n">
        <x:v>632</x:v>
      </x:c>
      <x:c r="I361" s="13" t="str"/>
      <x:c r="J361" s="13" t="str">
        <x:v>아이콘 버튼과 도움말 팝오버 콘텐츠를 적절한 순서로 제공한다.</x:v>
      </x:c>
      <x:c r="K361" s="13" t="str">
        <x:v>UI-051</x:v>
      </x:c>
      <x:c r="L361" s="13" t="str">
        <x:v>추출 후 기본 구조 검토; 원문 적용수준·전체 맥락 재확인 필요</x:v>
      </x:c>
      <x:c r="M361" s="13" t="str">
        <x:v>미확인</x:v>
      </x:c>
    </x:row>
    <x:row r="362" ht="37.5" customHeight="1">
      <x:c r="A362" s="14" t="str">
        <x:v>KRDS-SEC-052-A-06</x:v>
      </x:c>
      <x:c r="B362" s="14" t="str">
        <x:v>컴포넌트</x:v>
      </x:c>
      <x:c r="C362" s="14" t="str">
        <x:v>도움</x:v>
      </x:c>
      <x:c r="D362" s="14" t="str">
        <x:v>맥락적 도움말</x:v>
      </x:c>
      <x:c r="E362" s="14" t="str">
        <x:v>접근성 가이드라인</x:v>
      </x:c>
      <x:c r="F362" s="14" t="str">
        <x:v>06</x:v>
      </x:c>
      <x:c r="G362" s="14" t="n">
        <x:v>633</x:v>
      </x:c>
      <x:c r="H362" s="14" t="n">
        <x:v>633</x:v>
      </x:c>
      <x:c r="I362" s="14" t="str"/>
      <x:c r="J362" s="14" t="str">
        <x:v>키보드 초점은 논리적인 순서로 이동해야 한다.</x:v>
      </x:c>
      <x:c r="K362" s="14" t="str">
        <x:v>UI-051</x:v>
      </x:c>
      <x:c r="L362" s="14" t="str">
        <x:v>추출 후 기본 구조 검토; 원문 적용수준·전체 맥락 재확인 필요</x:v>
      </x:c>
      <x:c r="M362" s="14" t="str">
        <x:v>미확인</x:v>
      </x:c>
    </x:row>
    <x:row r="363" ht="37.5" customHeight="1">
      <x:c r="A363" s="13" t="str">
        <x:v>KRDS-SEC-052-A-07</x:v>
      </x:c>
      <x:c r="B363" s="13" t="str">
        <x:v>컴포넌트</x:v>
      </x:c>
      <x:c r="C363" s="13" t="str">
        <x:v>도움</x:v>
      </x:c>
      <x:c r="D363" s="13" t="str">
        <x:v>맥락적 도움말</x:v>
      </x:c>
      <x:c r="E363" s="13" t="str">
        <x:v>접근성 가이드라인</x:v>
      </x:c>
      <x:c r="F363" s="13" t="str">
        <x:v>07</x:v>
      </x:c>
      <x:c r="G363" s="13" t="n">
        <x:v>633</x:v>
      </x:c>
      <x:c r="H363" s="13" t="n">
        <x:v>633</x:v>
      </x:c>
      <x:c r="I363" s="13" t="str"/>
      <x:c r="J363" s="13" t="str">
        <x:v>아이콘 버튼의 크기를 44px × 44px 이상으로 제공하는 방안을 고려한다.</x:v>
      </x:c>
      <x:c r="K363" s="13" t="str">
        <x:v>UI-051</x:v>
      </x:c>
      <x:c r="L363" s="13" t="str">
        <x:v>추출 후 기본 구조 검토; 원문 적용수준·전체 맥락 재확인 필요</x:v>
      </x:c>
      <x:c r="M363" s="13" t="str">
        <x:v>미확인</x:v>
      </x:c>
    </x:row>
    <x:row r="364" ht="37.5" customHeight="1">
      <x:c r="A364" s="14" t="str">
        <x:v>KRDS-SEC-053-U-01</x:v>
      </x:c>
      <x:c r="B364" s="14" t="str">
        <x:v>컴포넌트</x:v>
      </x:c>
      <x:c r="C364" s="14" t="str">
        <x:v>도움</x:v>
      </x:c>
      <x:c r="D364" s="14" t="str">
        <x:v>코치마크</x:v>
      </x:c>
      <x:c r="E364" s="14" t="str">
        <x:v>사용성 가이드라인</x:v>
      </x:c>
      <x:c r="F364" s="14" t="str">
        <x:v>01</x:v>
      </x:c>
      <x:c r="G364" s="14" t="n">
        <x:v>638</x:v>
      </x:c>
      <x:c r="H364" s="14" t="n">
        <x:v>638</x:v>
      </x:c>
      <x:c r="I364" s="14" t="str">
        <x:v>639</x:v>
      </x:c>
      <x:c r="J364" s="14" t="str">
        <x:v>코치마크는 정보를 제공하고자 하는 요소 주변에 배치한다.</x:v>
      </x:c>
      <x:c r="K364" s="14" t="str">
        <x:v>UI-052</x:v>
      </x:c>
      <x:c r="L364" s="14" t="str">
        <x:v>추출 후 기본 구조 검토; 원문 적용수준·전체 맥락 재확인 필요</x:v>
      </x:c>
      <x:c r="M364" s="14" t="str">
        <x:v>미확인</x:v>
      </x:c>
    </x:row>
    <x:row r="365" ht="37.5" customHeight="1">
      <x:c r="A365" s="13" t="str">
        <x:v>KRDS-SEC-053-U-02</x:v>
      </x:c>
      <x:c r="B365" s="13" t="str">
        <x:v>컴포넌트</x:v>
      </x:c>
      <x:c r="C365" s="13" t="str">
        <x:v>도움</x:v>
      </x:c>
      <x:c r="D365" s="13" t="str">
        <x:v>코치마크</x:v>
      </x:c>
      <x:c r="E365" s="13" t="str">
        <x:v>사용성 가이드라인</x:v>
      </x:c>
      <x:c r="F365" s="13" t="str">
        <x:v>02</x:v>
      </x:c>
      <x:c r="G365" s="13" t="n">
        <x:v>638</x:v>
      </x:c>
      <x:c r="H365" s="13" t="n">
        <x:v>638</x:v>
      </x:c>
      <x:c r="I365" s="13" t="str">
        <x:v>640</x:v>
      </x:c>
      <x:c r="J365" s="13" t="str">
        <x:v>팝오버 영역이 본문의 중요 콘텐츠를 가리지 않도록 표현한다.</x:v>
      </x:c>
      <x:c r="K365" s="13" t="str">
        <x:v>UI-052</x:v>
      </x:c>
      <x:c r="L365" s="13" t="str">
        <x:v>추출 후 기본 구조 검토; 원문 적용수준·전체 맥락 재확인 필요</x:v>
      </x:c>
      <x:c r="M365" s="13" t="str">
        <x:v>미확인</x:v>
      </x:c>
    </x:row>
    <x:row r="366" ht="37.5" customHeight="1">
      <x:c r="A366" s="14" t="str">
        <x:v>KRDS-SEC-053-U-03</x:v>
      </x:c>
      <x:c r="B366" s="14" t="str">
        <x:v>컴포넌트</x:v>
      </x:c>
      <x:c r="C366" s="14" t="str">
        <x:v>도움</x:v>
      </x:c>
      <x:c r="D366" s="14" t="str">
        <x:v>코치마크</x:v>
      </x:c>
      <x:c r="E366" s="14" t="str">
        <x:v>사용성 가이드라인</x:v>
      </x:c>
      <x:c r="F366" s="14" t="str">
        <x:v>03</x:v>
      </x:c>
      <x:c r="G366" s="14" t="n">
        <x:v>638</x:v>
      </x:c>
      <x:c r="H366" s="14" t="n">
        <x:v>638</x:v>
      </x:c>
      <x:c r="I366" s="14" t="str">
        <x:v>641</x:v>
      </x:c>
      <x:c r="J366" s="14" t="str">
        <x:v>팝오버 영역의 너비를 일관되게 유지한다.</x:v>
      </x:c>
      <x:c r="K366" s="14" t="str">
        <x:v>UI-052</x:v>
      </x:c>
      <x:c r="L366" s="14" t="str">
        <x:v>추출 후 기본 구조 검토; 원문 적용수준·전체 맥락 재확인 필요</x:v>
      </x:c>
      <x:c r="M366" s="14" t="str">
        <x:v>미확인</x:v>
      </x:c>
    </x:row>
    <x:row r="367" ht="37.5" customHeight="1">
      <x:c r="A367" s="13" t="str">
        <x:v>KRDS-SEC-053-U-04</x:v>
      </x:c>
      <x:c r="B367" s="13" t="str">
        <x:v>컴포넌트</x:v>
      </x:c>
      <x:c r="C367" s="13" t="str">
        <x:v>도움</x:v>
      </x:c>
      <x:c r="D367" s="13" t="str">
        <x:v>코치마크</x:v>
      </x:c>
      <x:c r="E367" s="13" t="str">
        <x:v>사용성 가이드라인</x:v>
      </x:c>
      <x:c r="F367" s="13" t="str">
        <x:v>04</x:v>
      </x:c>
      <x:c r="G367" s="13" t="n">
        <x:v>638</x:v>
      </x:c>
      <x:c r="H367" s="13" t="n">
        <x:v>638</x:v>
      </x:c>
      <x:c r="I367" s="13" t="str">
        <x:v>641</x:v>
      </x:c>
      <x:c r="J367" s="13" t="str">
        <x:v>코치마크의 제목과 지시 사항은 간결하고 명확하게 작성한다.</x:v>
      </x:c>
      <x:c r="K367" s="13" t="str">
        <x:v>UI-052</x:v>
      </x:c>
      <x:c r="L367" s="13" t="str">
        <x:v>추출 후 기본 구조 검토; 원문 적용수준·전체 맥락 재확인 필요</x:v>
      </x:c>
      <x:c r="M367" s="13" t="str">
        <x:v>미확인</x:v>
      </x:c>
    </x:row>
    <x:row r="368" ht="37.5" customHeight="1">
      <x:c r="A368" s="14" t="str">
        <x:v>KRDS-SEC-053-U-05</x:v>
      </x:c>
      <x:c r="B368" s="14" t="str">
        <x:v>컴포넌트</x:v>
      </x:c>
      <x:c r="C368" s="14" t="str">
        <x:v>도움</x:v>
      </x:c>
      <x:c r="D368" s="14" t="str">
        <x:v>코치마크</x:v>
      </x:c>
      <x:c r="E368" s="14" t="str">
        <x:v>사용성 가이드라인</x:v>
      </x:c>
      <x:c r="F368" s="14" t="str">
        <x:v>05</x:v>
      </x:c>
      <x:c r="G368" s="14" t="n">
        <x:v>638</x:v>
      </x:c>
      <x:c r="H368" s="14" t="n">
        <x:v>638</x:v>
      </x:c>
      <x:c r="I368" s="14" t="str">
        <x:v>641</x:v>
      </x:c>
      <x:c r="J368" s="14" t="str">
        <x:v>지나치게 많은 코치마크를 사용하지 않는다.</x:v>
      </x:c>
      <x:c r="K368" s="14" t="str">
        <x:v>UI-052</x:v>
      </x:c>
      <x:c r="L368" s="14" t="str">
        <x:v>추출 후 기본 구조 검토; 원문 적용수준·전체 맥락 재확인 필요</x:v>
      </x:c>
      <x:c r="M368" s="14" t="str">
        <x:v>미확인</x:v>
      </x:c>
    </x:row>
    <x:row r="369" ht="37.5" customHeight="1">
      <x:c r="A369" s="13" t="str">
        <x:v>KRDS-SEC-053-U-06</x:v>
      </x:c>
      <x:c r="B369" s="13" t="str">
        <x:v>컴포넌트</x:v>
      </x:c>
      <x:c r="C369" s="13" t="str">
        <x:v>도움</x:v>
      </x:c>
      <x:c r="D369" s="13" t="str">
        <x:v>코치마크</x:v>
      </x:c>
      <x:c r="E369" s="13" t="str">
        <x:v>사용성 가이드라인</x:v>
      </x:c>
      <x:c r="F369" s="13" t="str">
        <x:v>06</x:v>
      </x:c>
      <x:c r="G369" s="13" t="n">
        <x:v>638</x:v>
      </x:c>
      <x:c r="H369" s="13" t="n">
        <x:v>638</x:v>
      </x:c>
      <x:c r="I369" s="13" t="str">
        <x:v>642</x:v>
      </x:c>
      <x:c r="J369" s="13" t="str">
        <x:v>코치마크는 전체 과업 플로(Flow)를 고려하여 논리적인 순서로 제공한다.</x:v>
      </x:c>
      <x:c r="K369" s="13" t="str">
        <x:v>UI-052</x:v>
      </x:c>
      <x:c r="L369" s="13" t="str">
        <x:v>추출 후 기본 구조 검토; 원문 적용수준·전체 맥락 재확인 필요</x:v>
      </x:c>
      <x:c r="M369" s="13" t="str">
        <x:v>미확인</x:v>
      </x:c>
    </x:row>
    <x:row r="370" ht="37.5" customHeight="1">
      <x:c r="A370" s="14" t="str">
        <x:v>KRDS-SEC-053-U-07</x:v>
      </x:c>
      <x:c r="B370" s="14" t="str">
        <x:v>컴포넌트</x:v>
      </x:c>
      <x:c r="C370" s="14" t="str">
        <x:v>도움</x:v>
      </x:c>
      <x:c r="D370" s="14" t="str">
        <x:v>코치마크</x:v>
      </x:c>
      <x:c r="E370" s="14" t="str">
        <x:v>사용성 가이드라인</x:v>
      </x:c>
      <x:c r="F370" s="14" t="str">
        <x:v>07</x:v>
      </x:c>
      <x:c r="G370" s="14" t="n">
        <x:v>638</x:v>
      </x:c>
      <x:c r="H370" s="14" t="n">
        <x:v>638</x:v>
      </x:c>
      <x:c r="I370" s="14" t="str">
        <x:v>642</x:v>
      </x:c>
      <x:c r="J370" s="14" t="str">
        <x:v>한 화면에 여러 개의 코치마크가 표시되지 않도록 한다.</x:v>
      </x:c>
      <x:c r="K370" s="14" t="str">
        <x:v>UI-052</x:v>
      </x:c>
      <x:c r="L370" s="14" t="str">
        <x:v>추출 후 기본 구조 검토; 원문 적용수준·전체 맥락 재확인 필요</x:v>
      </x:c>
      <x:c r="M370" s="14" t="str">
        <x:v>미확인</x:v>
      </x:c>
    </x:row>
    <x:row r="371" ht="37.5" customHeight="1">
      <x:c r="A371" s="13" t="str">
        <x:v>KRDS-SEC-053-U-08</x:v>
      </x:c>
      <x:c r="B371" s="13" t="str">
        <x:v>컴포넌트</x:v>
      </x:c>
      <x:c r="C371" s="13" t="str">
        <x:v>도움</x:v>
      </x:c>
      <x:c r="D371" s="13" t="str">
        <x:v>코치마크</x:v>
      </x:c>
      <x:c r="E371" s="13" t="str">
        <x:v>사용성 가이드라인</x:v>
      </x:c>
      <x:c r="F371" s="13" t="str">
        <x:v>08</x:v>
      </x:c>
      <x:c r="G371" s="13" t="n">
        <x:v>638</x:v>
      </x:c>
      <x:c r="H371" s="13" t="n">
        <x:v>638</x:v>
      </x:c>
      <x:c r="I371" s="13" t="str">
        <x:v>642</x:v>
      </x:c>
      <x:c r="J371" s="13" t="str">
        <x:v>코치마크가 표시된 상태에서 다른 메시지가 표시되지 않도록 한다.</x:v>
      </x:c>
      <x:c r="K371" s="13" t="str">
        <x:v>UI-052</x:v>
      </x:c>
      <x:c r="L371" s="13" t="str">
        <x:v>추출 후 기본 구조 검토; 원문 적용수준·전체 맥락 재확인 필요</x:v>
      </x:c>
      <x:c r="M371" s="13" t="str">
        <x:v>미확인</x:v>
      </x:c>
    </x:row>
    <x:row r="372" ht="37.5" customHeight="1">
      <x:c r="A372" s="14" t="str">
        <x:v>KRDS-SEC-053-U-09</x:v>
      </x:c>
      <x:c r="B372" s="14" t="str">
        <x:v>컴포넌트</x:v>
      </x:c>
      <x:c r="C372" s="14" t="str">
        <x:v>도움</x:v>
      </x:c>
      <x:c r="D372" s="14" t="str">
        <x:v>코치마크</x:v>
      </x:c>
      <x:c r="E372" s="14" t="str">
        <x:v>사용성 가이드라인</x:v>
      </x:c>
      <x:c r="F372" s="14" t="str">
        <x:v>09</x:v>
      </x:c>
      <x:c r="G372" s="14" t="n">
        <x:v>638</x:v>
      </x:c>
      <x:c r="H372" s="14" t="n">
        <x:v>638</x:v>
      </x:c>
      <x:c r="I372" s="14" t="str">
        <x:v>642</x:v>
      </x:c>
      <x:c r="J372" s="14" t="str">
        <x:v>지시 사항 내부 링크는 새 창으로 실행한다.</x:v>
      </x:c>
      <x:c r="K372" s="14" t="str">
        <x:v>UI-052</x:v>
      </x:c>
      <x:c r="L372" s="14" t="str">
        <x:v>추출 후 기본 구조 검토; 원문 적용수준·전체 맥락 재확인 필요</x:v>
      </x:c>
      <x:c r="M372" s="14" t="str">
        <x:v>미확인</x:v>
      </x:c>
    </x:row>
    <x:row r="373" ht="37.5" customHeight="1">
      <x:c r="A373" s="13" t="str">
        <x:v>KRDS-SEC-053-U-10</x:v>
      </x:c>
      <x:c r="B373" s="13" t="str">
        <x:v>컴포넌트</x:v>
      </x:c>
      <x:c r="C373" s="13" t="str">
        <x:v>도움</x:v>
      </x:c>
      <x:c r="D373" s="13" t="str">
        <x:v>코치마크</x:v>
      </x:c>
      <x:c r="E373" s="13" t="str">
        <x:v>사용성 가이드라인</x:v>
      </x:c>
      <x:c r="F373" s="13" t="str">
        <x:v>10</x:v>
      </x:c>
      <x:c r="G373" s="13" t="n">
        <x:v>638</x:v>
      </x:c>
      <x:c r="H373" s="13" t="n">
        <x:v>638</x:v>
      </x:c>
      <x:c r="I373" s="13" t="str">
        <x:v>643</x:v>
      </x:c>
      <x:c r="J373" s="13" t="str">
        <x:v>모든 단계에서 액션 버튼을 일관성 있는 순서로 배치하고 동일한 레이블을 사용한다.</x:v>
      </x:c>
      <x:c r="K373" s="13" t="str">
        <x:v>UI-052</x:v>
      </x:c>
      <x:c r="L373" s="13" t="str">
        <x:v>추출 후 기본 구조 검토; 원문 적용수준·전체 맥락 재확인 필요</x:v>
      </x:c>
      <x:c r="M373" s="13" t="str">
        <x:v>미확인</x:v>
      </x:c>
    </x:row>
    <x:row r="374" ht="37.5" customHeight="1">
      <x:c r="A374" s="14" t="str">
        <x:v>KRDS-SEC-053-U-11</x:v>
      </x:c>
      <x:c r="B374" s="14" t="str">
        <x:v>컴포넌트</x:v>
      </x:c>
      <x:c r="C374" s="14" t="str">
        <x:v>도움</x:v>
      </x:c>
      <x:c r="D374" s="14" t="str">
        <x:v>코치마크</x:v>
      </x:c>
      <x:c r="E374" s="14" t="str">
        <x:v>사용성 가이드라인</x:v>
      </x:c>
      <x:c r="F374" s="14" t="str">
        <x:v>11</x:v>
      </x:c>
      <x:c r="G374" s="14" t="n">
        <x:v>638</x:v>
      </x:c>
      <x:c r="H374" s="14" t="n">
        <x:v>638</x:v>
      </x:c>
      <x:c r="I374" s="14" t="str">
        <x:v>644</x:v>
      </x:c>
      <x:c r="J374" s="14" t="str">
        <x:v>액션 버튼을 적절한 강조 수준으로 표현한다.</x:v>
      </x:c>
      <x:c r="K374" s="14" t="str">
        <x:v>UI-052</x:v>
      </x:c>
      <x:c r="L374" s="14" t="str">
        <x:v>추출 후 기본 구조 검토; 원문 적용수준·전체 맥락 재확인 필요</x:v>
      </x:c>
      <x:c r="M374" s="14" t="str">
        <x:v>미확인</x:v>
      </x:c>
    </x:row>
    <x:row r="375" ht="37.5" customHeight="1">
      <x:c r="A375" s="13" t="str">
        <x:v>KRDS-SEC-053-U-12</x:v>
      </x:c>
      <x:c r="B375" s="13" t="str">
        <x:v>컴포넌트</x:v>
      </x:c>
      <x:c r="C375" s="13" t="str">
        <x:v>도움</x:v>
      </x:c>
      <x:c r="D375" s="13" t="str">
        <x:v>코치마크</x:v>
      </x:c>
      <x:c r="E375" s="13" t="str">
        <x:v>사용성 가이드라인</x:v>
      </x:c>
      <x:c r="F375" s="13" t="str">
        <x:v>12</x:v>
      </x:c>
      <x:c r="G375" s="13" t="n">
        <x:v>638</x:v>
      </x:c>
      <x:c r="H375" s="13" t="n">
        <x:v>638</x:v>
      </x:c>
      <x:c r="I375" s="13" t="str">
        <x:v>645</x:v>
      </x:c>
      <x:c r="J375" s="13" t="str">
        <x:v>사용자의 특정 행동 이후 다음 단계의 코치마크에 접근 가능한 경우, 사용자의 행동 완수 여부를 시스템이 확인하도록 한다.</x:v>
      </x:c>
      <x:c r="K375" s="13" t="str">
        <x:v>UI-052</x:v>
      </x:c>
      <x:c r="L375" s="13" t="str">
        <x:v>추출 후 기본 구조 검토; 원문 적용수준·전체 맥락 재확인 필요</x:v>
      </x:c>
      <x:c r="M375" s="13" t="str">
        <x:v>미확인</x:v>
      </x:c>
    </x:row>
    <x:row r="376" ht="37.5" customHeight="1">
      <x:c r="A376" s="14" t="str">
        <x:v>KRDS-SEC-053-P-01</x:v>
      </x:c>
      <x:c r="B376" s="14" t="str">
        <x:v>컴포넌트</x:v>
      </x:c>
      <x:c r="C376" s="14" t="str">
        <x:v>도움</x:v>
      </x:c>
      <x:c r="D376" s="14" t="str">
        <x:v>코치마크</x:v>
      </x:c>
      <x:c r="E376" s="14" t="str">
        <x:v>플랫폼에 대한 고려 사항</x:v>
      </x:c>
      <x:c r="F376" s="14" t="str">
        <x:v>01</x:v>
      </x:c>
      <x:c r="G376" s="14" t="n">
        <x:v>646</x:v>
      </x:c>
      <x:c r="H376" s="14" t="n">
        <x:v>646</x:v>
      </x:c>
      <x:c r="I376" s="14" t="str"/>
      <x:c r="J376" s="14" t="str">
        <x:v>모든 화면 크기에서 팝오버 영역이 완전히 표시되는지 확인한다.</x:v>
      </x:c>
      <x:c r="K376" s="14" t="str">
        <x:v>UI-052</x:v>
      </x:c>
      <x:c r="L376" s="14" t="str">
        <x:v>추출 후 기본 구조 검토; 원문 적용수준·전체 맥락 재확인 필요</x:v>
      </x:c>
      <x:c r="M376" s="14" t="str">
        <x:v>미확인</x:v>
      </x:c>
    </x:row>
    <x:row r="377" ht="37.5" customHeight="1">
      <x:c r="A377" s="13" t="str">
        <x:v>KRDS-SEC-053-A-01</x:v>
      </x:c>
      <x:c r="B377" s="13" t="str">
        <x:v>컴포넌트</x:v>
      </x:c>
      <x:c r="C377" s="13" t="str">
        <x:v>도움</x:v>
      </x:c>
      <x:c r="D377" s="13" t="str">
        <x:v>코치마크</x:v>
      </x:c>
      <x:c r="E377" s="13" t="str">
        <x:v>접근성 가이드라인</x:v>
      </x:c>
      <x:c r="F377" s="13" t="str">
        <x:v>01</x:v>
      </x:c>
      <x:c r="G377" s="13" t="n">
        <x:v>647</x:v>
      </x:c>
      <x:c r="H377" s="13" t="n">
        <x:v>647</x:v>
      </x:c>
      <x:c r="I377" s="13" t="str"/>
      <x:c r="J377" s="13" t="str">
        <x:v>스포트라이트와 인접 배경 간 명도 대비를 3:1 이상으로 제공한다.</x:v>
      </x:c>
      <x:c r="K377" s="13" t="str">
        <x:v>UI-052</x:v>
      </x:c>
      <x:c r="L377" s="13" t="str">
        <x:v>추출 후 기본 구조 검토; 원문 적용수준·전체 맥락 재확인 필요</x:v>
      </x:c>
      <x:c r="M377" s="13" t="str">
        <x:v>미확인</x:v>
      </x:c>
    </x:row>
    <x:row r="378" ht="37.5" customHeight="1">
      <x:c r="A378" s="14" t="str">
        <x:v>KRDS-SEC-053-A-02</x:v>
      </x:c>
      <x:c r="B378" s="14" t="str">
        <x:v>컴포넌트</x:v>
      </x:c>
      <x:c r="C378" s="14" t="str">
        <x:v>도움</x:v>
      </x:c>
      <x:c r="D378" s="14" t="str">
        <x:v>코치마크</x:v>
      </x:c>
      <x:c r="E378" s="14" t="str">
        <x:v>접근성 가이드라인</x:v>
      </x:c>
      <x:c r="F378" s="14" t="str">
        <x:v>02</x:v>
      </x:c>
      <x:c r="G378" s="14" t="n">
        <x:v>647</x:v>
      </x:c>
      <x:c r="H378" s="14" t="n">
        <x:v>647</x:v>
      </x:c>
      <x:c r="I378" s="14" t="str"/>
      <x:c r="J378" s="14" t="str">
        <x:v>코치마크는 사용자가 요청한 경우에만 실행되어야 한다.</x:v>
      </x:c>
      <x:c r="K378" s="14" t="str">
        <x:v>UI-052</x:v>
      </x:c>
      <x:c r="L378" s="14" t="str">
        <x:v>추출 후 기본 구조 검토; 원문 적용수준·전체 맥락 재확인 필요</x:v>
      </x:c>
      <x:c r="M378" s="14" t="str">
        <x:v>미확인</x:v>
      </x:c>
    </x:row>
    <x:row r="379" ht="37.5" customHeight="1">
      <x:c r="A379" s="13" t="str">
        <x:v>KRDS-SEC-053-A-03</x:v>
      </x:c>
      <x:c r="B379" s="13" t="str">
        <x:v>컴포넌트</x:v>
      </x:c>
      <x:c r="C379" s="13" t="str">
        <x:v>도움</x:v>
      </x:c>
      <x:c r="D379" s="13" t="str">
        <x:v>코치마크</x:v>
      </x:c>
      <x:c r="E379" s="13" t="str">
        <x:v>접근성 가이드라인</x:v>
      </x:c>
      <x:c r="F379" s="13" t="str">
        <x:v>03</x:v>
      </x:c>
      <x:c r="G379" s="13" t="n">
        <x:v>647</x:v>
      </x:c>
      <x:c r="H379" s="13" t="n">
        <x:v>647</x:v>
      </x:c>
      <x:c r="I379" s="13" t="str"/>
      <x:c r="J379" s="13" t="str">
        <x:v>관련 요소와 코치마크 팝오버 콘텐츠를 적절한 순서로 제공한다.</x:v>
      </x:c>
      <x:c r="K379" s="13" t="str">
        <x:v>UI-052</x:v>
      </x:c>
      <x:c r="L379" s="13" t="str">
        <x:v>추출 후 기본 구조 검토; 원문 적용수준·전체 맥락 재확인 필요</x:v>
      </x:c>
      <x:c r="M379" s="13" t="str">
        <x:v>미확인</x:v>
      </x:c>
    </x:row>
    <x:row r="380" ht="37.5" customHeight="1">
      <x:c r="A380" s="14" t="str">
        <x:v>KRDS-SEC-054-U-01</x:v>
      </x:c>
      <x:c r="B380" s="14" t="str">
        <x:v>컴포넌트</x:v>
      </x:c>
      <x:c r="C380" s="14" t="str">
        <x:v>도움</x:v>
      </x:c>
      <x:c r="D380" s="14" t="str">
        <x:v>툴팁</x:v>
      </x:c>
      <x:c r="E380" s="14" t="str">
        <x:v>사용성 가이드라인</x:v>
      </x:c>
      <x:c r="F380" s="14" t="str">
        <x:v>01</x:v>
      </x:c>
      <x:c r="G380" s="14" t="n">
        <x:v>652</x:v>
      </x:c>
      <x:c r="H380" s="14" t="n">
        <x:v>652</x:v>
      </x:c>
      <x:c r="I380" s="14" t="str">
        <x:v>653</x:v>
      </x:c>
      <x:c r="J380" s="14" t="str">
        <x:v>툴팁 컴포넌트 사용을 우선적으로 고려한다.</x:v>
      </x:c>
      <x:c r="K380" s="14" t="str">
        <x:v>UI-053, UI-110</x:v>
      </x:c>
      <x:c r="L380" s="14" t="str">
        <x:v>추출 후 기본 구조 검토; 원문 적용수준·전체 맥락 재확인 필요</x:v>
      </x:c>
      <x:c r="M380" s="14" t="str">
        <x:v>미확인</x:v>
      </x:c>
    </x:row>
    <x:row r="381" ht="37.5" customHeight="1">
      <x:c r="A381" s="13" t="str">
        <x:v>KRDS-SEC-054-U-02</x:v>
      </x:c>
      <x:c r="B381" s="13" t="str">
        <x:v>컴포넌트</x:v>
      </x:c>
      <x:c r="C381" s="13" t="str">
        <x:v>도움</x:v>
      </x:c>
      <x:c r="D381" s="13" t="str">
        <x:v>툴팁</x:v>
      </x:c>
      <x:c r="E381" s="13" t="str">
        <x:v>사용성 가이드라인</x:v>
      </x:c>
      <x:c r="F381" s="13" t="str">
        <x:v>02</x:v>
      </x:c>
      <x:c r="G381" s="13" t="n">
        <x:v>652</x:v>
      </x:c>
      <x:c r="H381" s="13" t="n">
        <x:v>652</x:v>
      </x:c>
      <x:c r="I381" s="13" t="str">
        <x:v>654</x:v>
      </x:c>
      <x:c r="J381" s="13" t="str">
        <x:v>팝오버 영역이 화면을 벗어나지 않도록 표현한다.</x:v>
      </x:c>
      <x:c r="K381" s="13" t="str">
        <x:v>UI-053, UI-110</x:v>
      </x:c>
      <x:c r="L381" s="13" t="str">
        <x:v>추출 후 기본 구조 검토; 원문 적용수준·전체 맥락 재확인 필요</x:v>
      </x:c>
      <x:c r="M381" s="13" t="str">
        <x:v>미확인</x:v>
      </x:c>
    </x:row>
    <x:row r="382" ht="37.5" customHeight="1">
      <x:c r="A382" s="14" t="str">
        <x:v>KRDS-SEC-054-U-03</x:v>
      </x:c>
      <x:c r="B382" s="14" t="str">
        <x:v>컴포넌트</x:v>
      </x:c>
      <x:c r="C382" s="14" t="str">
        <x:v>도움</x:v>
      </x:c>
      <x:c r="D382" s="14" t="str">
        <x:v>툴팁</x:v>
      </x:c>
      <x:c r="E382" s="14" t="str">
        <x:v>사용성 가이드라인</x:v>
      </x:c>
      <x:c r="F382" s="14" t="str">
        <x:v>03</x:v>
      </x:c>
      <x:c r="G382" s="14" t="n">
        <x:v>652</x:v>
      </x:c>
      <x:c r="H382" s="14" t="n">
        <x:v>652</x:v>
      </x:c>
      <x:c r="I382" s="14" t="str">
        <x:v>655</x:v>
      </x:c>
      <x:c r="J382" s="14" t="str">
        <x:v>팝오버 영역이 본문의 중요 콘텐츠를 가리지 않도록 표현한다.</x:v>
      </x:c>
      <x:c r="K382" s="14" t="str">
        <x:v>UI-053, UI-110</x:v>
      </x:c>
      <x:c r="L382" s="14" t="str">
        <x:v>추출 후 기본 구조 검토; 원문 적용수준·전체 맥락 재확인 필요</x:v>
      </x:c>
      <x:c r="M382" s="14" t="str">
        <x:v>미확인</x:v>
      </x:c>
    </x:row>
    <x:row r="383" ht="37.5" customHeight="1">
      <x:c r="A383" s="13" t="str">
        <x:v>KRDS-SEC-054-U-04</x:v>
      </x:c>
      <x:c r="B383" s="13" t="str">
        <x:v>컴포넌트</x:v>
      </x:c>
      <x:c r="C383" s="13" t="str">
        <x:v>도움</x:v>
      </x:c>
      <x:c r="D383" s="13" t="str">
        <x:v>툴팁</x:v>
      </x:c>
      <x:c r="E383" s="13" t="str">
        <x:v>사용성 가이드라인</x:v>
      </x:c>
      <x:c r="F383" s="13" t="str">
        <x:v>04</x:v>
      </x:c>
      <x:c r="G383" s="13" t="n">
        <x:v>652</x:v>
      </x:c>
      <x:c r="H383" s="13" t="n">
        <x:v>652</x:v>
      </x:c>
      <x:c r="I383" s="13" t="str">
        <x:v>656</x:v>
      </x:c>
      <x:c r="J383" s="13" t="str">
        <x:v>아이콘 버튼에 툴팁을 제공한다.</x:v>
      </x:c>
      <x:c r="K383" s="13" t="str">
        <x:v>UI-053, UI-110</x:v>
      </x:c>
      <x:c r="L383" s="13" t="str">
        <x:v>추출 후 기본 구조 검토; 원문 적용수준·전체 맥락 재확인 필요</x:v>
      </x:c>
      <x:c r="M383" s="13" t="str">
        <x:v>미확인</x:v>
      </x:c>
    </x:row>
    <x:row r="384" ht="37.5" customHeight="1">
      <x:c r="A384" s="14" t="str">
        <x:v>KRDS-SEC-054-U-05</x:v>
      </x:c>
      <x:c r="B384" s="14" t="str">
        <x:v>컴포넌트</x:v>
      </x:c>
      <x:c r="C384" s="14" t="str">
        <x:v>도움</x:v>
      </x:c>
      <x:c r="D384" s="14" t="str">
        <x:v>툴팁</x:v>
      </x:c>
      <x:c r="E384" s="14" t="str">
        <x:v>사용성 가이드라인</x:v>
      </x:c>
      <x:c r="F384" s="14" t="str">
        <x:v>05</x:v>
      </x:c>
      <x:c r="G384" s="14" t="n">
        <x:v>652</x:v>
      </x:c>
      <x:c r="H384" s="14" t="n">
        <x:v>652</x:v>
      </x:c>
      <x:c r="I384" s="14" t="str">
        <x:v>657</x:v>
      </x:c>
      <x:c r="J384" s="14" t="str">
        <x:v>툴팁은 부가적인 정보를 전달하는 데 사용한다.</x:v>
      </x:c>
      <x:c r="K384" s="14" t="str">
        <x:v>UI-053, UI-110</x:v>
      </x:c>
      <x:c r="L384" s="14" t="str">
        <x:v>추출 후 기본 구조 검토; 원문 적용수준·전체 맥락 재확인 필요</x:v>
      </x:c>
      <x:c r="M384" s="14" t="str">
        <x:v>미확인</x:v>
      </x:c>
    </x:row>
    <x:row r="385" ht="37.5" customHeight="1">
      <x:c r="A385" s="13" t="str">
        <x:v>KRDS-SEC-054-U-06</x:v>
      </x:c>
      <x:c r="B385" s="13" t="str">
        <x:v>컴포넌트</x:v>
      </x:c>
      <x:c r="C385" s="13" t="str">
        <x:v>도움</x:v>
      </x:c>
      <x:c r="D385" s="13" t="str">
        <x:v>툴팁</x:v>
      </x:c>
      <x:c r="E385" s="13" t="str">
        <x:v>사용성 가이드라인</x:v>
      </x:c>
      <x:c r="F385" s="13" t="str">
        <x:v>06</x:v>
      </x:c>
      <x:c r="G385" s="13" t="n">
        <x:v>652</x:v>
      </x:c>
      <x:c r="H385" s="13" t="n">
        <x:v>652</x:v>
      </x:c>
      <x:c r="I385" s="13" t="str">
        <x:v>658</x:v>
      </x:c>
      <x:c r="J385" s="13" t="str">
        <x:v>툴팁 컴포넌트와 title 속성을 중첩하여 사용하지 않는다.</x:v>
      </x:c>
      <x:c r="K385" s="13" t="str">
        <x:v>UI-053, UI-110</x:v>
      </x:c>
      <x:c r="L385" s="13" t="str">
        <x:v>추출 후 기본 구조 검토; 원문 적용수준·전체 맥락 재확인 필요</x:v>
      </x:c>
      <x:c r="M385" s="13" t="str">
        <x:v>미확인</x:v>
      </x:c>
    </x:row>
    <x:row r="386" ht="37.5" customHeight="1">
      <x:c r="A386" s="14" t="str">
        <x:v>KRDS-SEC-054-U-09</x:v>
      </x:c>
      <x:c r="B386" s="14" t="str">
        <x:v>컴포넌트</x:v>
      </x:c>
      <x:c r="C386" s="14" t="str">
        <x:v>도움</x:v>
      </x:c>
      <x:c r="D386" s="14" t="str">
        <x:v>툴팁</x:v>
      </x:c>
      <x:c r="E386" s="14" t="str">
        <x:v>사용성 가이드라인</x:v>
      </x:c>
      <x:c r="F386" s="14" t="str">
        <x:v>09</x:v>
      </x:c>
      <x:c r="G386" s="14" t="n">
        <x:v>652</x:v>
      </x:c>
      <x:c r="H386" s="14" t="n">
        <x:v>652</x:v>
      </x:c>
      <x:c r="I386" s="14" t="str"/>
      <x:c r="J386" s="14" t="str">
        <x:v>맥락적 도움말과 도움 패널을 함께 사용하지 않는다.</x:v>
      </x:c>
      <x:c r="K386" s="14" t="str">
        <x:v>UI-053, UI-110</x:v>
      </x:c>
      <x:c r="L386" s="14" t="str">
        <x:v>추출 후 기본 구조 검토; 원문 적용수준·전체 맥락 재확인 필요</x:v>
      </x:c>
      <x:c r="M386" s="14" t="str">
        <x:v>미확인</x:v>
      </x:c>
    </x:row>
    <x:row r="387" ht="37.5" customHeight="1">
      <x:c r="A387" s="13" t="str">
        <x:v>KRDS-SEC-054-P-01</x:v>
      </x:c>
      <x:c r="B387" s="13" t="str">
        <x:v>컴포넌트</x:v>
      </x:c>
      <x:c r="C387" s="13" t="str">
        <x:v>도움</x:v>
      </x:c>
      <x:c r="D387" s="13" t="str">
        <x:v>툴팁</x:v>
      </x:c>
      <x:c r="E387" s="13" t="str">
        <x:v>플랫폼에 대한 고려 사항</x:v>
      </x:c>
      <x:c r="F387" s="13" t="str">
        <x:v>01</x:v>
      </x:c>
      <x:c r="G387" s="13" t="n">
        <x:v>659</x:v>
      </x:c>
      <x:c r="H387" s="13" t="n">
        <x:v>659</x:v>
      </x:c>
      <x:c r="I387" s="13" t="str"/>
      <x:c r="J387" s="13" t="str">
        <x:v>터치 인터페이스에서의 사용성을 고려한다.</x:v>
      </x:c>
      <x:c r="K387" s="13" t="str">
        <x:v>UI-053, UI-110</x:v>
      </x:c>
      <x:c r="L387" s="13" t="str">
        <x:v>추출 후 기본 구조 검토; 원문 적용수준·전체 맥락 재확인 필요</x:v>
      </x:c>
      <x:c r="M387" s="13" t="str">
        <x:v>미확인</x:v>
      </x:c>
    </x:row>
    <x:row r="388" ht="37.5" customHeight="1">
      <x:c r="A388" s="14" t="str">
        <x:v>KRDS-SEC-054-A-01</x:v>
      </x:c>
      <x:c r="B388" s="14" t="str">
        <x:v>컴포넌트</x:v>
      </x:c>
      <x:c r="C388" s="14" t="str">
        <x:v>도움</x:v>
      </x:c>
      <x:c r="D388" s="14" t="str">
        <x:v>툴팁</x:v>
      </x:c>
      <x:c r="E388" s="14" t="str">
        <x:v>접근성 가이드라인</x:v>
      </x:c>
      <x:c r="F388" s="14" t="str">
        <x:v>01</x:v>
      </x:c>
      <x:c r="G388" s="14" t="n">
        <x:v>660</x:v>
      </x:c>
      <x:c r="H388" s="14" t="n">
        <x:v>660</x:v>
      </x:c>
      <x:c r="I388" s="14" t="str"/>
      <x:c r="J388" s="14" t="str">
        <x:v>활성화 버튼에 이름을 제공한다.</x:v>
      </x:c>
      <x:c r="K388" s="14" t="str">
        <x:v>UI-053, UI-110</x:v>
      </x:c>
      <x:c r="L388" s="14" t="str">
        <x:v>추출 후 기본 구조 검토; 원문 적용수준·전체 맥락 재확인 필요</x:v>
      </x:c>
      <x:c r="M388" s="14" t="str">
        <x:v>미확인</x:v>
      </x:c>
    </x:row>
    <x:row r="389" ht="37.5" customHeight="1">
      <x:c r="A389" s="13" t="str">
        <x:v>KRDS-SEC-054-A-02</x:v>
      </x:c>
      <x:c r="B389" s="13" t="str">
        <x:v>컴포넌트</x:v>
      </x:c>
      <x:c r="C389" s="13" t="str">
        <x:v>도움</x:v>
      </x:c>
      <x:c r="D389" s="13" t="str">
        <x:v>툴팁</x:v>
      </x:c>
      <x:c r="E389" s="13" t="str">
        <x:v>접근성 가이드라인</x:v>
      </x:c>
      <x:c r="F389" s="13" t="str">
        <x:v>02</x:v>
      </x:c>
      <x:c r="G389" s="13" t="n">
        <x:v>660</x:v>
      </x:c>
      <x:c r="H389" s="13" t="n">
        <x:v>660</x:v>
      </x:c>
      <x:c r="I389" s="13" t="str"/>
      <x:c r="J389" s="13" t="str">
        <x:v>활성화 버튼에 고유하고 적절한 이름을 제공한다.</x:v>
      </x:c>
      <x:c r="K389" s="13" t="str">
        <x:v>UI-053, UI-110</x:v>
      </x:c>
      <x:c r="L389" s="13" t="str">
        <x:v>추출 후 기본 구조 검토; 원문 적용수준·전체 맥락 재확인 필요</x:v>
      </x:c>
      <x:c r="M389" s="13" t="str">
        <x:v>미확인</x:v>
      </x:c>
    </x:row>
    <x:row r="390" ht="37.5" customHeight="1">
      <x:c r="A390" s="14" t="str">
        <x:v>KRDS-SEC-054-A-03</x:v>
      </x:c>
      <x:c r="B390" s="14" t="str">
        <x:v>컴포넌트</x:v>
      </x:c>
      <x:c r="C390" s="14" t="str">
        <x:v>도움</x:v>
      </x:c>
      <x:c r="D390" s="14" t="str">
        <x:v>툴팁</x:v>
      </x:c>
      <x:c r="E390" s="14" t="str">
        <x:v>접근성 가이드라인</x:v>
      </x:c>
      <x:c r="F390" s="14" t="str">
        <x:v>03</x:v>
      </x:c>
      <x:c r="G390" s="14" t="n">
        <x:v>661</x:v>
      </x:c>
      <x:c r="H390" s="14" t="n">
        <x:v>661</x:v>
      </x:c>
      <x:c r="I390" s="14" t="str"/>
      <x:c r="J390" s="14" t="str">
        <x:v>활성화 버튼과 컨테이너 영역을 aria-labelledby 속성으로 연결한다.</x:v>
      </x:c>
      <x:c r="K390" s="14" t="str">
        <x:v>UI-053, UI-110</x:v>
      </x:c>
      <x:c r="L390" s="14" t="str">
        <x:v>추출 후 기본 구조 검토; 원문 적용수준·전체 맥락 재확인 필요</x:v>
      </x:c>
      <x:c r="M390" s="14" t="str">
        <x:v>미확인</x:v>
      </x:c>
    </x:row>
    <x:row r="391" ht="37.5" customHeight="1">
      <x:c r="A391" s="13" t="str">
        <x:v>KRDS-SEC-054-A-04</x:v>
      </x:c>
      <x:c r="B391" s="13" t="str">
        <x:v>컴포넌트</x:v>
      </x:c>
      <x:c r="C391" s="13" t="str">
        <x:v>도움</x:v>
      </x:c>
      <x:c r="D391" s="13" t="str">
        <x:v>툴팁</x:v>
      </x:c>
      <x:c r="E391" s="13" t="str">
        <x:v>접근성 가이드라인</x:v>
      </x:c>
      <x:c r="F391" s="13" t="str">
        <x:v>04</x:v>
      </x:c>
      <x:c r="G391" s="13" t="n">
        <x:v>661</x:v>
      </x:c>
      <x:c r="H391" s="13" t="n">
        <x:v>661</x:v>
      </x:c>
      <x:c r="I391" s="13" t="str"/>
      <x:c r="J391" s="13" t="str">
        <x:v>활성화 버튼과 팝오버 콘텐츠를 적절한 순서로 제공한다.</x:v>
      </x:c>
      <x:c r="K391" s="13" t="str">
        <x:v>UI-053, UI-110</x:v>
      </x:c>
      <x:c r="L391" s="13" t="str">
        <x:v>추출 후 기본 구조 검토; 원문 적용수준·전체 맥락 재확인 필요</x:v>
      </x:c>
      <x:c r="M391" s="13" t="str">
        <x:v>미확인</x:v>
      </x:c>
    </x:row>
    <x:row r="392" ht="37.5" customHeight="1">
      <x:c r="A392" s="14" t="str">
        <x:v>KRDS-SEC-055-U-01</x:v>
      </x:c>
      <x:c r="B392" s="14" t="str">
        <x:v>컴포넌트</x:v>
      </x:c>
      <x:c r="C392" s="14" t="str">
        <x:v>입력</x:v>
      </x:c>
      <x:c r="D392" s="14" t="str">
        <x:v>날짜 입력 필드</x:v>
      </x:c>
      <x:c r="E392" s="14" t="str">
        <x:v>사용성 가이드라인</x:v>
      </x:c>
      <x:c r="F392" s="14" t="str">
        <x:v>01</x:v>
      </x:c>
      <x:c r="G392" s="14" t="n">
        <x:v>668</x:v>
      </x:c>
      <x:c r="H392" s="14" t="n">
        <x:v>668</x:v>
      </x:c>
      <x:c r="I392" s="14" t="str">
        <x:v>669</x:v>
      </x:c>
      <x:c r="J392" s="14" t="str">
        <x:v>입력 필드에 레이블을 제공하고 어떤 날짜를 입력해야 하는지 명확하게 설명한다.</x:v>
      </x:c>
      <x:c r="K392" s="14" t="str">
        <x:v>UI-054</x:v>
      </x:c>
      <x:c r="L392" s="14" t="str">
        <x:v>추출 후 기본 구조 검토; 원문 적용수준·전체 맥락 재확인 필요</x:v>
      </x:c>
      <x:c r="M392" s="14" t="str">
        <x:v>미확인</x:v>
      </x:c>
    </x:row>
    <x:row r="393" ht="37.5" customHeight="1">
      <x:c r="A393" s="13" t="str">
        <x:v>KRDS-SEC-055-U-02</x:v>
      </x:c>
      <x:c r="B393" s="13" t="str">
        <x:v>컴포넌트</x:v>
      </x:c>
      <x:c r="C393" s="13" t="str">
        <x:v>입력</x:v>
      </x:c>
      <x:c r="D393" s="13" t="str">
        <x:v>날짜 입력 필드</x:v>
      </x:c>
      <x:c r="E393" s="13" t="str">
        <x:v>사용성 가이드라인</x:v>
      </x:c>
      <x:c r="F393" s="13" t="str">
        <x:v>02</x:v>
      </x:c>
      <x:c r="G393" s="13" t="n">
        <x:v>668</x:v>
      </x:c>
      <x:c r="H393" s="13" t="n">
        <x:v>668</x:v>
      </x:c>
      <x:c r="I393" s="13" t="str">
        <x:v>670</x:v>
      </x:c>
      <x:c r="J393" s="13" t="str">
        <x:v>도움말 텍스트를 활용하여 날짜 입력 형식을 안내한다.</x:v>
      </x:c>
      <x:c r="K393" s="13" t="str">
        <x:v>UI-054</x:v>
      </x:c>
      <x:c r="L393" s="13" t="str">
        <x:v>추출 후 기본 구조 검토; 원문 적용수준·전체 맥락 재확인 필요</x:v>
      </x:c>
      <x:c r="M393" s="13" t="str">
        <x:v>미확인</x:v>
      </x:c>
    </x:row>
    <x:row r="394" ht="37.5" customHeight="1">
      <x:c r="A394" s="14" t="str">
        <x:v>KRDS-SEC-055-U-03</x:v>
      </x:c>
      <x:c r="B394" s="14" t="str">
        <x:v>컴포넌트</x:v>
      </x:c>
      <x:c r="C394" s="14" t="str">
        <x:v>입력</x:v>
      </x:c>
      <x:c r="D394" s="14" t="str">
        <x:v>날짜 입력 필드</x:v>
      </x:c>
      <x:c r="E394" s="14" t="str">
        <x:v>사용성 가이드라인</x:v>
      </x:c>
      <x:c r="F394" s="14" t="str">
        <x:v>03</x:v>
      </x:c>
      <x:c r="G394" s="14" t="n">
        <x:v>668</x:v>
      </x:c>
      <x:c r="H394" s="14" t="n">
        <x:v>668</x:v>
      </x:c>
      <x:c r="I394" s="14" t="str">
        <x:v>671</x:v>
      </x:c>
      <x:c r="J394" s="14" t="str">
        <x:v>문서에 표시된 날짜를 정확하게 요청할 때 입력 필드의 구성을 원본 형식과 일치시킨다.</x:v>
      </x:c>
      <x:c r="K394" s="14" t="str">
        <x:v>UI-054</x:v>
      </x:c>
      <x:c r="L394" s="14" t="str">
        <x:v>추출 후 기본 구조 검토; 원문 적용수준·전체 맥락 재확인 필요</x:v>
      </x:c>
      <x:c r="M394" s="14" t="str">
        <x:v>미확인</x:v>
      </x:c>
    </x:row>
    <x:row r="395" ht="37.5" customHeight="1">
      <x:c r="A395" s="13" t="str">
        <x:v>KRDS-SEC-055-U-04</x:v>
      </x:c>
      <x:c r="B395" s="13" t="str">
        <x:v>컴포넌트</x:v>
      </x:c>
      <x:c r="C395" s="13" t="str">
        <x:v>입력</x:v>
      </x:c>
      <x:c r="D395" s="13" t="str">
        <x:v>날짜 입력 필드</x:v>
      </x:c>
      <x:c r="E395" s="13" t="str">
        <x:v>사용성 가이드라인</x:v>
      </x:c>
      <x:c r="F395" s="13" t="str">
        <x:v>04</x:v>
      </x:c>
      <x:c r="G395" s="13" t="n">
        <x:v>668</x:v>
      </x:c>
      <x:c r="H395" s="13" t="n">
        <x:v>668</x:v>
      </x:c>
      <x:c r="I395" s="13" t="str">
        <x:v>672</x:v>
      </x:c>
      <x:c r="J395" s="13" t="str">
        <x:v>사용자가 대략적인 날짜를 입력할 수 있도록 한다.</x:v>
      </x:c>
      <x:c r="K395" s="13" t="str">
        <x:v>UI-054</x:v>
      </x:c>
      <x:c r="L395" s="13" t="str">
        <x:v>추출 후 기본 구조 검토; 원문 적용수준·전체 맥락 재확인 필요</x:v>
      </x:c>
      <x:c r="M395" s="13" t="str">
        <x:v>미확인</x:v>
      </x:c>
    </x:row>
    <x:row r="396" ht="37.5" customHeight="1">
      <x:c r="A396" s="14" t="str">
        <x:v>KRDS-SEC-055-U-05</x:v>
      </x:c>
      <x:c r="B396" s="14" t="str">
        <x:v>컴포넌트</x:v>
      </x:c>
      <x:c r="C396" s="14" t="str">
        <x:v>입력</x:v>
      </x:c>
      <x:c r="D396" s="14" t="str">
        <x:v>날짜 입력 필드</x:v>
      </x:c>
      <x:c r="E396" s="14" t="str">
        <x:v>사용성 가이드라인</x:v>
      </x:c>
      <x:c r="F396" s="14" t="str">
        <x:v>05</x:v>
      </x:c>
      <x:c r="G396" s="14" t="n">
        <x:v>668</x:v>
      </x:c>
      <x:c r="H396" s="14" t="n">
        <x:v>668</x:v>
      </x:c>
      <x:c r="I396" s="14" t="str">
        <x:v>674</x:v>
      </x:c>
      <x:c r="J396" s="14" t="str">
        <x:v>사용자가 자주, 반복적으로 입력하는 날짜는 자동 완성될 수 있도록 구현한다.</x:v>
      </x:c>
      <x:c r="K396" s="14" t="str">
        <x:v>UI-054</x:v>
      </x:c>
      <x:c r="L396" s="14" t="str">
        <x:v>추출 후 기본 구조 검토; 원문 적용수준·전체 맥락 재확인 필요</x:v>
      </x:c>
      <x:c r="M396" s="14" t="str">
        <x:v>미확인</x:v>
      </x:c>
    </x:row>
    <x:row r="397" ht="37.5" customHeight="1">
      <x:c r="A397" s="13" t="str">
        <x:v>KRDS-SEC-055-A-01</x:v>
      </x:c>
      <x:c r="B397" s="13" t="str">
        <x:v>컴포넌트</x:v>
      </x:c>
      <x:c r="C397" s="13" t="str">
        <x:v>입력</x:v>
      </x:c>
      <x:c r="D397" s="13" t="str">
        <x:v>날짜 입력 필드</x:v>
      </x:c>
      <x:c r="E397" s="13" t="str">
        <x:v>접근성 가이드라인</x:v>
      </x:c>
      <x:c r="F397" s="13" t="str">
        <x:v>01</x:v>
      </x:c>
      <x:c r="G397" s="13" t="n">
        <x:v>675</x:v>
      </x:c>
      <x:c r="H397" s="13" t="n">
        <x:v>675</x:v>
      </x:c>
      <x:c r="I397" s="13" t="str"/>
      <x:c r="J397" s="13" t="str">
        <x:v>키보드를 이용하여 조회 날짜를 선택하거나 입력할 수 있도록 제공한다.</x:v>
      </x:c>
      <x:c r="K397" s="13" t="str">
        <x:v>UI-054</x:v>
      </x:c>
      <x:c r="L397" s="13" t="str">
        <x:v>추출 후 기본 구조 검토; 원문 적용수준·전체 맥락 재확인 필요</x:v>
      </x:c>
      <x:c r="M397" s="13" t="str">
        <x:v>미확인</x:v>
      </x:c>
    </x:row>
    <x:row r="398" ht="37.5" customHeight="1">
      <x:c r="A398" s="14" t="str">
        <x:v>KRDS-SEC-055-A-02</x:v>
      </x:c>
      <x:c r="B398" s="14" t="str">
        <x:v>컴포넌트</x:v>
      </x:c>
      <x:c r="C398" s="14" t="str">
        <x:v>입력</x:v>
      </x:c>
      <x:c r="D398" s="14" t="str">
        <x:v>날짜 입력 필드</x:v>
      </x:c>
      <x:c r="E398" s="14" t="str">
        <x:v>접근성 가이드라인</x:v>
      </x:c>
      <x:c r="F398" s="14" t="str">
        <x:v>02</x:v>
      </x:c>
      <x:c r="G398" s="14" t="n">
        <x:v>675</x:v>
      </x:c>
      <x:c r="H398" s="14" t="n">
        <x:v>675</x:v>
      </x:c>
      <x:c r="I398" s="14" t="str"/>
      <x:c r="J398" s="14" t="str">
        <x:v>입력 필드에 레이블을 명확하게 지정한다.</x:v>
      </x:c>
      <x:c r="K398" s="14" t="str">
        <x:v>UI-054</x:v>
      </x:c>
      <x:c r="L398" s="14" t="str">
        <x:v>추출 후 기본 구조 검토; 원문 적용수준·전체 맥락 재확인 필요</x:v>
      </x:c>
      <x:c r="M398" s="14" t="str">
        <x:v>미확인</x:v>
      </x:c>
    </x:row>
    <x:row r="399" ht="37.5" customHeight="1">
      <x:c r="A399" s="13" t="str">
        <x:v>KRDS-SEC-055-A-03</x:v>
      </x:c>
      <x:c r="B399" s="13" t="str">
        <x:v>컴포넌트</x:v>
      </x:c>
      <x:c r="C399" s="13" t="str">
        <x:v>입력</x:v>
      </x:c>
      <x:c r="D399" s="13" t="str">
        <x:v>날짜 입력 필드</x:v>
      </x:c>
      <x:c r="E399" s="13" t="str">
        <x:v>접근성 가이드라인</x:v>
      </x:c>
      <x:c r="F399" s="13" t="str">
        <x:v>03</x:v>
      </x:c>
      <x:c r="G399" s="13" t="n">
        <x:v>675</x:v>
      </x:c>
      <x:c r="H399" s="13" t="n">
        <x:v>675</x:v>
      </x:c>
      <x:c r="I399" s="13" t="str"/>
      <x:c r="J399" s="13" t="str">
        <x:v>날짜 입력 형식이 지정되어 있는 경우 사용자에게 입력 방식을 명확하게 안내한다.</x:v>
      </x:c>
      <x:c r="K399" s="13" t="str">
        <x:v>UI-054</x:v>
      </x:c>
      <x:c r="L399" s="13" t="str">
        <x:v>추출 후 기본 구조 검토; 원문 적용수준·전체 맥락 재확인 필요</x:v>
      </x:c>
      <x:c r="M399" s="13" t="str">
        <x:v>미확인</x:v>
      </x:c>
    </x:row>
    <x:row r="400" ht="37.5" customHeight="1">
      <x:c r="A400" s="14" t="str">
        <x:v>KRDS-SEC-056-U-01</x:v>
      </x:c>
      <x:c r="B400" s="14" t="str">
        <x:v>컴포넌트</x:v>
      </x:c>
      <x:c r="C400" s="14" t="str">
        <x:v>입력</x:v>
      </x:c>
      <x:c r="D400" s="14" t="str">
        <x:v>텍스트 영역</x:v>
      </x:c>
      <x:c r="E400" s="14" t="str">
        <x:v>사용성 가이드라인</x:v>
      </x:c>
      <x:c r="F400" s="14" t="str">
        <x:v>01</x:v>
      </x:c>
      <x:c r="G400" s="14" t="n">
        <x:v>679</x:v>
      </x:c>
      <x:c r="H400" s="14" t="n">
        <x:v>679</x:v>
      </x:c>
      <x:c r="I400" s="14" t="str">
        <x:v>680</x:v>
      </x:c>
      <x:c r="J400" s="14" t="str">
        <x:v>입력 영역은 텍스트의 길이를 고려하여 적절한 크기로 제공한다.</x:v>
      </x:c>
      <x:c r="K400" s="14" t="str">
        <x:v>UI-055</x:v>
      </x:c>
      <x:c r="L400" s="14" t="str">
        <x:v>추출 후 기본 구조 검토; 원문 적용수준·전체 맥락 재확인 필요</x:v>
      </x:c>
      <x:c r="M400" s="14" t="str">
        <x:v>미확인</x:v>
      </x:c>
    </x:row>
    <x:row r="401" ht="37.5" customHeight="1">
      <x:c r="A401" s="13" t="str">
        <x:v>KRDS-SEC-056-U-02</x:v>
      </x:c>
      <x:c r="B401" s="13" t="str">
        <x:v>컴포넌트</x:v>
      </x:c>
      <x:c r="C401" s="13" t="str">
        <x:v>입력</x:v>
      </x:c>
      <x:c r="D401" s="13" t="str">
        <x:v>텍스트 영역</x:v>
      </x:c>
      <x:c r="E401" s="13" t="str">
        <x:v>사용성 가이드라인</x:v>
      </x:c>
      <x:c r="F401" s="13" t="str">
        <x:v>02</x:v>
      </x:c>
      <x:c r="G401" s="13" t="n">
        <x:v>679</x:v>
      </x:c>
      <x:c r="H401" s="13" t="n">
        <x:v>679</x:v>
      </x:c>
      <x:c r="I401" s="13" t="str">
        <x:v>680</x:v>
      </x:c>
      <x:c r="J401" s="13" t="str">
        <x:v>모든 텍스트 영역에는 레이블을 제공한다.</x:v>
      </x:c>
      <x:c r="K401" s="13" t="str">
        <x:v>UI-055</x:v>
      </x:c>
      <x:c r="L401" s="13" t="str">
        <x:v>추출 후 기본 구조 검토; 원문 적용수준·전체 맥락 재확인 필요</x:v>
      </x:c>
      <x:c r="M401" s="13" t="str">
        <x:v>미확인</x:v>
      </x:c>
    </x:row>
    <x:row r="402" ht="37.5" customHeight="1">
      <x:c r="A402" s="14" t="str">
        <x:v>KRDS-SEC-056-U-03</x:v>
      </x:c>
      <x:c r="B402" s="14" t="str">
        <x:v>컴포넌트</x:v>
      </x:c>
      <x:c r="C402" s="14" t="str">
        <x:v>입력</x:v>
      </x:c>
      <x:c r="D402" s="14" t="str">
        <x:v>텍스트 영역</x:v>
      </x:c>
      <x:c r="E402" s="14" t="str">
        <x:v>사용성 가이드라인</x:v>
      </x:c>
      <x:c r="F402" s="14" t="str">
        <x:v>03</x:v>
      </x:c>
      <x:c r="G402" s="14" t="n">
        <x:v>679</x:v>
      </x:c>
      <x:c r="H402" s="14" t="n">
        <x:v>679</x:v>
      </x:c>
      <x:c r="I402" s="14" t="str">
        <x:v>681</x:v>
      </x:c>
      <x:c r="J402" s="14" t="str">
        <x:v>플레이스홀더가 레이블이나 도움말의 대체 수단으로 사용되어서는 안 된다.</x:v>
      </x:c>
      <x:c r="K402" s="14" t="str">
        <x:v>UI-055</x:v>
      </x:c>
      <x:c r="L402" s="14" t="str">
        <x:v>추출 후 기본 구조 검토; 원문 적용수준·전체 맥락 재확인 필요</x:v>
      </x:c>
      <x:c r="M402" s="14" t="str">
        <x:v>미확인</x:v>
      </x:c>
    </x:row>
    <x:row r="403" ht="37.5" customHeight="1">
      <x:c r="A403" s="13" t="str">
        <x:v>KRDS-SEC-056-U-04</x:v>
      </x:c>
      <x:c r="B403" s="13" t="str">
        <x:v>컴포넌트</x:v>
      </x:c>
      <x:c r="C403" s="13" t="str">
        <x:v>입력</x:v>
      </x:c>
      <x:c r="D403" s="13" t="str">
        <x:v>텍스트 영역</x:v>
      </x:c>
      <x:c r="E403" s="13" t="str">
        <x:v>사용성 가이드라인</x:v>
      </x:c>
      <x:c r="F403" s="13" t="str">
        <x:v>04</x:v>
      </x:c>
      <x:c r="G403" s="13" t="n">
        <x:v>679</x:v>
      </x:c>
      <x:c r="H403" s="13" t="n">
        <x:v>679</x:v>
      </x:c>
      <x:c r="I403" s="13" t="str">
        <x:v>682</x:v>
      </x:c>
      <x:c r="J403" s="13" t="str">
        <x:v>복사, 붙여넣기를 제한하지 않는다.</x:v>
      </x:c>
      <x:c r="K403" s="13" t="str">
        <x:v>UI-055</x:v>
      </x:c>
      <x:c r="L403" s="13" t="str">
        <x:v>추출 후 기본 구조 검토; 원문 적용수준·전체 맥락 재확인 필요</x:v>
      </x:c>
      <x:c r="M403" s="13" t="str">
        <x:v>미확인</x:v>
      </x:c>
    </x:row>
    <x:row r="404" ht="37.5" customHeight="1">
      <x:c r="A404" s="14" t="str">
        <x:v>KRDS-SEC-056-U-05</x:v>
      </x:c>
      <x:c r="B404" s="14" t="str">
        <x:v>컴포넌트</x:v>
      </x:c>
      <x:c r="C404" s="14" t="str">
        <x:v>입력</x:v>
      </x:c>
      <x:c r="D404" s="14" t="str">
        <x:v>텍스트 영역</x:v>
      </x:c>
      <x:c r="E404" s="14" t="str">
        <x:v>사용성 가이드라인</x:v>
      </x:c>
      <x:c r="F404" s="14" t="str">
        <x:v>05</x:v>
      </x:c>
      <x:c r="G404" s="14" t="n">
        <x:v>679</x:v>
      </x:c>
      <x:c r="H404" s="14" t="n">
        <x:v>679</x:v>
      </x:c>
      <x:c r="I404" s="14" t="str">
        <x:v>683</x:v>
      </x:c>
      <x:c r="J404" s="14" t="str">
        <x:v>입력 가능한 글자 수에 제한이 있는 경우 사용자에게 글자 수 정보를 제공한다.</x:v>
      </x:c>
      <x:c r="K404" s="14" t="str">
        <x:v>UI-055</x:v>
      </x:c>
      <x:c r="L404" s="14" t="str">
        <x:v>추출 후 기본 구조 검토; 원문 적용수준·전체 맥락 재확인 필요</x:v>
      </x:c>
      <x:c r="M404" s="14" t="str">
        <x:v>미확인</x:v>
      </x:c>
    </x:row>
    <x:row r="405" ht="37.5" customHeight="1">
      <x:c r="A405" s="13" t="str">
        <x:v>KRDS-SEC-056-A-01</x:v>
      </x:c>
      <x:c r="B405" s="13" t="str">
        <x:v>컴포넌트</x:v>
      </x:c>
      <x:c r="C405" s="13" t="str">
        <x:v>입력</x:v>
      </x:c>
      <x:c r="D405" s="13" t="str">
        <x:v>텍스트 영역</x:v>
      </x:c>
      <x:c r="E405" s="13" t="str">
        <x:v>접근성 가이드라인</x:v>
      </x:c>
      <x:c r="F405" s="13" t="str">
        <x:v>01</x:v>
      </x:c>
      <x:c r="G405" s="13" t="n">
        <x:v>684</x:v>
      </x:c>
      <x:c r="H405" s="13" t="n">
        <x:v>684</x:v>
      </x:c>
      <x:c r="I405" s="13" t="str"/>
      <x:c r="J405" s="13" t="str">
        <x:v>입력 영역과 인접 배경 간 명도 대비를 3:1 이상으로 제공한다.</x:v>
      </x:c>
      <x:c r="K405" s="13" t="str">
        <x:v>UI-055</x:v>
      </x:c>
      <x:c r="L405" s="13" t="str">
        <x:v>추출 후 기본 구조 검토; 원문 적용수준·전체 맥락 재확인 필요</x:v>
      </x:c>
      <x:c r="M405" s="13" t="str">
        <x:v>미확인</x:v>
      </x:c>
    </x:row>
    <x:row r="406" ht="37.5" customHeight="1">
      <x:c r="A406" s="14" t="str">
        <x:v>KRDS-SEC-056-A-02</x:v>
      </x:c>
      <x:c r="B406" s="14" t="str">
        <x:v>컴포넌트</x:v>
      </x:c>
      <x:c r="C406" s="14" t="str">
        <x:v>입력</x:v>
      </x:c>
      <x:c r="D406" s="14" t="str">
        <x:v>텍스트 영역</x:v>
      </x:c>
      <x:c r="E406" s="14" t="str">
        <x:v>접근성 가이드라인</x:v>
      </x:c>
      <x:c r="F406" s="14" t="str">
        <x:v>02</x:v>
      </x:c>
      <x:c r="G406" s="14" t="n">
        <x:v>684</x:v>
      </x:c>
      <x:c r="H406" s="14" t="n">
        <x:v>684</x:v>
      </x:c>
      <x:c r="I406" s="14" t="str"/>
      <x:c r="J406" s="14" t="str">
        <x:v>텍스트 영역에 접근 가능한 이름을 제공한다.</x:v>
      </x:c>
      <x:c r="K406" s="14" t="str">
        <x:v>UI-055</x:v>
      </x:c>
      <x:c r="L406" s="14" t="str">
        <x:v>추출 후 기본 구조 검토; 원문 적용수준·전체 맥락 재확인 필요</x:v>
      </x:c>
      <x:c r="M406" s="14" t="str">
        <x:v>미확인</x:v>
      </x:c>
    </x:row>
    <x:row r="407" ht="37.5" customHeight="1">
      <x:c r="A407" s="13" t="str">
        <x:v>KRDS-SEC-057-U-01</x:v>
      </x:c>
      <x:c r="B407" s="13" t="str">
        <x:v>컴포넌트</x:v>
      </x:c>
      <x:c r="C407" s="13" t="str">
        <x:v>입력</x:v>
      </x:c>
      <x:c r="D407" s="13" t="str">
        <x:v>텍스트 입력 필드</x:v>
      </x:c>
      <x:c r="E407" s="13" t="str">
        <x:v>사용성 가이드라인</x:v>
      </x:c>
      <x:c r="F407" s="13" t="str">
        <x:v>01</x:v>
      </x:c>
      <x:c r="G407" s="13" t="n">
        <x:v>689</x:v>
      </x:c>
      <x:c r="H407" s="13" t="n">
        <x:v>689</x:v>
      </x:c>
      <x:c r="I407" s="13" t="str">
        <x:v>690</x:v>
      </x:c>
      <x:c r="J407" s="13" t="str">
        <x:v>입력 필드는 텍스트의 길이를 고려하여 적절한 크기로 제공한다.</x:v>
      </x:c>
      <x:c r="K407" s="13" t="str">
        <x:v>UI-056</x:v>
      </x:c>
      <x:c r="L407" s="13" t="str">
        <x:v>추출 후 기본 구조 검토; 원문 적용수준·전체 맥락 재확인 필요</x:v>
      </x:c>
      <x:c r="M407" s="13" t="str">
        <x:v>미확인</x:v>
      </x:c>
    </x:row>
    <x:row r="408" ht="37.5" customHeight="1">
      <x:c r="A408" s="14" t="str">
        <x:v>KRDS-SEC-057-U-02</x:v>
      </x:c>
      <x:c r="B408" s="14" t="str">
        <x:v>컴포넌트</x:v>
      </x:c>
      <x:c r="C408" s="14" t="str">
        <x:v>입력</x:v>
      </x:c>
      <x:c r="D408" s="14" t="str">
        <x:v>텍스트 입력 필드</x:v>
      </x:c>
      <x:c r="E408" s="14" t="str">
        <x:v>사용성 가이드라인</x:v>
      </x:c>
      <x:c r="F408" s="14" t="str">
        <x:v>02</x:v>
      </x:c>
      <x:c r="G408" s="14" t="n">
        <x:v>689</x:v>
      </x:c>
      <x:c r="H408" s="14" t="n">
        <x:v>689</x:v>
      </x:c>
      <x:c r="I408" s="14" t="str">
        <x:v>691</x:v>
      </x:c>
      <x:c r="J408" s="14" t="str">
        <x:v>모든 텍스트 입력 필드에는 레이블을 제공한다.</x:v>
      </x:c>
      <x:c r="K408" s="14" t="str">
        <x:v>UI-056</x:v>
      </x:c>
      <x:c r="L408" s="14" t="str">
        <x:v>추출 후 기본 구조 검토; 원문 적용수준·전체 맥락 재확인 필요</x:v>
      </x:c>
      <x:c r="M408" s="14" t="str">
        <x:v>미확인</x:v>
      </x:c>
    </x:row>
    <x:row r="409" ht="37.5" customHeight="1">
      <x:c r="A409" s="13" t="str">
        <x:v>KRDS-SEC-057-U-03</x:v>
      </x:c>
      <x:c r="B409" s="13" t="str">
        <x:v>컴포넌트</x:v>
      </x:c>
      <x:c r="C409" s="13" t="str">
        <x:v>입력</x:v>
      </x:c>
      <x:c r="D409" s="13" t="str">
        <x:v>텍스트 입력 필드</x:v>
      </x:c>
      <x:c r="E409" s="13" t="str">
        <x:v>사용성 가이드라인</x:v>
      </x:c>
      <x:c r="F409" s="13" t="str">
        <x:v>03</x:v>
      </x:c>
      <x:c r="G409" s="13" t="n">
        <x:v>689</x:v>
      </x:c>
      <x:c r="H409" s="13" t="n">
        <x:v>689</x:v>
      </x:c>
      <x:c r="I409" s="13" t="str">
        <x:v>692</x:v>
      </x:c>
      <x:c r="J409" s="13" t="str">
        <x:v>플레이스홀더가 레이블이나 도움말의 대체 수단으로 사용되어서는 안 된다.</x:v>
      </x:c>
      <x:c r="K409" s="13" t="str">
        <x:v>UI-056</x:v>
      </x:c>
      <x:c r="L409" s="13" t="str">
        <x:v>추출 후 기본 구조 검토; 원문 적용수준·전체 맥락 재확인 필요</x:v>
      </x:c>
      <x:c r="M409" s="13" t="str">
        <x:v>미확인</x:v>
      </x:c>
    </x:row>
    <x:row r="410" ht="37.5" customHeight="1">
      <x:c r="A410" s="14" t="str">
        <x:v>KRDS-SEC-057-U-04</x:v>
      </x:c>
      <x:c r="B410" s="14" t="str">
        <x:v>컴포넌트</x:v>
      </x:c>
      <x:c r="C410" s="14" t="str">
        <x:v>입력</x:v>
      </x:c>
      <x:c r="D410" s="14" t="str">
        <x:v>텍스트 입력 필드</x:v>
      </x:c>
      <x:c r="E410" s="14" t="str">
        <x:v>사용성 가이드라인</x:v>
      </x:c>
      <x:c r="F410" s="14" t="str">
        <x:v>04</x:v>
      </x:c>
      <x:c r="G410" s="14" t="n">
        <x:v>689</x:v>
      </x:c>
      <x:c r="H410" s="14" t="n">
        <x:v>689</x:v>
      </x:c>
      <x:c r="I410" s="14" t="str">
        <x:v>694</x:v>
      </x:c>
      <x:c r="J410" s="14" t="str">
        <x:v>복사, 붙여넣기를 제한하지 않는다.</x:v>
      </x:c>
      <x:c r="K410" s="14" t="str">
        <x:v>UI-056</x:v>
      </x:c>
      <x:c r="L410" s="14" t="str">
        <x:v>추출 후 기본 구조 검토; 원문 적용수준·전체 맥락 재확인 필요</x:v>
      </x:c>
      <x:c r="M410" s="14" t="str">
        <x:v>미확인</x:v>
      </x:c>
    </x:row>
    <x:row r="411" ht="37.5" customHeight="1">
      <x:c r="A411" s="13" t="str">
        <x:v>KRDS-SEC-057-U-05</x:v>
      </x:c>
      <x:c r="B411" s="13" t="str">
        <x:v>컴포넌트</x:v>
      </x:c>
      <x:c r="C411" s="13" t="str">
        <x:v>입력</x:v>
      </x:c>
      <x:c r="D411" s="13" t="str">
        <x:v>텍스트 입력 필드</x:v>
      </x:c>
      <x:c r="E411" s="13" t="str">
        <x:v>사용성 가이드라인</x:v>
      </x:c>
      <x:c r="F411" s="13" t="str">
        <x:v>05</x:v>
      </x:c>
      <x:c r="G411" s="13" t="n">
        <x:v>689</x:v>
      </x:c>
      <x:c r="H411" s="13" t="n">
        <x:v>689</x:v>
      </x:c>
      <x:c r="I411" s="13" t="str">
        <x:v>694</x:v>
      </x:c>
      <x:c r="J411" s="13" t="str">
        <x:v>사용자가 자주, 반복적으로 입력하는 값은 자동 완성될 수 있도록 구현한다.</x:v>
      </x:c>
      <x:c r="K411" s="13" t="str">
        <x:v>UI-056</x:v>
      </x:c>
      <x:c r="L411" s="13" t="str">
        <x:v>추출 후 기본 구조 검토; 원문 적용수준·전체 맥락 재확인 필요</x:v>
      </x:c>
      <x:c r="M411" s="13" t="str">
        <x:v>미확인</x:v>
      </x:c>
    </x:row>
    <x:row r="412" ht="37.5" customHeight="1">
      <x:c r="A412" s="14" t="str">
        <x:v>KRDS-SEC-057-A-01</x:v>
      </x:c>
      <x:c r="B412" s="14" t="str">
        <x:v>컴포넌트</x:v>
      </x:c>
      <x:c r="C412" s="14" t="str">
        <x:v>입력</x:v>
      </x:c>
      <x:c r="D412" s="14" t="str">
        <x:v>텍스트 입력 필드</x:v>
      </x:c>
      <x:c r="E412" s="14" t="str">
        <x:v>접근성 가이드라인</x:v>
      </x:c>
      <x:c r="F412" s="14" t="str">
        <x:v>01</x:v>
      </x:c>
      <x:c r="G412" s="14" t="n">
        <x:v>695</x:v>
      </x:c>
      <x:c r="H412" s="14" t="n">
        <x:v>695</x:v>
      </x:c>
      <x:c r="I412" s="14" t="str"/>
      <x:c r="J412" s="14" t="str">
        <x:v>모든 입력 필드의 초점은 시각적으로 확인할 수 있도록 표현한다.</x:v>
      </x:c>
      <x:c r="K412" s="14" t="str">
        <x:v>UI-056</x:v>
      </x:c>
      <x:c r="L412" s="14" t="str">
        <x:v>추출 후 기본 구조 검토; 원문 적용수준·전체 맥락 재확인 필요</x:v>
      </x:c>
      <x:c r="M412" s="14" t="str">
        <x:v>미확인</x:v>
      </x:c>
    </x:row>
    <x:row r="413" ht="37.5" customHeight="1">
      <x:c r="A413" s="13" t="str">
        <x:v>KRDS-SEC-057-A-02</x:v>
      </x:c>
      <x:c r="B413" s="13" t="str">
        <x:v>컴포넌트</x:v>
      </x:c>
      <x:c r="C413" s="13" t="str">
        <x:v>입력</x:v>
      </x:c>
      <x:c r="D413" s="13" t="str">
        <x:v>텍스트 입력 필드</x:v>
      </x:c>
      <x:c r="E413" s="13" t="str">
        <x:v>접근성 가이드라인</x:v>
      </x:c>
      <x:c r="F413" s="13" t="str">
        <x:v>02</x:v>
      </x:c>
      <x:c r="G413" s="13" t="n">
        <x:v>695</x:v>
      </x:c>
      <x:c r="H413" s="13" t="n">
        <x:v>695</x:v>
      </x:c>
      <x:c r="I413" s="13" t="str"/>
      <x:c r="J413" s="13" t="str">
        <x:v>입력 필드와 인접 배경 간 명도 대비를 3:1 이상으로 표현한다.</x:v>
      </x:c>
      <x:c r="K413" s="13" t="str">
        <x:v>UI-056</x:v>
      </x:c>
      <x:c r="L413" s="13" t="str">
        <x:v>추출 후 기본 구조 검토; 원문 적용수준·전체 맥락 재확인 필요</x:v>
      </x:c>
      <x:c r="M413" s="13" t="str">
        <x:v>미확인</x:v>
      </x:c>
    </x:row>
    <x:row r="414" ht="37.5" customHeight="1">
      <x:c r="A414" s="14" t="str">
        <x:v>KRDS-SEC-057-A-03</x:v>
      </x:c>
      <x:c r="B414" s="14" t="str">
        <x:v>컴포넌트</x:v>
      </x:c>
      <x:c r="C414" s="14" t="str">
        <x:v>입력</x:v>
      </x:c>
      <x:c r="D414" s="14" t="str">
        <x:v>텍스트 입력 필드</x:v>
      </x:c>
      <x:c r="E414" s="14" t="str">
        <x:v>접근성 가이드라인</x:v>
      </x:c>
      <x:c r="F414" s="14" t="str">
        <x:v>03</x:v>
      </x:c>
      <x:c r="G414" s="14" t="n">
        <x:v>695</x:v>
      </x:c>
      <x:c r="H414" s="14" t="n">
        <x:v>695</x:v>
      </x:c>
      <x:c r="I414" s="14" t="str"/>
      <x:c r="J414" s="14" t="str">
        <x:v>텍스트 입력 필드에 접근 가능한 이름을 제공한다.</x:v>
      </x:c>
      <x:c r="K414" s="14" t="str">
        <x:v>UI-056</x:v>
      </x:c>
      <x:c r="L414" s="14" t="str">
        <x:v>추출 후 기본 구조 검토; 원문 적용수준·전체 맥락 재확인 필요</x:v>
      </x:c>
      <x:c r="M414" s="14" t="str">
        <x:v>미확인</x:v>
      </x:c>
    </x:row>
    <x:row r="415" ht="37.5" customHeight="1">
      <x:c r="A415" s="13" t="str">
        <x:v>KRDS-SEC-058-U-01</x:v>
      </x:c>
      <x:c r="B415" s="13" t="str">
        <x:v>컴포넌트</x:v>
      </x:c>
      <x:c r="C415" s="13" t="str">
        <x:v>입력</x:v>
      </x:c>
      <x:c r="D415" s="13" t="str">
        <x:v>파일 업로드</x:v>
      </x:c>
      <x:c r="E415" s="13" t="str">
        <x:v>사용성 가이드라인</x:v>
      </x:c>
      <x:c r="F415" s="13" t="str">
        <x:v>01</x:v>
      </x:c>
      <x:c r="G415" s="13" t="n">
        <x:v>701</x:v>
      </x:c>
      <x:c r="H415" s="13" t="n">
        <x:v>701</x:v>
      </x:c>
      <x:c r="I415" s="13" t="str">
        <x:v>702</x:v>
      </x:c>
      <x:c r="J415" s="13" t="str">
        <x:v>파일 업로드는 필요한 경우에만 사용한다.</x:v>
      </x:c>
      <x:c r="K415" s="13" t="str">
        <x:v>UI-057, UI-111, UI-112, UI-113, UI-114</x:v>
      </x:c>
      <x:c r="L415" s="13" t="str">
        <x:v>추출 후 기본 구조 검토; 원문 적용수준·전체 맥락 재확인 필요</x:v>
      </x:c>
      <x:c r="M415" s="13" t="str">
        <x:v>미확인</x:v>
      </x:c>
    </x:row>
    <x:row r="416" ht="37.5" customHeight="1">
      <x:c r="A416" s="14" t="str">
        <x:v>KRDS-SEC-058-U-02</x:v>
      </x:c>
      <x:c r="B416" s="14" t="str">
        <x:v>컴포넌트</x:v>
      </x:c>
      <x:c r="C416" s="14" t="str">
        <x:v>입력</x:v>
      </x:c>
      <x:c r="D416" s="14" t="str">
        <x:v>파일 업로드</x:v>
      </x:c>
      <x:c r="E416" s="14" t="str">
        <x:v>사용성 가이드라인</x:v>
      </x:c>
      <x:c r="F416" s="14" t="str">
        <x:v>02</x:v>
      </x:c>
      <x:c r="G416" s="14" t="n">
        <x:v>701</x:v>
      </x:c>
      <x:c r="H416" s="14" t="n">
        <x:v>701</x:v>
      </x:c>
      <x:c r="I416" s="14" t="str">
        <x:v>702</x:v>
      </x:c>
      <x:c r="J416" s="14" t="str">
        <x:v>레이블을 제공한다.</x:v>
      </x:c>
      <x:c r="K416" s="14" t="str">
        <x:v>UI-057, UI-111, UI-112, UI-113, UI-114</x:v>
      </x:c>
      <x:c r="L416" s="14" t="str">
        <x:v>추출 후 기본 구조 검토; 원문 적용수준·전체 맥락 재확인 필요</x:v>
      </x:c>
      <x:c r="M416" s="14" t="str">
        <x:v>미확인</x:v>
      </x:c>
    </x:row>
    <x:row r="417" ht="37.5" customHeight="1">
      <x:c r="A417" s="13" t="str">
        <x:v>KRDS-SEC-058-U-03</x:v>
      </x:c>
      <x:c r="B417" s="13" t="str">
        <x:v>컴포넌트</x:v>
      </x:c>
      <x:c r="C417" s="13" t="str">
        <x:v>입력</x:v>
      </x:c>
      <x:c r="D417" s="13" t="str">
        <x:v>파일 업로드</x:v>
      </x:c>
      <x:c r="E417" s="13" t="str">
        <x:v>사용성 가이드라인</x:v>
      </x:c>
      <x:c r="F417" s="13" t="str">
        <x:v>03</x:v>
      </x:c>
      <x:c r="G417" s="13" t="n">
        <x:v>701</x:v>
      </x:c>
      <x:c r="H417" s="13" t="n">
        <x:v>701</x:v>
      </x:c>
      <x:c r="I417" s="13" t="str">
        <x:v>703</x:v>
      </x:c>
      <x:c r="J417" s="13" t="str">
        <x:v>파일 유형, 파일 크기, 파일 개수 제한에 대해 안내한다.</x:v>
      </x:c>
      <x:c r="K417" s="13" t="str">
        <x:v>UI-057, UI-111, UI-112, UI-113, UI-114</x:v>
      </x:c>
      <x:c r="L417" s="13" t="str">
        <x:v>추출 후 기본 구조 검토; 원문 적용수준·전체 맥락 재확인 필요</x:v>
      </x:c>
      <x:c r="M417" s="13" t="str">
        <x:v>미확인</x:v>
      </x:c>
    </x:row>
    <x:row r="418" ht="37.5" customHeight="1">
      <x:c r="A418" s="14" t="str">
        <x:v>KRDS-SEC-058-U-04</x:v>
      </x:c>
      <x:c r="B418" s="14" t="str">
        <x:v>컴포넌트</x:v>
      </x:c>
      <x:c r="C418" s="14" t="str">
        <x:v>입력</x:v>
      </x:c>
      <x:c r="D418" s="14" t="str">
        <x:v>파일 업로드</x:v>
      </x:c>
      <x:c r="E418" s="14" t="str">
        <x:v>사용성 가이드라인</x:v>
      </x:c>
      <x:c r="F418" s="14" t="str">
        <x:v>04</x:v>
      </x:c>
      <x:c r="G418" s="14" t="n">
        <x:v>701</x:v>
      </x:c>
      <x:c r="H418" s="14" t="n">
        <x:v>701</x:v>
      </x:c>
      <x:c r="I418" s="14" t="str">
        <x:v>704</x:v>
      </x:c>
      <x:c r="J418" s="14" t="str">
        <x:v>가능한 한 파일 형식을 제한하지 않는다.</x:v>
      </x:c>
      <x:c r="K418" s="14" t="str">
        <x:v>UI-057, UI-111, UI-112, UI-113, UI-114</x:v>
      </x:c>
      <x:c r="L418" s="14" t="str">
        <x:v>추출 후 기본 구조 검토; 원문 적용수준·전체 맥락 재확인 필요</x:v>
      </x:c>
      <x:c r="M418" s="14" t="str">
        <x:v>미확인</x:v>
      </x:c>
    </x:row>
    <x:row r="419" ht="37.5" customHeight="1">
      <x:c r="A419" s="13" t="str">
        <x:v>KRDS-SEC-058-U-05</x:v>
      </x:c>
      <x:c r="B419" s="13" t="str">
        <x:v>컴포넌트</x:v>
      </x:c>
      <x:c r="C419" s="13" t="str">
        <x:v>입력</x:v>
      </x:c>
      <x:c r="D419" s="13" t="str">
        <x:v>파일 업로드</x:v>
      </x:c>
      <x:c r="E419" s="13" t="str">
        <x:v>사용성 가이드라인</x:v>
      </x:c>
      <x:c r="F419" s="13" t="str">
        <x:v>05</x:v>
      </x:c>
      <x:c r="G419" s="13" t="n">
        <x:v>701</x:v>
      </x:c>
      <x:c r="H419" s="13" t="n">
        <x:v>701</x:v>
      </x:c>
      <x:c r="I419" s="13" t="str">
        <x:v>704</x:v>
      </x:c>
      <x:c r="J419" s="13" t="str">
        <x:v>가능한 한 파일 크기를 제한하지 않는다.</x:v>
      </x:c>
      <x:c r="K419" s="13" t="str">
        <x:v>UI-057, UI-111, UI-112, UI-113, UI-114</x:v>
      </x:c>
      <x:c r="L419" s="13" t="str">
        <x:v>추출 후 기본 구조 검토; 원문 적용수준·전체 맥락 재확인 필요</x:v>
      </x:c>
      <x:c r="M419" s="13" t="str">
        <x:v>미확인</x:v>
      </x:c>
    </x:row>
    <x:row r="420" ht="37.5" customHeight="1">
      <x:c r="A420" s="14" t="str">
        <x:v>KRDS-SEC-058-U-06</x:v>
      </x:c>
      <x:c r="B420" s="14" t="str">
        <x:v>컴포넌트</x:v>
      </x:c>
      <x:c r="C420" s="14" t="str">
        <x:v>입력</x:v>
      </x:c>
      <x:c r="D420" s="14" t="str">
        <x:v>파일 업로드</x:v>
      </x:c>
      <x:c r="E420" s="14" t="str">
        <x:v>사용성 가이드라인</x:v>
      </x:c>
      <x:c r="F420" s="14" t="str">
        <x:v>06</x:v>
      </x:c>
      <x:c r="G420" s="14" t="n">
        <x:v>701</x:v>
      </x:c>
      <x:c r="H420" s="14" t="n">
        <x:v>701</x:v>
      </x:c>
      <x:c r="I420" s="14" t="str">
        <x:v>704</x:v>
      </x:c>
      <x:c r="J420" s="14" t="str">
        <x:v>이미지 유형의 파일에 대해 파일 크기 자동 압축 기능을 제공한다.</x:v>
      </x:c>
      <x:c r="K420" s="14" t="str">
        <x:v>UI-057, UI-111, UI-112, UI-113, UI-114</x:v>
      </x:c>
      <x:c r="L420" s="14" t="str">
        <x:v>추출 후 기본 구조 검토; 원문 적용수준·전체 맥락 재확인 필요</x:v>
      </x:c>
      <x:c r="M420" s="14" t="str">
        <x:v>미확인</x:v>
      </x:c>
    </x:row>
    <x:row r="421" ht="37.5" customHeight="1">
      <x:c r="A421" s="13" t="str">
        <x:v>KRDS-SEC-058-U-07</x:v>
      </x:c>
      <x:c r="B421" s="13" t="str">
        <x:v>컴포넌트</x:v>
      </x:c>
      <x:c r="C421" s="13" t="str">
        <x:v>입력</x:v>
      </x:c>
      <x:c r="D421" s="13" t="str">
        <x:v>파일 업로드</x:v>
      </x:c>
      <x:c r="E421" s="13" t="str">
        <x:v>사용성 가이드라인</x:v>
      </x:c>
      <x:c r="F421" s="13" t="str">
        <x:v>07</x:v>
      </x:c>
      <x:c r="G421" s="13" t="n">
        <x:v>701</x:v>
      </x:c>
      <x:c r="H421" s="13" t="n">
        <x:v>701</x:v>
      </x:c>
      <x:c r="I421" s="13" t="str">
        <x:v>705</x:v>
      </x:c>
      <x:c r="J421" s="13" t="str">
        <x:v>파일이 업로드된 후에도 파일 선택 버튼을 기본 상태로 유지한다.</x:v>
      </x:c>
      <x:c r="K421" s="13" t="str">
        <x:v>UI-057, UI-111, UI-112, UI-113, UI-114</x:v>
      </x:c>
      <x:c r="L421" s="13" t="str">
        <x:v>추출 후 기본 구조 검토; 원문 적용수준·전체 맥락 재확인 필요</x:v>
      </x:c>
      <x:c r="M421" s="13" t="str">
        <x:v>미확인</x:v>
      </x:c>
    </x:row>
    <x:row r="422" ht="37.5" customHeight="1">
      <x:c r="A422" s="14" t="str">
        <x:v>KRDS-SEC-058-U-08</x:v>
      </x:c>
      <x:c r="B422" s="14" t="str">
        <x:v>컴포넌트</x:v>
      </x:c>
      <x:c r="C422" s="14" t="str">
        <x:v>입력</x:v>
      </x:c>
      <x:c r="D422" s="14" t="str">
        <x:v>파일 업로드</x:v>
      </x:c>
      <x:c r="E422" s="14" t="str">
        <x:v>사용성 가이드라인</x:v>
      </x:c>
      <x:c r="F422" s="14" t="str">
        <x:v>08</x:v>
      </x:c>
      <x:c r="G422" s="14" t="n">
        <x:v>701</x:v>
      </x:c>
      <x:c r="H422" s="14" t="n">
        <x:v>701</x:v>
      </x:c>
      <x:c r="I422" s="14" t="str">
        <x:v>706</x:v>
      </x:c>
      <x:c r="J422" s="14" t="str">
        <x:v>파일 선택 버튼을 적절한 강조 수준으로 표현한다.</x:v>
      </x:c>
      <x:c r="K422" s="14" t="str">
        <x:v>UI-057, UI-111, UI-112, UI-113, UI-114</x:v>
      </x:c>
      <x:c r="L422" s="14" t="str">
        <x:v>추출 후 기본 구조 검토; 원문 적용수준·전체 맥락 재확인 필요</x:v>
      </x:c>
      <x:c r="M422" s="14" t="str">
        <x:v>미확인</x:v>
      </x:c>
    </x:row>
    <x:row r="423" ht="37.5" customHeight="1">
      <x:c r="A423" s="13" t="str">
        <x:v>KRDS-SEC-058-U-09</x:v>
      </x:c>
      <x:c r="B423" s="13" t="str">
        <x:v>컴포넌트</x:v>
      </x:c>
      <x:c r="C423" s="13" t="str">
        <x:v>입력</x:v>
      </x:c>
      <x:c r="D423" s="13" t="str">
        <x:v>파일 업로드</x:v>
      </x:c>
      <x:c r="E423" s="13" t="str">
        <x:v>사용성 가이드라인</x:v>
      </x:c>
      <x:c r="F423" s="13" t="str">
        <x:v>09</x:v>
      </x:c>
      <x:c r="G423" s="13" t="n">
        <x:v>701</x:v>
      </x:c>
      <x:c r="H423" s="13" t="n">
        <x:v>701</x:v>
      </x:c>
      <x:c r="I423" s="13" t="str">
        <x:v>708</x:v>
      </x:c>
      <x:c r="J423" s="13" t="str">
        <x:v>파일을 자동으로 제출하지 않는다.</x:v>
      </x:c>
      <x:c r="K423" s="13" t="str">
        <x:v>UI-057, UI-111, UI-112, UI-113, UI-114</x:v>
      </x:c>
      <x:c r="L423" s="13" t="str">
        <x:v>추출 후 기본 구조 검토; 원문 적용수준·전체 맥락 재확인 필요</x:v>
      </x:c>
      <x:c r="M423" s="13" t="str">
        <x:v>미확인</x:v>
      </x:c>
    </x:row>
    <x:row r="424" ht="37.5" customHeight="1">
      <x:c r="A424" s="14" t="str">
        <x:v>KRDS-SEC-058-U-10</x:v>
      </x:c>
      <x:c r="B424" s="14" t="str">
        <x:v>컴포넌트</x:v>
      </x:c>
      <x:c r="C424" s="14" t="str">
        <x:v>입력</x:v>
      </x:c>
      <x:c r="D424" s="14" t="str">
        <x:v>파일 업로드</x:v>
      </x:c>
      <x:c r="E424" s="14" t="str">
        <x:v>사용성 가이드라인</x:v>
      </x:c>
      <x:c r="F424" s="14" t="str">
        <x:v>10</x:v>
      </x:c>
      <x:c r="G424" s="14" t="n">
        <x:v>701</x:v>
      </x:c>
      <x:c r="H424" s="14" t="n">
        <x:v>701</x:v>
      </x:c>
      <x:c r="I424" s="14" t="str">
        <x:v>708</x:v>
      </x:c>
      <x:c r="J424" s="14" t="str">
        <x:v>오류 상태에 대한 구체적인 오류 메시지를 제공한다.</x:v>
      </x:c>
      <x:c r="K424" s="14" t="str">
        <x:v>UI-057, UI-111, UI-112, UI-113, UI-114</x:v>
      </x:c>
      <x:c r="L424" s="14" t="str">
        <x:v>추출 후 기본 구조 검토; 원문 적용수준·전체 맥락 재확인 필요</x:v>
      </x:c>
      <x:c r="M424" s="14" t="str">
        <x:v>미확인</x:v>
      </x:c>
    </x:row>
    <x:row r="425" ht="37.5" customHeight="1">
      <x:c r="A425" s="13" t="str">
        <x:v>KRDS-SEC-058-U-11</x:v>
      </x:c>
      <x:c r="B425" s="13" t="str">
        <x:v>컴포넌트</x:v>
      </x:c>
      <x:c r="C425" s="13" t="str">
        <x:v>입력</x:v>
      </x:c>
      <x:c r="D425" s="13" t="str">
        <x:v>파일 업로드</x:v>
      </x:c>
      <x:c r="E425" s="13" t="str">
        <x:v>사용성 가이드라인</x:v>
      </x:c>
      <x:c r="F425" s="13" t="str">
        <x:v>11</x:v>
      </x:c>
      <x:c r="G425" s="13" t="n">
        <x:v>701</x:v>
      </x:c>
      <x:c r="H425" s="13" t="n">
        <x:v>701</x:v>
      </x:c>
      <x:c r="I425" s="13" t="str">
        <x:v>709</x:v>
      </x:c>
      <x:c r="J425" s="13" t="str">
        <x:v>업로드된 파일 이름 텍스트를 두 줄로 제공하지 않는다.</x:v>
      </x:c>
      <x:c r="K425" s="13" t="str">
        <x:v>UI-057, UI-111, UI-112, UI-113, UI-114</x:v>
      </x:c>
      <x:c r="L425" s="13" t="str">
        <x:v>추출 후 기본 구조 검토; 원문 적용수준·전체 맥락 재확인 필요</x:v>
      </x:c>
      <x:c r="M425" s="13" t="str">
        <x:v>미확인</x:v>
      </x:c>
    </x:row>
    <x:row r="426" ht="37.5" customHeight="1">
      <x:c r="A426" s="14" t="str">
        <x:v>KRDS-SEC-058-A-01</x:v>
      </x:c>
      <x:c r="B426" s="14" t="str">
        <x:v>컴포넌트</x:v>
      </x:c>
      <x:c r="C426" s="14" t="str">
        <x:v>입력</x:v>
      </x:c>
      <x:c r="D426" s="14" t="str">
        <x:v>파일 업로드</x:v>
      </x:c>
      <x:c r="E426" s="14" t="str">
        <x:v>접근성 가이드라인</x:v>
      </x:c>
      <x:c r="F426" s="14" t="str">
        <x:v>01</x:v>
      </x:c>
      <x:c r="G426" s="14" t="n">
        <x:v>710</x:v>
      </x:c>
      <x:c r="H426" s="14" t="n">
        <x:v>710</x:v>
      </x:c>
      <x:c r="I426" s="14" t="str"/>
      <x:c r="J426" s="14" t="str">
        <x:v>파일 업로드에 적절한 레이블을 제공한다.</x:v>
      </x:c>
      <x:c r="K426" s="14" t="str">
        <x:v>UI-057, UI-111, UI-112, UI-113, UI-114</x:v>
      </x:c>
      <x:c r="L426" s="14" t="str">
        <x:v>추출 후 기본 구조 검토; 원문 적용수준·전체 맥락 재확인 필요</x:v>
      </x:c>
      <x:c r="M426" s="14" t="str">
        <x:v>미확인</x:v>
      </x:c>
    </x:row>
    <x:row r="427" ht="37.5" customHeight="1">
      <x:c r="A427" s="13" t="str">
        <x:v>KRDS-SEC-058-A-02</x:v>
      </x:c>
      <x:c r="B427" s="13" t="str">
        <x:v>컴포넌트</x:v>
      </x:c>
      <x:c r="C427" s="13" t="str">
        <x:v>입력</x:v>
      </x:c>
      <x:c r="D427" s="13" t="str">
        <x:v>파일 업로드</x:v>
      </x:c>
      <x:c r="E427" s="13" t="str">
        <x:v>접근성 가이드라인</x:v>
      </x:c>
      <x:c r="F427" s="13" t="str">
        <x:v>02</x:v>
      </x:c>
      <x:c r="G427" s="13" t="n">
        <x:v>710</x:v>
      </x:c>
      <x:c r="H427" s="13" t="n">
        <x:v>710</x:v>
      </x:c>
      <x:c r="I427" s="13" t="str"/>
      <x:c r="J427" s="13" t="str">
        <x:v>파일 항목과 항목 삭제 버튼을 하나의 그룹으로 제공한다.</x:v>
      </x:c>
      <x:c r="K427" s="13" t="str">
        <x:v>UI-057, UI-111, UI-112, UI-113, UI-114</x:v>
      </x:c>
      <x:c r="L427" s="13" t="str">
        <x:v>추출 후 기본 구조 검토; 원문 적용수준·전체 맥락 재확인 필요</x:v>
      </x:c>
      <x:c r="M427" s="13" t="str">
        <x:v>미확인</x:v>
      </x:c>
    </x:row>
    <x:row r="428" ht="37.5" customHeight="1">
      <x:c r="A428" s="14" t="str">
        <x:v>KRDS-SEC-058-A-03</x:v>
      </x:c>
      <x:c r="B428" s="14" t="str">
        <x:v>컴포넌트</x:v>
      </x:c>
      <x:c r="C428" s="14" t="str">
        <x:v>입력</x:v>
      </x:c>
      <x:c r="D428" s="14" t="str">
        <x:v>파일 업로드</x:v>
      </x:c>
      <x:c r="E428" s="14" t="str">
        <x:v>접근성 가이드라인</x:v>
      </x:c>
      <x:c r="F428" s="14" t="str">
        <x:v>03</x:v>
      </x:c>
      <x:c r="G428" s="14" t="n">
        <x:v>710</x:v>
      </x:c>
      <x:c r="H428" s="14" t="n">
        <x:v>710</x:v>
      </x:c>
      <x:c r="I428" s="14" t="str"/>
      <x:c r="J428" s="14" t="str">
        <x:v>키보드 초점을 명확하게 표시한다.</x:v>
      </x:c>
      <x:c r="K428" s="14" t="str">
        <x:v>UI-057, UI-111, UI-112, UI-113, UI-114</x:v>
      </x:c>
      <x:c r="L428" s="14" t="str">
        <x:v>추출 후 기본 구조 검토; 원문 적용수준·전체 맥락 재확인 필요</x:v>
      </x:c>
      <x:c r="M428" s="14" t="str">
        <x:v>미확인</x:v>
      </x:c>
    </x:row>
    <x:row r="429" ht="37.5" customHeight="1">
      <x:c r="A429" s="13" t="str">
        <x:v>KRDS-SEC-058-A-04</x:v>
      </x:c>
      <x:c r="B429" s="13" t="str">
        <x:v>컴포넌트</x:v>
      </x:c>
      <x:c r="C429" s="13" t="str">
        <x:v>입력</x:v>
      </x:c>
      <x:c r="D429" s="13" t="str">
        <x:v>파일 업로드</x:v>
      </x:c>
      <x:c r="E429" s="13" t="str">
        <x:v>접근성 가이드라인</x:v>
      </x:c>
      <x:c r="F429" s="13" t="str">
        <x:v>04</x:v>
      </x:c>
      <x:c r="G429" s="13" t="n">
        <x:v>711</x:v>
      </x:c>
      <x:c r="H429" s="13" t="n">
        <x:v>711</x:v>
      </x:c>
      <x:c r="I429" s="13" t="str"/>
      <x:c r="J429" s="13" t="str">
        <x:v>드래그 앤 드롭 유형은 반드시 파일 업로더와 함께 사용한다.</x:v>
      </x:c>
      <x:c r="K429" s="13" t="str">
        <x:v>UI-057, UI-111, UI-112, UI-113, UI-114</x:v>
      </x:c>
      <x:c r="L429" s="13" t="str">
        <x:v>추출 후 기본 구조 검토; 원문 적용수준·전체 맥락 재확인 필요</x:v>
      </x:c>
      <x:c r="M429" s="13" t="str">
        <x:v>미확인</x:v>
      </x:c>
    </x:row>
    <x:row r="430" ht="37.5" customHeight="1">
      <x:c r="A430" s="14" t="str">
        <x:v>KRDS-SEC-058-A-05</x:v>
      </x:c>
      <x:c r="B430" s="14" t="str">
        <x:v>컴포넌트</x:v>
      </x:c>
      <x:c r="C430" s="14" t="str">
        <x:v>입력</x:v>
      </x:c>
      <x:c r="D430" s="14" t="str">
        <x:v>파일 업로드</x:v>
      </x:c>
      <x:c r="E430" s="14" t="str">
        <x:v>접근성 가이드라인</x:v>
      </x:c>
      <x:c r="F430" s="14" t="str">
        <x:v>05</x:v>
      </x:c>
      <x:c r="G430" s="14" t="n">
        <x:v>712</x:v>
      </x:c>
      <x:c r="H430" s="14" t="n">
        <x:v>712</x:v>
      </x:c>
      <x:c r="I430" s="14" t="str"/>
      <x:c r="J430" s="14" t="str">
        <x:v>스크린 리더로 접근할 수 있도록 한다.</x:v>
      </x:c>
      <x:c r="K430" s="14" t="str">
        <x:v>UI-057, UI-111, UI-112, UI-113, UI-114</x:v>
      </x:c>
      <x:c r="L430" s="14" t="str">
        <x:v>추출 후 기본 구조 검토; 원문 적용수준·전체 맥락 재확인 필요</x:v>
      </x:c>
      <x:c r="M430" s="14" t="str">
        <x:v>미확인</x:v>
      </x:c>
    </x:row>
    <x:row r="431" ht="37.5" customHeight="1">
      <x:c r="A431" s="13" t="str">
        <x:v>KRDS-SEC-059-U-01</x:v>
      </x:c>
      <x:c r="B431" s="13" t="str">
        <x:v>컴포넌트</x:v>
      </x:c>
      <x:c r="C431" s="13" t="str">
        <x:v>설정</x:v>
      </x:c>
      <x:c r="D431" s="13" t="str">
        <x:v>언어 변경</x:v>
      </x:c>
      <x:c r="E431" s="13" t="str">
        <x:v>사용성 가이드라인</x:v>
      </x:c>
      <x:c r="F431" s="13" t="str">
        <x:v>01</x:v>
      </x:c>
      <x:c r="G431" s="13" t="n">
        <x:v>718</x:v>
      </x:c>
      <x:c r="H431" s="13" t="n">
        <x:v>718</x:v>
      </x:c>
      <x:c r="I431" s="13" t="str">
        <x:v>719</x:v>
      </x:c>
      <x:c r="J431" s="13" t="str">
        <x:v>링크 레이블에 아이콘을 제공한다.</x:v>
      </x:c>
      <x:c r="K431" s="13" t="str">
        <x:v>UI-058</x:v>
      </x:c>
      <x:c r="L431" s="13" t="str">
        <x:v>추출 후 기본 구조 검토; 원문 적용수준·전체 맥락 재확인 필요</x:v>
      </x:c>
      <x:c r="M431" s="13" t="str">
        <x:v>미확인</x:v>
      </x:c>
    </x:row>
    <x:row r="432" ht="37.5" customHeight="1">
      <x:c r="A432" s="14" t="str">
        <x:v>KRDS-SEC-059-U-02</x:v>
      </x:c>
      <x:c r="B432" s="14" t="str">
        <x:v>컴포넌트</x:v>
      </x:c>
      <x:c r="C432" s="14" t="str">
        <x:v>설정</x:v>
      </x:c>
      <x:c r="D432" s="14" t="str">
        <x:v>언어 변경</x:v>
      </x:c>
      <x:c r="E432" s="14" t="str">
        <x:v>사용성 가이드라인</x:v>
      </x:c>
      <x:c r="F432" s="14" t="str">
        <x:v>02</x:v>
      </x:c>
      <x:c r="G432" s="14" t="n">
        <x:v>718</x:v>
      </x:c>
      <x:c r="H432" s="14" t="n">
        <x:v>718</x:v>
      </x:c>
      <x:c r="I432" s="14" t="str">
        <x:v>720</x:v>
      </x:c>
      <x:c r="J432" s="14" t="str">
        <x:v>링크 레이블은 전환되는 언어의 이름을 해당 언어로 작성한다.</x:v>
      </x:c>
      <x:c r="K432" s="14" t="str">
        <x:v>UI-058</x:v>
      </x:c>
      <x:c r="L432" s="14" t="str">
        <x:v>추출 후 기본 구조 검토; 원문 적용수준·전체 맥락 재확인 필요</x:v>
      </x:c>
      <x:c r="M432" s="14" t="str">
        <x:v>미확인</x:v>
      </x:c>
    </x:row>
    <x:row r="433" ht="37.5" customHeight="1">
      <x:c r="A433" s="13" t="str">
        <x:v>KRDS-SEC-059-U-03</x:v>
      </x:c>
      <x:c r="B433" s="13" t="str">
        <x:v>컴포넌트</x:v>
      </x:c>
      <x:c r="C433" s="13" t="str">
        <x:v>설정</x:v>
      </x:c>
      <x:c r="D433" s="13" t="str">
        <x:v>언어 변경</x:v>
      </x:c>
      <x:c r="E433" s="13" t="str">
        <x:v>사용성 가이드라인</x:v>
      </x:c>
      <x:c r="F433" s="13" t="str">
        <x:v>03</x:v>
      </x:c>
      <x:c r="G433" s="13" t="n">
        <x:v>718</x:v>
      </x:c>
      <x:c r="H433" s="13" t="n">
        <x:v>718</x:v>
      </x:c>
      <x:c r="I433" s="13" t="str">
        <x:v>722</x:v>
      </x:c>
      <x:c r="J433" s="13" t="str">
        <x:v>링크 레이블을 언어 코드로 축약하지 않는다.</x:v>
      </x:c>
      <x:c r="K433" s="13" t="str">
        <x:v>UI-058</x:v>
      </x:c>
      <x:c r="L433" s="13" t="str">
        <x:v>추출 후 기본 구조 검토; 원문 적용수준·전체 맥락 재확인 필요</x:v>
      </x:c>
      <x:c r="M433" s="13" t="str">
        <x:v>미확인</x:v>
      </x:c>
    </x:row>
    <x:row r="434" ht="37.5" customHeight="1">
      <x:c r="A434" s="14" t="str">
        <x:v>KRDS-SEC-059-U-04</x:v>
      </x:c>
      <x:c r="B434" s="14" t="str">
        <x:v>컴포넌트</x:v>
      </x:c>
      <x:c r="C434" s="14" t="str">
        <x:v>설정</x:v>
      </x:c>
      <x:c r="D434" s="14" t="str">
        <x:v>언어 변경</x:v>
      </x:c>
      <x:c r="E434" s="14" t="str">
        <x:v>사용성 가이드라인</x:v>
      </x:c>
      <x:c r="F434" s="14" t="str">
        <x:v>04</x:v>
      </x:c>
      <x:c r="G434" s="14" t="n">
        <x:v>718</x:v>
      </x:c>
      <x:c r="H434" s="14" t="n">
        <x:v>718</x:v>
      </x:c>
      <x:c r="I434" s="14" t="str">
        <x:v>723</x:v>
      </x:c>
      <x:c r="J434" s="14" t="str">
        <x:v>국가명은 필요한 경우에만 사용한다.</x:v>
      </x:c>
      <x:c r="K434" s="14" t="str">
        <x:v>UI-058</x:v>
      </x:c>
      <x:c r="L434" s="14" t="str">
        <x:v>추출 후 기본 구조 검토; 원문 적용수준·전체 맥락 재확인 필요</x:v>
      </x:c>
      <x:c r="M434" s="14" t="str">
        <x:v>미확인</x:v>
      </x:c>
    </x:row>
    <x:row r="435" ht="37.5" customHeight="1">
      <x:c r="A435" s="13" t="str">
        <x:v>KRDS-SEC-059-U-05</x:v>
      </x:c>
      <x:c r="B435" s="13" t="str">
        <x:v>컴포넌트</x:v>
      </x:c>
      <x:c r="C435" s="13" t="str">
        <x:v>설정</x:v>
      </x:c>
      <x:c r="D435" s="13" t="str">
        <x:v>언어 변경</x:v>
      </x:c>
      <x:c r="E435" s="13" t="str">
        <x:v>사용성 가이드라인</x:v>
      </x:c>
      <x:c r="F435" s="13" t="str">
        <x:v>05</x:v>
      </x:c>
      <x:c r="G435" s="13" t="n">
        <x:v>718</x:v>
      </x:c>
      <x:c r="H435" s="13" t="n">
        <x:v>718</x:v>
      </x:c>
      <x:c r="I435" s="13" t="str"/>
      <x:c r="J435" s="13" t="str">
        <x:v>외국어 서비스로 이동하는 경우 링크를 새 창으로 실행하고, 새 창 열림 아이콘을 제공한다.</x:v>
      </x:c>
      <x:c r="K435" s="13" t="str">
        <x:v>UI-058</x:v>
      </x:c>
      <x:c r="L435" s="13" t="str">
        <x:v>추출 후 기본 구조 검토; 원문 적용수준·전체 맥락 재확인 필요</x:v>
      </x:c>
      <x:c r="M435" s="13" t="str">
        <x:v>미확인</x:v>
      </x:c>
    </x:row>
    <x:row r="436" ht="37.5" customHeight="1">
      <x:c r="A436" s="14" t="str">
        <x:v>KRDS-SEC-059-A-01</x:v>
      </x:c>
      <x:c r="B436" s="14" t="str">
        <x:v>컴포넌트</x:v>
      </x:c>
      <x:c r="C436" s="14" t="str">
        <x:v>설정</x:v>
      </x:c>
      <x:c r="D436" s="14" t="str">
        <x:v>언어 변경</x:v>
      </x:c>
      <x:c r="E436" s="14" t="str">
        <x:v>접근성 가이드라인</x:v>
      </x:c>
      <x:c r="F436" s="14" t="str">
        <x:v>01</x:v>
      </x:c>
      <x:c r="G436" s="14" t="n">
        <x:v>725</x:v>
      </x:c>
      <x:c r="H436" s="14" t="n">
        <x:v>725</x:v>
      </x:c>
      <x:c r="I436" s="14" t="str"/>
      <x:c r="J436" s="14" t="str">
        <x:v>링크에 lang 속성을 선언하고 레이블과 일치하는 언어 코드를 속성값으로 제공한다.</x:v>
      </x:c>
      <x:c r="K436" s="14" t="str">
        <x:v>UI-058</x:v>
      </x:c>
      <x:c r="L436" s="14" t="str">
        <x:v>추출 후 기본 구조 검토; 원문 적용수준·전체 맥락 재확인 필요</x:v>
      </x:c>
      <x:c r="M436" s="14" t="str">
        <x:v>미확인</x:v>
      </x:c>
    </x:row>
    <x:row r="437" ht="37.5" customHeight="1">
      <x:c r="A437" s="13" t="str">
        <x:v>KRDS-SEC-060-U-01</x:v>
      </x:c>
      <x:c r="B437" s="13" t="str">
        <x:v>컴포넌트</x:v>
      </x:c>
      <x:c r="C437" s="13" t="str">
        <x:v>설정</x:v>
      </x:c>
      <x:c r="D437" s="13" t="str">
        <x:v>화면 크기 조정</x:v>
      </x:c>
      <x:c r="E437" s="13" t="str">
        <x:v>사용성 가이드라인</x:v>
      </x:c>
      <x:c r="F437" s="13" t="str">
        <x:v>01</x:v>
      </x:c>
      <x:c r="G437" s="13" t="n">
        <x:v>729</x:v>
      </x:c>
      <x:c r="H437" s="13" t="n">
        <x:v>729</x:v>
      </x:c>
      <x:c r="I437" s="13" t="str">
        <x:v>730</x:v>
      </x:c>
      <x:c r="J437" s="13" t="str">
        <x:v>옵션 레이블을 명확한 내용으로 제공한다.</x:v>
      </x:c>
      <x:c r="K437" s="13" t="str">
        <x:v>UI-059</x:v>
      </x:c>
      <x:c r="L437" s="13" t="str">
        <x:v>추출 후 기본 구조 검토; 원문 적용수준·전체 맥락 재확인 필요</x:v>
      </x:c>
      <x:c r="M437" s="13" t="str">
        <x:v>미확인</x:v>
      </x:c>
    </x:row>
    <x:row r="438" ht="37.5" customHeight="1">
      <x:c r="A438" s="14" t="str">
        <x:v>KRDS-SEC-060-U-02</x:v>
      </x:c>
      <x:c r="B438" s="14" t="str">
        <x:v>컴포넌트</x:v>
      </x:c>
      <x:c r="C438" s="14" t="str">
        <x:v>설정</x:v>
      </x:c>
      <x:c r="D438" s="14" t="str">
        <x:v>화면 크기 조정</x:v>
      </x:c>
      <x:c r="E438" s="14" t="str">
        <x:v>사용성 가이드라인</x:v>
      </x:c>
      <x:c r="F438" s="14" t="str">
        <x:v>02</x:v>
      </x:c>
      <x:c r="G438" s="14" t="n">
        <x:v>729</x:v>
      </x:c>
      <x:c r="H438" s="14" t="n">
        <x:v>729</x:v>
      </x:c>
      <x:c r="I438" s="14" t="str">
        <x:v>731</x:v>
      </x:c>
      <x:c r="J438" s="14" t="str">
        <x:v>옵션을 5개 이내로 제공한다.</x:v>
      </x:c>
      <x:c r="K438" s="14" t="str">
        <x:v>UI-059</x:v>
      </x:c>
      <x:c r="L438" s="14" t="str">
        <x:v>추출 후 기본 구조 검토; 원문 적용수준·전체 맥락 재확인 필요</x:v>
      </x:c>
      <x:c r="M438" s="14" t="str">
        <x:v>미확인</x:v>
      </x:c>
    </x:row>
    <x:row r="439" ht="37.5" customHeight="1">
      <x:c r="A439" s="13" t="str">
        <x:v>KRDS-SEC-060-U-03</x:v>
      </x:c>
      <x:c r="B439" s="13" t="str">
        <x:v>컴포넌트</x:v>
      </x:c>
      <x:c r="C439" s="13" t="str">
        <x:v>설정</x:v>
      </x:c>
      <x:c r="D439" s="13" t="str">
        <x:v>화면 크기 조정</x:v>
      </x:c>
      <x:c r="E439" s="13" t="str">
        <x:v>사용성 가이드라인</x:v>
      </x:c>
      <x:c r="F439" s="13" t="str">
        <x:v>03</x:v>
      </x:c>
      <x:c r="G439" s="13" t="n">
        <x:v>729</x:v>
      </x:c>
      <x:c r="H439" s="13" t="n">
        <x:v>729</x:v>
      </x:c>
      <x:c r="I439" s="13" t="str">
        <x:v>732</x:v>
      </x:c>
      <x:c r="J439" s="13" t="str">
        <x:v>반응형 레이아웃 사용을 고려한다.</x:v>
      </x:c>
      <x:c r="K439" s="13" t="str">
        <x:v>UI-059</x:v>
      </x:c>
      <x:c r="L439" s="13" t="str">
        <x:v>추출 후 기본 구조 검토; 원문 적용수준·전체 맥락 재확인 필요</x:v>
      </x:c>
      <x:c r="M439" s="13" t="str">
        <x:v>미확인</x:v>
      </x:c>
    </x:row>
    <x:row r="440" ht="37.5" customHeight="1">
      <x:c r="A440" s="14" t="str">
        <x:v>KRDS-SEC-060-P-01</x:v>
      </x:c>
      <x:c r="B440" s="14" t="str">
        <x:v>컴포넌트</x:v>
      </x:c>
      <x:c r="C440" s="14" t="str">
        <x:v>설정</x:v>
      </x:c>
      <x:c r="D440" s="14" t="str">
        <x:v>화면 크기 조정</x:v>
      </x:c>
      <x:c r="E440" s="14" t="str">
        <x:v>플랫폼에 대한 고려 사항</x:v>
      </x:c>
      <x:c r="F440" s="14" t="str">
        <x:v>01</x:v>
      </x:c>
      <x:c r="G440" s="14" t="n">
        <x:v>733</x:v>
      </x:c>
      <x:c r="H440" s="14" t="n">
        <x:v>733</x:v>
      </x:c>
      <x:c r="I440" s="14" t="str"/>
      <x:c r="J440" s="14" t="str">
        <x:v>모바일 애플리케이션에서는 별도 설정 화면에서 화면 크기 조정 기능을 제공할 수 있다.</x:v>
      </x:c>
      <x:c r="K440" s="14" t="str">
        <x:v>UI-059</x:v>
      </x:c>
      <x:c r="L440" s="14" t="str">
        <x:v>추출 후 기본 구조 검토; 원문 적용수준·전체 맥락 재확인 필요</x:v>
      </x:c>
      <x:c r="M440" s="14" t="str">
        <x:v>미확인</x:v>
      </x:c>
    </x:row>
    <x:row r="441" ht="37.5" customHeight="1">
      <x:c r="A441" s="13" t="str">
        <x:v>KRDS-SEC-060-A-01</x:v>
      </x:c>
      <x:c r="B441" s="13" t="str">
        <x:v>컴포넌트</x:v>
      </x:c>
      <x:c r="C441" s="13" t="str">
        <x:v>설정</x:v>
      </x:c>
      <x:c r="D441" s="13" t="str">
        <x:v>화면 크기 조정</x:v>
      </x:c>
      <x:c r="E441" s="13" t="str">
        <x:v>접근성 가이드라인</x:v>
      </x:c>
      <x:c r="F441" s="13" t="str">
        <x:v>01</x:v>
      </x:c>
      <x:c r="G441" s="13" t="n">
        <x:v>734</x:v>
      </x:c>
      <x:c r="H441" s="13" t="n">
        <x:v>734</x:v>
      </x:c>
      <x:c r="I441" s="13" t="str"/>
      <x:c r="J441" s="13" t="str">
        <x:v>화면 크기를 조정했을 때 콘텐츠가 가려지거나 기능이 손실되지 않도록 한다.</x:v>
      </x:c>
      <x:c r="K441" s="13" t="str">
        <x:v>UI-059</x:v>
      </x:c>
      <x:c r="L441" s="13" t="str">
        <x:v>추출 후 기본 구조 검토; 원문 적용수준·전체 맥락 재확인 필요</x:v>
      </x:c>
      <x:c r="M441" s="13" t="str">
        <x:v>미확인</x:v>
      </x:c>
    </x:row>
    <x:row r="442" ht="37.5" customHeight="1">
      <x:c r="A442" s="14" t="str">
        <x:v>KRDS-SEC-060-A-02</x:v>
      </x:c>
      <x:c r="B442" s="14" t="str">
        <x:v>컴포넌트</x:v>
      </x:c>
      <x:c r="C442" s="14" t="str">
        <x:v>설정</x:v>
      </x:c>
      <x:c r="D442" s="14" t="str">
        <x:v>화면 크기 조정</x:v>
      </x:c>
      <x:c r="E442" s="14" t="str">
        <x:v>접근성 가이드라인</x:v>
      </x:c>
      <x:c r="F442" s="14" t="str">
        <x:v>02</x:v>
      </x:c>
      <x:c r="G442" s="14" t="n">
        <x:v>734</x:v>
      </x:c>
      <x:c r="H442" s="14" t="n">
        <x:v>734</x:v>
      </x:c>
      <x:c r="I442" s="14" t="str"/>
      <x:c r="J442" s="14" t="str">
        <x:v>화면을 확대했을 때 화면 스크롤은 단일 방향으로 유지/ 생성되도록 한다.</x:v>
      </x:c>
      <x:c r="K442" s="14" t="str">
        <x:v>UI-059</x:v>
      </x:c>
      <x:c r="L442" s="14" t="str">
        <x:v>추출 후 기본 구조 검토; 원문 적용수준·전체 맥락 재확인 필요</x:v>
      </x:c>
      <x:c r="M442" s="14" t="str">
        <x:v>미확인</x:v>
      </x:c>
    </x:row>
    <x:row r="443" ht="37.5" customHeight="1">
      <x:c r="A443" s="13" t="str">
        <x:v>KRDS-SEC-061-U-01</x:v>
      </x:c>
      <x:c r="B443" s="13" t="str">
        <x:v>컴포넌트</x:v>
      </x:c>
      <x:c r="C443" s="13" t="str">
        <x:v>콘텐츠</x:v>
      </x:c>
      <x:c r="D443" s="13" t="str">
        <x:v>접근 가능한 미디어</x:v>
      </x:c>
      <x:c r="E443" s="13" t="str">
        <x:v>사용성 가이드라인</x:v>
      </x:c>
      <x:c r="F443" s="13" t="str">
        <x:v>01</x:v>
      </x:c>
      <x:c r="G443" s="13" t="n">
        <x:v>740</x:v>
      </x:c>
      <x:c r="H443" s="13" t="n">
        <x:v>740</x:v>
      </x:c>
      <x:c r="I443" s="13" t="str">
        <x:v>741</x:v>
      </x:c>
      <x:c r="J443" s="13" t="str">
        <x:v>미디어 콘텐츠를 제작하기 전에 대체 정보 제공에 대한 계획을 수립한다.</x:v>
      </x:c>
      <x:c r="K443" s="13" t="str">
        <x:v>UI-060</x:v>
      </x:c>
      <x:c r="L443" s="13" t="str">
        <x:v>추출 후 기본 구조 검토; 원문 적용수준·전체 맥락 재확인 필요</x:v>
      </x:c>
      <x:c r="M443" s="13" t="str">
        <x:v>미확인</x:v>
      </x:c>
    </x:row>
    <x:row r="444" ht="37.5" customHeight="1">
      <x:c r="A444" s="14" t="str">
        <x:v>KRDS-SEC-061-U-02</x:v>
      </x:c>
      <x:c r="B444" s="14" t="str">
        <x:v>컴포넌트</x:v>
      </x:c>
      <x:c r="C444" s="14" t="str">
        <x:v>콘텐츠</x:v>
      </x:c>
      <x:c r="D444" s="14" t="str">
        <x:v>접근 가능한 미디어</x:v>
      </x:c>
      <x:c r="E444" s="14" t="str">
        <x:v>사용성 가이드라인</x:v>
      </x:c>
      <x:c r="F444" s="14" t="str">
        <x:v>02</x:v>
      </x:c>
      <x:c r="G444" s="14" t="n">
        <x:v>740</x:v>
      </x:c>
      <x:c r="H444" s="14" t="n">
        <x:v>740</x:v>
      </x:c>
      <x:c r="I444" s="14" t="str">
        <x:v>742</x:v>
      </x:c>
      <x:c r="J444" s="14" t="str">
        <x:v>가능한 다양한 유형의 대체 정보를 제공한다.</x:v>
      </x:c>
      <x:c r="K444" s="14" t="str">
        <x:v>UI-060</x:v>
      </x:c>
      <x:c r="L444" s="14" t="str">
        <x:v>추출 후 기본 구조 검토; 원문 적용수준·전체 맥락 재확인 필요</x:v>
      </x:c>
      <x:c r="M444" s="14" t="str">
        <x:v>미확인</x:v>
      </x:c>
    </x:row>
    <x:row r="445" ht="37.5" customHeight="1">
      <x:c r="A445" s="13" t="str">
        <x:v>KRDS-SEC-061-U-03</x:v>
      </x:c>
      <x:c r="B445" s="13" t="str">
        <x:v>컴포넌트</x:v>
      </x:c>
      <x:c r="C445" s="13" t="str">
        <x:v>콘텐츠</x:v>
      </x:c>
      <x:c r="D445" s="13" t="str">
        <x:v>접근 가능한 미디어</x:v>
      </x:c>
      <x:c r="E445" s="13" t="str">
        <x:v>사용성 가이드라인</x:v>
      </x:c>
      <x:c r="F445" s="13" t="str">
        <x:v>03</x:v>
      </x:c>
      <x:c r="G445" s="13" t="n">
        <x:v>740</x:v>
      </x:c>
      <x:c r="H445" s="13" t="n">
        <x:v>740</x:v>
      </x:c>
      <x:c r="I445" s="13" t="str">
        <x:v>743</x:v>
      </x:c>
      <x:c r="J445" s="13" t="str">
        <x:v>대체 정보는 미디어에 포함된 모든 정보를 설명해야 한다.</x:v>
      </x:c>
      <x:c r="K445" s="13" t="str">
        <x:v>UI-060</x:v>
      </x:c>
      <x:c r="L445" s="13" t="str">
        <x:v>추출 후 기본 구조 검토; 원문 적용수준·전체 맥락 재확인 필요</x:v>
      </x:c>
      <x:c r="M445" s="13" t="str">
        <x:v>미확인</x:v>
      </x:c>
    </x:row>
    <x:row r="446" ht="37.5" customHeight="1">
      <x:c r="A446" s="14" t="str">
        <x:v>KRDS-SEC-061-U-04</x:v>
      </x:c>
      <x:c r="B446" s="14" t="str">
        <x:v>컴포넌트</x:v>
      </x:c>
      <x:c r="C446" s="14" t="str">
        <x:v>콘텐츠</x:v>
      </x:c>
      <x:c r="D446" s="14" t="str">
        <x:v>접근 가능한 미디어</x:v>
      </x:c>
      <x:c r="E446" s="14" t="str">
        <x:v>사용성 가이드라인</x:v>
      </x:c>
      <x:c r="F446" s="14" t="str">
        <x:v>04</x:v>
      </x:c>
      <x:c r="G446" s="14" t="n">
        <x:v>740</x:v>
      </x:c>
      <x:c r="H446" s="14" t="n">
        <x:v>740</x:v>
      </x:c>
      <x:c r="I446" s="14" t="str">
        <x:v>744</x:v>
      </x:c>
      <x:c r="J446" s="14" t="str">
        <x:v>정보를 전달하기 위한 목적의 시각적 요소를 삽입할 때 명도 대비에 유의한다.</x:v>
      </x:c>
      <x:c r="K446" s="14" t="str">
        <x:v>UI-060</x:v>
      </x:c>
      <x:c r="L446" s="14" t="str">
        <x:v>추출 후 기본 구조 검토; 원문 적용수준·전체 맥락 재확인 필요</x:v>
      </x:c>
      <x:c r="M446" s="14" t="str">
        <x:v>미확인</x:v>
      </x:c>
    </x:row>
    <x:row r="447" ht="37.5" customHeight="1">
      <x:c r="A447" s="13" t="str">
        <x:v>KRDS-SEC-061-U-05</x:v>
      </x:c>
      <x:c r="B447" s="13" t="str">
        <x:v>컴포넌트</x:v>
      </x:c>
      <x:c r="C447" s="13" t="str">
        <x:v>콘텐츠</x:v>
      </x:c>
      <x:c r="D447" s="13" t="str">
        <x:v>접근 가능한 미디어</x:v>
      </x:c>
      <x:c r="E447" s="13" t="str">
        <x:v>사용성 가이드라인</x:v>
      </x:c>
      <x:c r="F447" s="13" t="str">
        <x:v>05</x:v>
      </x:c>
      <x:c r="G447" s="13" t="n">
        <x:v>740</x:v>
      </x:c>
      <x:c r="H447" s="13" t="n">
        <x:v>740</x:v>
      </x:c>
      <x:c r="I447" s="13" t="str">
        <x:v>745</x:v>
      </x:c>
      <x:c r="J447" s="13" t="str">
        <x:v>자막은 주변 요소에 가려지거나 흐리게 표시되어서는 안 된다.</x:v>
      </x:c>
      <x:c r="K447" s="13" t="str">
        <x:v>UI-060</x:v>
      </x:c>
      <x:c r="L447" s="13" t="str">
        <x:v>추출 후 기본 구조 검토; 원문 적용수준·전체 맥락 재확인 필요</x:v>
      </x:c>
      <x:c r="M447" s="13" t="str">
        <x:v>미확인</x:v>
      </x:c>
    </x:row>
    <x:row r="448" ht="37.5" customHeight="1">
      <x:c r="A448" s="14" t="str">
        <x:v>KRDS-SEC-061-U-06</x:v>
      </x:c>
      <x:c r="B448" s="14" t="str">
        <x:v>컴포넌트</x:v>
      </x:c>
      <x:c r="C448" s="14" t="str">
        <x:v>콘텐츠</x:v>
      </x:c>
      <x:c r="D448" s="14" t="str">
        <x:v>접근 가능한 미디어</x:v>
      </x:c>
      <x:c r="E448" s="14" t="str">
        <x:v>사용성 가이드라인</x:v>
      </x:c>
      <x:c r="F448" s="14" t="str">
        <x:v>06</x:v>
      </x:c>
      <x:c r="G448" s="14" t="n">
        <x:v>740</x:v>
      </x:c>
      <x:c r="H448" s="14" t="n">
        <x:v>740</x:v>
      </x:c>
      <x:c r="I448" s="14" t="str">
        <x:v>746</x:v>
      </x:c>
      <x:c r="J448" s="14" t="str">
        <x:v>자막은 오디오와 동기화하여 제공한다.</x:v>
      </x:c>
      <x:c r="K448" s="14" t="str">
        <x:v>UI-060</x:v>
      </x:c>
      <x:c r="L448" s="14" t="str">
        <x:v>추출 후 기본 구조 검토; 원문 적용수준·전체 맥락 재확인 필요</x:v>
      </x:c>
      <x:c r="M448" s="14" t="str">
        <x:v>미확인</x:v>
      </x:c>
    </x:row>
    <x:row r="449" ht="37.5" customHeight="1">
      <x:c r="A449" s="13" t="str">
        <x:v>KRDS-SEC-061-U-07</x:v>
      </x:c>
      <x:c r="B449" s="13" t="str">
        <x:v>컴포넌트</x:v>
      </x:c>
      <x:c r="C449" s="13" t="str">
        <x:v>콘텐츠</x:v>
      </x:c>
      <x:c r="D449" s="13" t="str">
        <x:v>접근 가능한 미디어</x:v>
      </x:c>
      <x:c r="E449" s="13" t="str">
        <x:v>사용성 가이드라인</x:v>
      </x:c>
      <x:c r="F449" s="13" t="str">
        <x:v>07</x:v>
      </x:c>
      <x:c r="G449" s="13" t="n">
        <x:v>740</x:v>
      </x:c>
      <x:c r="H449" s="13" t="n">
        <x:v>740</x:v>
      </x:c>
      <x:c r="I449" s="13" t="str">
        <x:v>746</x:v>
      </x:c>
      <x:c r="J449" s="13" t="str">
        <x:v>콘텐츠를 업데이트할 때 대체 정보도 업데이트한다.</x:v>
      </x:c>
      <x:c r="K449" s="13" t="str">
        <x:v>UI-060</x:v>
      </x:c>
      <x:c r="L449" s="13" t="str">
        <x:v>추출 후 기본 구조 검토; 원문 적용수준·전체 맥락 재확인 필요</x:v>
      </x:c>
      <x:c r="M449" s="13" t="str">
        <x:v>미확인</x:v>
      </x:c>
    </x:row>
    <x:row r="450" ht="37.5" customHeight="1">
      <x:c r="A450" s="14" t="str">
        <x:v>KRDS-SEC-062-U-01</x:v>
      </x:c>
      <x:c r="B450" s="14" t="str">
        <x:v>컴포넌트</x:v>
      </x:c>
      <x:c r="C450" s="14" t="str">
        <x:v>콘텐츠</x:v>
      </x:c>
      <x:c r="D450" s="14" t="str">
        <x:v>숨긴 콘텐츠</x:v>
      </x:c>
      <x:c r="E450" s="14" t="str">
        <x:v>사용성 가이드라인</x:v>
      </x:c>
      <x:c r="F450" s="14" t="str">
        <x:v>01</x:v>
      </x:c>
      <x:c r="G450" s="14" t="n">
        <x:v>748</x:v>
      </x:c>
      <x:c r="H450" s="14" t="n">
        <x:v>748</x:v>
      </x:c>
      <x:c r="I450" s="14" t="str">
        <x:v>749</x:v>
      </x:c>
      <x:c r="J450" s="14" t="str">
        <x:v>숨긴 콘텐츠를 사용하는 대신 주변 정보를 활용하거나 시각으로 정보를 표시하는 방안을 우선 고려한다.</x:v>
      </x:c>
      <x:c r="K450" s="14" t="str">
        <x:v>UI-061, UI-115</x:v>
      </x:c>
      <x:c r="L450" s="14" t="str">
        <x:v>추출 후 기본 구조 검토; 원문 적용수준·전체 맥락 재확인 필요</x:v>
      </x:c>
      <x:c r="M450" s="14" t="str">
        <x:v>미확인</x:v>
      </x:c>
    </x:row>
    <x:row r="451" ht="37.5" customHeight="1">
      <x:c r="A451" s="13" t="str">
        <x:v>KRDS-SEC-062-U-02</x:v>
      </x:c>
      <x:c r="B451" s="13" t="str">
        <x:v>컴포넌트</x:v>
      </x:c>
      <x:c r="C451" s="13" t="str">
        <x:v>콘텐츠</x:v>
      </x:c>
      <x:c r="D451" s="13" t="str">
        <x:v>숨긴 콘텐츠</x:v>
      </x:c>
      <x:c r="E451" s="13" t="str">
        <x:v>사용성 가이드라인</x:v>
      </x:c>
      <x:c r="F451" s="13" t="str">
        <x:v>02</x:v>
      </x:c>
      <x:c r="G451" s="13" t="n">
        <x:v>748</x:v>
      </x:c>
      <x:c r="H451" s="13" t="n">
        <x:v>748</x:v>
      </x:c>
      <x:c r="I451" s="13" t="str">
        <x:v>749</x:v>
      </x:c>
      <x:c r="J451" s="13" t="str">
        <x:v>시맨틱 마크업을 한다.</x:v>
      </x:c>
      <x:c r="K451" s="13" t="str">
        <x:v>UI-061, UI-115</x:v>
      </x:c>
      <x:c r="L451" s="13" t="str">
        <x:v>추출 후 기본 구조 검토; 원문 적용수준·전체 맥락 재확인 필요</x:v>
      </x:c>
      <x:c r="M451" s="13" t="str">
        <x:v>미확인</x:v>
      </x:c>
    </x:row>
    <x:row r="452" ht="37.5" customHeight="1">
      <x:c r="A452" s="14" t="str">
        <x:v>KRDS-SEC-062-U-03</x:v>
      </x:c>
      <x:c r="B452" s="14" t="str">
        <x:v>컴포넌트</x:v>
      </x:c>
      <x:c r="C452" s="14" t="str">
        <x:v>콘텐츠</x:v>
      </x:c>
      <x:c r="D452" s="14" t="str">
        <x:v>숨긴 콘텐츠</x:v>
      </x:c>
      <x:c r="E452" s="14" t="str">
        <x:v>사용성 가이드라인</x:v>
      </x:c>
      <x:c r="F452" s="14" t="str">
        <x:v>03</x:v>
      </x:c>
      <x:c r="G452" s="14" t="n">
        <x:v>748</x:v>
      </x:c>
      <x:c r="H452" s="14" t="n">
        <x:v>748</x:v>
      </x:c>
      <x:c r="I452" s="14" t="str">
        <x:v>749</x:v>
      </x:c>
      <x:c r="J452" s="14" t="str">
        <x:v>숨긴 콘텐츠에 스크린 리더가 정보를 탐지하는 것을 방지하는 스타일을 사용하지 않는다.</x:v>
      </x:c>
      <x:c r="K452" s="14" t="str">
        <x:v>UI-061, UI-115</x:v>
      </x:c>
      <x:c r="L452" s="14" t="str">
        <x:v>추출 후 기본 구조 검토; 원문 적용수준·전체 맥락 재확인 필요</x:v>
      </x:c>
      <x:c r="M452" s="14" t="str">
        <x:v>미확인</x:v>
      </x:c>
    </x:row>
    <x:row r="453" ht="37.5" customHeight="1">
      <x:c r="A453" s="13" t="str">
        <x:v>KRDS-SEC-062-U-04</x:v>
      </x:c>
      <x:c r="B453" s="13" t="str">
        <x:v>컴포넌트</x:v>
      </x:c>
      <x:c r="C453" s="13" t="str">
        <x:v>콘텐츠</x:v>
      </x:c>
      <x:c r="D453" s="13" t="str">
        <x:v>숨긴 콘텐츠</x:v>
      </x:c>
      <x:c r="E453" s="13" t="str">
        <x:v>사용성 가이드라인</x:v>
      </x:c>
      <x:c r="F453" s="13" t="str">
        <x:v>04</x:v>
      </x:c>
      <x:c r="G453" s="13" t="n">
        <x:v>748</x:v>
      </x:c>
      <x:c r="H453" s="13" t="n">
        <x:v>748</x:v>
      </x:c>
      <x:c r="I453" s="13" t="str">
        <x:v>750</x:v>
      </x:c>
      <x:c r="J453" s="13" t="str">
        <x:v>숨긴 콘텐츠의 크기 지정에 유의한다.</x:v>
      </x:c>
      <x:c r="K453" s="13" t="str">
        <x:v>UI-061, UI-115</x:v>
      </x:c>
      <x:c r="L453" s="13" t="str">
        <x:v>추출 후 기본 구조 검토; 원문 적용수준·전체 맥락 재확인 필요</x:v>
      </x:c>
      <x:c r="M453" s="13" t="str">
        <x:v>미확인</x:v>
      </x:c>
    </x:row>
    <x:row r="454" ht="37.5" customHeight="1">
      <x:c r="A454" s="14" t="str">
        <x:v>KRDS-SEC-062-U-05</x:v>
      </x:c>
      <x:c r="B454" s="14" t="str">
        <x:v>컴포넌트</x:v>
      </x:c>
      <x:c r="C454" s="14" t="str">
        <x:v>콘텐츠</x:v>
      </x:c>
      <x:c r="D454" s="14" t="str">
        <x:v>숨긴 콘텐츠</x:v>
      </x:c>
      <x:c r="E454" s="14" t="str">
        <x:v>사용성 가이드라인</x:v>
      </x:c>
      <x:c r="F454" s="14" t="str">
        <x:v>05</x:v>
      </x:c>
      <x:c r="G454" s="14" t="n">
        <x:v>748</x:v>
      </x:c>
      <x:c r="H454" s="14" t="n">
        <x:v>748</x:v>
      </x:c>
      <x:c r="I454" s="14" t="str">
        <x:v>750</x:v>
      </x:c>
      <x:c r="J454" s="14" t="str">
        <x:v>대화형 요소를 숨길 때 상대적 위치 지정에 유의한다.</x:v>
      </x:c>
      <x:c r="K454" s="14" t="str">
        <x:v>UI-061, UI-115</x:v>
      </x:c>
      <x:c r="L454" s="14" t="str">
        <x:v>추출 후 기본 구조 검토; 원문 적용수준·전체 맥락 재확인 필요</x:v>
      </x:c>
      <x:c r="M454" s="14" t="str">
        <x:v>미확인</x:v>
      </x:c>
    </x:row>
    <x:row r="455" ht="37.5" customHeight="1">
      <x:c r="A455" s="13" t="str">
        <x:v>KRDS-SEC-062-U-06</x:v>
      </x:c>
      <x:c r="B455" s="13" t="str">
        <x:v>컴포넌트</x:v>
      </x:c>
      <x:c r="C455" s="13" t="str">
        <x:v>콘텐츠</x:v>
      </x:c>
      <x:c r="D455" s="13" t="str">
        <x:v>숨긴 콘텐츠</x:v>
      </x:c>
      <x:c r="E455" s="13" t="str">
        <x:v>사용성 가이드라인</x:v>
      </x:c>
      <x:c r="F455" s="13" t="str">
        <x:v>06</x:v>
      </x:c>
      <x:c r="G455" s="13" t="n">
        <x:v>748</x:v>
      </x:c>
      <x:c r="H455" s="13" t="n">
        <x:v>748</x:v>
      </x:c>
      <x:c r="I455" s="13" t="str">
        <x:v>750</x:v>
      </x:c>
      <x:c r="J455" s="13" t="str">
        <x:v>대화형 요소를 숨길 때 크기 지정에 유의한다.</x:v>
      </x:c>
      <x:c r="K455" s="13" t="str">
        <x:v>UI-061, UI-115</x:v>
      </x:c>
      <x:c r="L455" s="13" t="str">
        <x:v>추출 후 기본 구조 검토; 원문 적용수준·전체 맥락 재확인 필요</x:v>
      </x:c>
      <x:c r="M455" s="13" t="str">
        <x:v>미확인</x:v>
      </x:c>
    </x:row>
    <x:row r="456" ht="37.5" customHeight="1">
      <x:c r="A456" s="14" t="str">
        <x:v>KRDS-SEC-062-U-07</x:v>
      </x:c>
      <x:c r="B456" s="14" t="str">
        <x:v>컴포넌트</x:v>
      </x:c>
      <x:c r="C456" s="14" t="str">
        <x:v>콘텐츠</x:v>
      </x:c>
      <x:c r="D456" s="14" t="str">
        <x:v>숨긴 콘텐츠</x:v>
      </x:c>
      <x:c r="E456" s="14" t="str">
        <x:v>사용성 가이드라인</x:v>
      </x:c>
      <x:c r="F456" s="14" t="str">
        <x:v>07</x:v>
      </x:c>
      <x:c r="G456" s="14" t="n">
        <x:v>748</x:v>
      </x:c>
      <x:c r="H456" s="14" t="n">
        <x:v>748</x:v>
      </x:c>
      <x:c r="I456" s="14" t="str">
        <x:v>751</x:v>
      </x:c>
      <x:c r="J456" s="14" t="str">
        <x:v>서비스 제공 언어를 변경할 때 숨긴 콘텐츠에 포함된 텍스트의 언어도 변경되도록 한다.</x:v>
      </x:c>
      <x:c r="K456" s="14" t="str">
        <x:v>UI-061, UI-115</x:v>
      </x:c>
      <x:c r="L456" s="14" t="str">
        <x:v>추출 후 기본 구조 검토; 원문 적용수준·전체 맥락 재확인 필요</x:v>
      </x:c>
      <x:c r="M456" s="14" t="str">
        <x:v>미확인</x:v>
      </x:c>
    </x:row>
    <x:row r="457" ht="37.5" customHeight="1">
      <x:c r="A457" s="13" t="str">
        <x:v>KRDS-SEC-062-U-08</x:v>
      </x:c>
      <x:c r="B457" s="13" t="str">
        <x:v>컴포넌트</x:v>
      </x:c>
      <x:c r="C457" s="13" t="str">
        <x:v>콘텐츠</x:v>
      </x:c>
      <x:c r="D457" s="13" t="str">
        <x:v>숨긴 콘텐츠</x:v>
      </x:c>
      <x:c r="E457" s="13" t="str">
        <x:v>사용성 가이드라인</x:v>
      </x:c>
      <x:c r="F457" s="13" t="str">
        <x:v>08</x:v>
      </x:c>
      <x:c r="G457" s="13" t="n">
        <x:v>748</x:v>
      </x:c>
      <x:c r="H457" s="13" t="n">
        <x:v>748</x:v>
      </x:c>
      <x:c r="I457" s="13" t="str">
        <x:v>751</x:v>
      </x:c>
      <x:c r="J457" s="13" t="str">
        <x:v>텍스트 편집기에 숨긴 콘텐츠를 제공할 수 있는 옵션을 제공한다.</x:v>
      </x:c>
      <x:c r="K457" s="13" t="str">
        <x:v>UI-061, UI-115</x:v>
      </x:c>
      <x:c r="L457" s="13" t="str">
        <x:v>추출 후 기본 구조 검토; 원문 적용수준·전체 맥락 재확인 필요</x:v>
      </x:c>
      <x:c r="M457" s="13" t="str">
        <x:v>미확인</x:v>
      </x:c>
    </x:row>
    <x:row r="458" ht="37.5" customHeight="1">
      <x:c r="A458" s="14" t="str">
        <x:v>KRDS-SEC-062-U-09</x:v>
      </x:c>
      <x:c r="B458" s="14" t="str">
        <x:v>컴포넌트</x:v>
      </x:c>
      <x:c r="C458" s="14" t="str">
        <x:v>콘텐츠</x:v>
      </x:c>
      <x:c r="D458" s="14" t="str">
        <x:v>숨긴 콘텐츠</x:v>
      </x:c>
      <x:c r="E458" s="14" t="str">
        <x:v>사용성 가이드라인</x:v>
      </x:c>
      <x:c r="F458" s="14" t="str">
        <x:v>09</x:v>
      </x:c>
      <x:c r="G458" s="14" t="n">
        <x:v>748</x:v>
      </x:c>
      <x:c r="H458" s="14" t="n">
        <x:v>748</x:v>
      </x:c>
      <x:c r="I458" s="14" t="str">
        <x:v>751</x:v>
      </x:c>
      <x:c r="J458" s="14" t="str">
        <x:v>스크린 리더 테스트를 수행한다.</x:v>
      </x:c>
      <x:c r="K458" s="14" t="str">
        <x:v>UI-061, UI-115</x:v>
      </x:c>
      <x:c r="L458" s="14" t="str">
        <x:v>추출 후 기본 구조 검토; 원문 적용수준·전체 맥락 재확인 필요</x:v>
      </x:c>
      <x:c r="M458" s="14" t="str">
        <x:v>미확인</x:v>
      </x:c>
    </x:row>
    <x:row r="459" ht="51" customHeight="1">
      <x:c r="A459" s="13" t="str">
        <x:v>KRDS-SEC-063-U-01</x:v>
      </x:c>
      <x:c r="B459" s="13" t="str">
        <x:v>기본 패턴</x:v>
      </x:c>
      <x:c r="C459" s="13" t="str">
        <x:v>패턴</x:v>
      </x:c>
      <x:c r="D459" s="13" t="str">
        <x:v>개인 식별 정보 입력</x:v>
      </x:c>
      <x:c r="E459" s="13" t="str">
        <x:v>사용성 가이드라인</x:v>
      </x:c>
      <x:c r="F459" s="13" t="str">
        <x:v>01</x:v>
      </x:c>
      <x:c r="G459" s="13" t="n">
        <x:v>757</x:v>
      </x:c>
      <x:c r="H459" s="13" t="n">
        <x:v>757</x:v>
      </x:c>
      <x:c r="I459" s="13" t="str">
        <x:v>757, 757, 758, 758, 759, 760, 764, 767, 769</x:v>
      </x:c>
      <x:c r="J459" s="13" t="str">
        <x:v>개인 식별 정보의 수집이 필요한지 확인한다.</x:v>
      </x:c>
      <x:c r="K459" s="13" t="str">
        <x:v>UI-062</x:v>
      </x:c>
      <x:c r="L459" s="13" t="str">
        <x:v>추출 후 기본 구조 검토; 원문 적용수준·전체 맥락 재확인 필요</x:v>
      </x:c>
      <x:c r="M459" s="13" t="str">
        <x:v>미확인</x:v>
      </x:c>
    </x:row>
    <x:row r="460" ht="51" customHeight="1">
      <x:c r="A460" s="14" t="str">
        <x:v>KRDS-SEC-063-U-02</x:v>
      </x:c>
      <x:c r="B460" s="14" t="str">
        <x:v>기본 패턴</x:v>
      </x:c>
      <x:c r="C460" s="14" t="str">
        <x:v>패턴</x:v>
      </x:c>
      <x:c r="D460" s="14" t="str">
        <x:v>개인 식별 정보 입력</x:v>
      </x:c>
      <x:c r="E460" s="14" t="str">
        <x:v>사용성 가이드라인</x:v>
      </x:c>
      <x:c r="F460" s="14" t="str">
        <x:v>02</x:v>
      </x:c>
      <x:c r="G460" s="14" t="n">
        <x:v>757</x:v>
      </x:c>
      <x:c r="H460" s="14" t="n">
        <x:v>757</x:v>
      </x:c>
      <x:c r="I460" s="14" t="str">
        <x:v>757, 757, 758, 758, 759, 761, 765, 768, 770</x:v>
      </x:c>
      <x:c r="J460" s="14" t="str">
        <x:v>입력이 필요한 데이터의 용도를 명확하게 설명한다.</x:v>
      </x:c>
      <x:c r="K460" s="14" t="str">
        <x:v>UI-062</x:v>
      </x:c>
      <x:c r="L460" s="14" t="str">
        <x:v>추출 후 기본 구조 검토; 원문 적용수준·전체 맥락 재확인 필요</x:v>
      </x:c>
      <x:c r="M460" s="14" t="str">
        <x:v>미확인</x:v>
      </x:c>
    </x:row>
    <x:row r="461" ht="51" customHeight="1">
      <x:c r="A461" s="13" t="str">
        <x:v>KRDS-SEC-063-U-03</x:v>
      </x:c>
      <x:c r="B461" s="13" t="str">
        <x:v>기본 패턴</x:v>
      </x:c>
      <x:c r="C461" s="13" t="str">
        <x:v>패턴</x:v>
      </x:c>
      <x:c r="D461" s="13" t="str">
        <x:v>개인 식별 정보 입력</x:v>
      </x:c>
      <x:c r="E461" s="13" t="str">
        <x:v>사용성 가이드라인</x:v>
      </x:c>
      <x:c r="F461" s="13" t="str">
        <x:v>03</x:v>
      </x:c>
      <x:c r="G461" s="13" t="n">
        <x:v>757</x:v>
      </x:c>
      <x:c r="H461" s="13" t="n">
        <x:v>757</x:v>
      </x:c>
      <x:c r="I461" s="13" t="str">
        <x:v>757, 757, 758, 759, 762, 766, 771</x:v>
      </x:c>
      <x:c r="J461" s="13" t="str">
        <x:v>개인 식별 정보 입력 필드에 복사와 붙여넣기를 허용한다.</x:v>
      </x:c>
      <x:c r="K461" s="13" t="str">
        <x:v>UI-062</x:v>
      </x:c>
      <x:c r="L461" s="13" t="str">
        <x:v>추출 후 기본 구조 검토; 원문 적용수준·전체 맥락 재확인 필요</x:v>
      </x:c>
      <x:c r="M461" s="13" t="str">
        <x:v>미확인</x:v>
      </x:c>
    </x:row>
    <x:row r="462" ht="37.5" customHeight="1">
      <x:c r="A462" s="14" t="str">
        <x:v>KRDS-SEC-063-U-04</x:v>
      </x:c>
      <x:c r="B462" s="14" t="str">
        <x:v>기본 패턴</x:v>
      </x:c>
      <x:c r="C462" s="14" t="str">
        <x:v>패턴</x:v>
      </x:c>
      <x:c r="D462" s="14" t="str">
        <x:v>개인 식별 정보 입력</x:v>
      </x:c>
      <x:c r="E462" s="14" t="str">
        <x:v>사용성 가이드라인</x:v>
      </x:c>
      <x:c r="F462" s="14" t="str">
        <x:v>04</x:v>
      </x:c>
      <x:c r="G462" s="14" t="n">
        <x:v>757</x:v>
      </x:c>
      <x:c r="H462" s="14" t="n">
        <x:v>757</x:v>
      </x:c>
      <x:c r="I462" s="14" t="str">
        <x:v>757, 758, 759, 763, 771</x:v>
      </x:c>
      <x:c r="J462" s="14" t="str">
        <x:v>기본값을 설정하지 않는다.</x:v>
      </x:c>
      <x:c r="K462" s="14" t="str">
        <x:v>UI-062</x:v>
      </x:c>
      <x:c r="L462" s="14" t="str">
        <x:v>추출 후 기본 구조 검토; 원문 적용수준·전체 맥락 재확인 필요</x:v>
      </x:c>
      <x:c r="M462" s="14" t="str">
        <x:v>미확인</x:v>
      </x:c>
    </x:row>
    <x:row r="463" ht="37.5" customHeight="1">
      <x:c r="A463" s="13" t="str">
        <x:v>KRDS-SEC-063-U-05</x:v>
      </x:c>
      <x:c r="B463" s="13" t="str">
        <x:v>기본 패턴</x:v>
      </x:c>
      <x:c r="C463" s="13" t="str">
        <x:v>패턴</x:v>
      </x:c>
      <x:c r="D463" s="13" t="str">
        <x:v>개인 식별 정보 입력</x:v>
      </x:c>
      <x:c r="E463" s="13" t="str">
        <x:v>사용성 가이드라인</x:v>
      </x:c>
      <x:c r="F463" s="13" t="str">
        <x:v>05</x:v>
      </x:c>
      <x:c r="G463" s="13" t="n">
        <x:v>758</x:v>
      </x:c>
      <x:c r="H463" s="13" t="n">
        <x:v>758</x:v>
      </x:c>
      <x:c r="I463" s="13" t="str">
        <x:v>772</x:v>
      </x:c>
      <x:c r="J463" s="13" t="str">
        <x:v>여러 개의 전화번호 입력 요청 시, 각 번호를 구분할 수 있는 레이블을 제공한다.</x:v>
      </x:c>
      <x:c r="K463" s="13" t="str">
        <x:v>UI-062</x:v>
      </x:c>
      <x:c r="L463" s="13" t="str">
        <x:v>추출 후 기본 구조 검토; 원문 적용수준·전체 맥락 재확인 필요</x:v>
      </x:c>
      <x:c r="M463" s="13" t="str">
        <x:v>미확인</x:v>
      </x:c>
    </x:row>
    <x:row r="464" ht="37.5" customHeight="1">
      <x:c r="A464" s="14" t="str">
        <x:v>KRDS-SEC-063-U-06</x:v>
      </x:c>
      <x:c r="B464" s="14" t="str">
        <x:v>기본 패턴</x:v>
      </x:c>
      <x:c r="C464" s="14" t="str">
        <x:v>패턴</x:v>
      </x:c>
      <x:c r="D464" s="14" t="str">
        <x:v>개인 식별 정보 입력</x:v>
      </x:c>
      <x:c r="E464" s="14" t="str">
        <x:v>사용성 가이드라인</x:v>
      </x:c>
      <x:c r="F464" s="14" t="str">
        <x:v>06</x:v>
      </x:c>
      <x:c r="G464" s="14" t="n">
        <x:v>758</x:v>
      </x:c>
      <x:c r="H464" s="14" t="n">
        <x:v>758</x:v>
      </x:c>
      <x:c r="I464" s="14" t="str">
        <x:v>772</x:v>
      </x:c>
      <x:c r="J464" s="14" t="str">
        <x:v>여러 개의 전화번호 입력 요청 시, 주로 사용하는 번호를 지정할 수 있는 옵션을 제공한다.</x:v>
      </x:c>
      <x:c r="K464" s="14" t="str">
        <x:v>UI-062</x:v>
      </x:c>
      <x:c r="L464" s="14" t="str">
        <x:v>추출 후 기본 구조 검토; 원문 적용수준·전체 맥락 재확인 필요</x:v>
      </x:c>
      <x:c r="M464" s="14" t="str">
        <x:v>미확인</x:v>
      </x:c>
    </x:row>
    <x:row r="465" ht="37.5" customHeight="1">
      <x:c r="A465" s="13" t="str">
        <x:v>KRDS-SEC-063-A-01</x:v>
      </x:c>
      <x:c r="B465" s="13" t="str">
        <x:v>기본 패턴</x:v>
      </x:c>
      <x:c r="C465" s="13" t="str">
        <x:v>패턴</x:v>
      </x:c>
      <x:c r="D465" s="13" t="str">
        <x:v>개인 식별 정보 입력</x:v>
      </x:c>
      <x:c r="E465" s="13" t="str">
        <x:v>접근성 가이드라인</x:v>
      </x:c>
      <x:c r="F465" s="13" t="str">
        <x:v>01</x:v>
      </x:c>
      <x:c r="G465" s="13" t="n">
        <x:v>773</x:v>
      </x:c>
      <x:c r="H465" s="13" t="n">
        <x:v>773</x:v>
      </x:c>
      <x:c r="I465" s="13" t="str"/>
      <x:c r="J465" s="13" t="str">
        <x:v>입력 필드에 자동 완성 속성을 설정한다.</x:v>
      </x:c>
      <x:c r="K465" s="13" t="str">
        <x:v>UI-062</x:v>
      </x:c>
      <x:c r="L465" s="13" t="str">
        <x:v>추출 후 기본 구조 검토; 원문 적용수준·전체 맥락 재확인 필요</x:v>
      </x:c>
      <x:c r="M465" s="13" t="str">
        <x:v>미확인</x:v>
      </x:c>
    </x:row>
    <x:row r="466" ht="78" customHeight="1">
      <x:c r="A466" s="14" t="str">
        <x:v>KRDS-SEC-064-U-01</x:v>
      </x:c>
      <x:c r="B466" s="14" t="str">
        <x:v>기본 패턴</x:v>
      </x:c>
      <x:c r="C466" s="14" t="str">
        <x:v>패턴</x:v>
      </x:c>
      <x:c r="D466" s="14" t="str">
        <x:v>도움</x:v>
      </x:c>
      <x:c r="E466" s="14" t="str">
        <x:v>사용성 가이드라인</x:v>
      </x:c>
      <x:c r="F466" s="14" t="str">
        <x:v>01</x:v>
      </x:c>
      <x:c r="G466" s="14" t="n">
        <x:v>780</x:v>
      </x:c>
      <x:c r="H466" s="14" t="n">
        <x:v>780</x:v>
      </x:c>
      <x:c r="I466" s="14" t="str">
        <x:v>780, 780, 780, 781, 781, 781, 781, 782, 784, 785, 786, 787, 788, 789, 790</x:v>
      </x:c>
      <x:c r="J466" s="14" t="str">
        <x:v>과업의 난이도와 복잡성을 고려하여 사용자에게 적절한 도움을 제공한다.</x:v>
      </x:c>
      <x:c r="K466" s="14" t="str">
        <x:v>UI-063</x:v>
      </x:c>
      <x:c r="L466" s="14" t="str">
        <x:v>추출 후 기본 구조 검토; 원문 적용수준·전체 맥락 재확인 필요</x:v>
      </x:c>
      <x:c r="M466" s="14" t="str">
        <x:v>미확인</x:v>
      </x:c>
    </x:row>
    <x:row r="467" ht="37.5" customHeight="1">
      <x:c r="A467" s="13" t="str">
        <x:v>KRDS-SEC-064-U-02</x:v>
      </x:c>
      <x:c r="B467" s="13" t="str">
        <x:v>기본 패턴</x:v>
      </x:c>
      <x:c r="C467" s="13" t="str">
        <x:v>패턴</x:v>
      </x:c>
      <x:c r="D467" s="13" t="str">
        <x:v>도움</x:v>
      </x:c>
      <x:c r="E467" s="13" t="str">
        <x:v>사용성 가이드라인</x:v>
      </x:c>
      <x:c r="F467" s="13" t="str">
        <x:v>02</x:v>
      </x:c>
      <x:c r="G467" s="13" t="n">
        <x:v>780</x:v>
      </x:c>
      <x:c r="H467" s="13" t="n">
        <x:v>780</x:v>
      </x:c>
      <x:c r="I467" s="13" t="str">
        <x:v>780, 782, 784</x:v>
      </x:c>
      <x:c r="J467" s="13" t="str">
        <x:v>도움말 콘텐츠는 명확하고 간결한 내용으로 작성한다.</x:v>
      </x:c>
      <x:c r="K467" s="13" t="str">
        <x:v>UI-063</x:v>
      </x:c>
      <x:c r="L467" s="13" t="str">
        <x:v>추출 후 기본 구조 검토; 원문 적용수준·전체 맥락 재확인 필요</x:v>
      </x:c>
      <x:c r="M467" s="13" t="str">
        <x:v>미확인</x:v>
      </x:c>
    </x:row>
    <x:row r="468" ht="37.5" customHeight="1">
      <x:c r="A468" s="14" t="str">
        <x:v>KRDS-SEC-064-U-03</x:v>
      </x:c>
      <x:c r="B468" s="14" t="str">
        <x:v>기본 패턴</x:v>
      </x:c>
      <x:c r="C468" s="14" t="str">
        <x:v>패턴</x:v>
      </x:c>
      <x:c r="D468" s="14" t="str">
        <x:v>도움</x:v>
      </x:c>
      <x:c r="E468" s="14" t="str">
        <x:v>사용성 가이드라인</x:v>
      </x:c>
      <x:c r="F468" s="14" t="str">
        <x:v>03</x:v>
      </x:c>
      <x:c r="G468" s="14" t="n">
        <x:v>780</x:v>
      </x:c>
      <x:c r="H468" s="14" t="n">
        <x:v>780</x:v>
      </x:c>
      <x:c r="I468" s="14" t="str">
        <x:v>780, 782, 784</x:v>
      </x:c>
      <x:c r="J468" s="14" t="str">
        <x:v>도움말 콘텐츠는 포괄적이고 유연한 내용으로 작성한다.</x:v>
      </x:c>
      <x:c r="K468" s="14" t="str">
        <x:v>UI-063</x:v>
      </x:c>
      <x:c r="L468" s="14" t="str">
        <x:v>추출 후 기본 구조 검토; 원문 적용수준·전체 맥락 재확인 필요</x:v>
      </x:c>
      <x:c r="M468" s="14" t="str">
        <x:v>미확인</x:v>
      </x:c>
    </x:row>
    <x:row r="469" ht="37.5" customHeight="1">
      <x:c r="A469" s="13" t="str">
        <x:v>KRDS-SEC-064-U-04</x:v>
      </x:c>
      <x:c r="B469" s="13" t="str">
        <x:v>기본 패턴</x:v>
      </x:c>
      <x:c r="C469" s="13" t="str">
        <x:v>패턴</x:v>
      </x:c>
      <x:c r="D469" s="13" t="str">
        <x:v>도움</x:v>
      </x:c>
      <x:c r="E469" s="13" t="str">
        <x:v>사용성 가이드라인</x:v>
      </x:c>
      <x:c r="F469" s="13" t="str">
        <x:v>04</x:v>
      </x:c>
      <x:c r="G469" s="13" t="n">
        <x:v>780</x:v>
      </x:c>
      <x:c r="H469" s="13" t="n">
        <x:v>780</x:v>
      </x:c>
      <x:c r="I469" s="13" t="str">
        <x:v>783</x:v>
      </x:c>
      <x:c r="J469" s="13" t="str">
        <x:v>사용자 요청에 의한 도움말 콘텐츠는 반응형 방식으로도 사용할 수 있도록 한다.</x:v>
      </x:c>
      <x:c r="K469" s="13" t="str">
        <x:v>UI-063</x:v>
      </x:c>
      <x:c r="L469" s="13" t="str">
        <x:v>추출 후 기본 구조 검토; 원문 적용수준·전체 맥락 재확인 필요</x:v>
      </x:c>
      <x:c r="M469" s="13" t="str">
        <x:v>미확인</x:v>
      </x:c>
    </x:row>
    <x:row r="470" ht="37.5" customHeight="1">
      <x:c r="A470" s="14" t="str">
        <x:v>KRDS-SEC-064-U-05</x:v>
      </x:c>
      <x:c r="B470" s="14" t="str">
        <x:v>기본 패턴</x:v>
      </x:c>
      <x:c r="C470" s="14" t="str">
        <x:v>패턴</x:v>
      </x:c>
      <x:c r="D470" s="14" t="str">
        <x:v>도움</x:v>
      </x:c>
      <x:c r="E470" s="14" t="str">
        <x:v>사용성 가이드라인</x:v>
      </x:c>
      <x:c r="F470" s="14" t="str">
        <x:v>05</x:v>
      </x:c>
      <x:c r="G470" s="14" t="n">
        <x:v>780</x:v>
      </x:c>
      <x:c r="H470" s="14" t="n">
        <x:v>780</x:v>
      </x:c>
      <x:c r="I470" s="14" t="str">
        <x:v>783</x:v>
      </x:c>
      <x:c r="J470" s="14" t="str">
        <x:v>동일한 페이지 제목, 버튼 이름을 지칭하기 위한 텍스트는 모든 서비스에서 동일하게 사용한다.</x:v>
      </x:c>
      <x:c r="K470" s="14" t="str">
        <x:v>UI-063</x:v>
      </x:c>
      <x:c r="L470" s="14" t="str">
        <x:v>추출 후 기본 구조 검토; 원문 적용수준·전체 맥락 재확인 필요</x:v>
      </x:c>
      <x:c r="M470" s="14" t="str">
        <x:v>미확인</x:v>
      </x:c>
    </x:row>
    <x:row r="471" ht="37.5" customHeight="1">
      <x:c r="A471" s="13" t="str">
        <x:v>KRDS-SEC-064-U-06</x:v>
      </x:c>
      <x:c r="B471" s="13" t="str">
        <x:v>기본 패턴</x:v>
      </x:c>
      <x:c r="C471" s="13" t="str">
        <x:v>패턴</x:v>
      </x:c>
      <x:c r="D471" s="13" t="str">
        <x:v>도움</x:v>
      </x:c>
      <x:c r="E471" s="13" t="str">
        <x:v>사용성 가이드라인</x:v>
      </x:c>
      <x:c r="F471" s="13" t="str">
        <x:v>06</x:v>
      </x:c>
      <x:c r="G471" s="13" t="n">
        <x:v>780</x:v>
      </x:c>
      <x:c r="H471" s="13" t="n">
        <x:v>780</x:v>
      </x:c>
      <x:c r="I471" s="13" t="str">
        <x:v>783</x:v>
      </x:c>
      <x:c r="J471" s="13" t="str">
        <x:v>관련 화면/리소스 링크는 새 탭에서 화면이 연결되도록 제공한다.</x:v>
      </x:c>
      <x:c r="K471" s="13" t="str">
        <x:v>UI-063</x:v>
      </x:c>
      <x:c r="L471" s="13" t="str">
        <x:v>추출 후 기본 구조 검토; 원문 적용수준·전체 맥락 재확인 필요</x:v>
      </x:c>
      <x:c r="M471" s="13" t="str">
        <x:v>미확인</x:v>
      </x:c>
    </x:row>
    <x:row r="472" ht="37.5" customHeight="1">
      <x:c r="A472" s="14" t="str">
        <x:v>KRDS-SEC-065-U-01</x:v>
      </x:c>
      <x:c r="B472" s="14" t="str">
        <x:v>기본 패턴</x:v>
      </x:c>
      <x:c r="C472" s="14" t="str">
        <x:v>패턴</x:v>
      </x:c>
      <x:c r="D472" s="14" t="str">
        <x:v>동의</x:v>
      </x:c>
      <x:c r="E472" s="14" t="str">
        <x:v>사용성 가이드라인</x:v>
      </x:c>
      <x:c r="F472" s="14" t="str">
        <x:v>01</x:v>
      </x:c>
      <x:c r="G472" s="14" t="n">
        <x:v>793</x:v>
      </x:c>
      <x:c r="H472" s="14" t="n">
        <x:v>793</x:v>
      </x:c>
      <x:c r="I472" s="14" t="str">
        <x:v>794</x:v>
      </x:c>
      <x:c r="J472" s="14" t="str">
        <x:v>동의하지 않음 옵션을 제공한다.</x:v>
      </x:c>
      <x:c r="K472" s="14" t="str">
        <x:v>UI-064</x:v>
      </x:c>
      <x:c r="L472" s="14" t="str">
        <x:v>추출 후 기본 구조 검토; 원문 적용수준·전체 맥락 재확인 필요</x:v>
      </x:c>
      <x:c r="M472" s="14" t="str">
        <x:v>미확인</x:v>
      </x:c>
    </x:row>
    <x:row r="473" ht="37.5" customHeight="1">
      <x:c r="A473" s="13" t="str">
        <x:v>KRDS-SEC-065-U-02</x:v>
      </x:c>
      <x:c r="B473" s="13" t="str">
        <x:v>기본 패턴</x:v>
      </x:c>
      <x:c r="C473" s="13" t="str">
        <x:v>패턴</x:v>
      </x:c>
      <x:c r="D473" s="13" t="str">
        <x:v>동의</x:v>
      </x:c>
      <x:c r="E473" s="13" t="str">
        <x:v>사용성 가이드라인</x:v>
      </x:c>
      <x:c r="F473" s="13" t="str">
        <x:v>02</x:v>
      </x:c>
      <x:c r="G473" s="13" t="n">
        <x:v>793</x:v>
      </x:c>
      <x:c r="H473" s="13" t="n">
        <x:v>793</x:v>
      </x:c>
      <x:c r="I473" s="13" t="str">
        <x:v>794</x:v>
      </x:c>
      <x:c r="J473" s="13" t="str">
        <x:v>동의함/동의하지 않음 옵션은 구분하기 쉽게 표현한다.</x:v>
      </x:c>
      <x:c r="K473" s="13" t="str">
        <x:v>UI-064</x:v>
      </x:c>
      <x:c r="L473" s="13" t="str">
        <x:v>추출 후 기본 구조 검토; 원문 적용수준·전체 맥락 재확인 필요</x:v>
      </x:c>
      <x:c r="M473" s="13" t="str">
        <x:v>미확인</x:v>
      </x:c>
    </x:row>
    <x:row r="474" ht="37.5" customHeight="1">
      <x:c r="A474" s="14" t="str">
        <x:v>KRDS-SEC-065-U-03</x:v>
      </x:c>
      <x:c r="B474" s="14" t="str">
        <x:v>기본 패턴</x:v>
      </x:c>
      <x:c r="C474" s="14" t="str">
        <x:v>패턴</x:v>
      </x:c>
      <x:c r="D474" s="14" t="str">
        <x:v>동의</x:v>
      </x:c>
      <x:c r="E474" s="14" t="str">
        <x:v>사용성 가이드라인</x:v>
      </x:c>
      <x:c r="F474" s="14" t="str">
        <x:v>03</x:v>
      </x:c>
      <x:c r="G474" s="14" t="n">
        <x:v>793</x:v>
      </x:c>
      <x:c r="H474" s="14" t="n">
        <x:v>793</x:v>
      </x:c>
      <x:c r="I474" s="14" t="str">
        <x:v>794</x:v>
      </x:c>
      <x:c r="J474" s="14" t="str">
        <x:v>필수 항목과 선택 항목 정보를 제공하고 명확하게 구분될 수 있도록 표현한다.</x:v>
      </x:c>
      <x:c r="K474" s="14" t="str">
        <x:v>UI-064</x:v>
      </x:c>
      <x:c r="L474" s="14" t="str">
        <x:v>추출 후 기본 구조 검토; 원문 적용수준·전체 맥락 재확인 필요</x:v>
      </x:c>
      <x:c r="M474" s="14" t="str">
        <x:v>미확인</x:v>
      </x:c>
    </x:row>
    <x:row r="475" ht="37.5" customHeight="1">
      <x:c r="A475" s="13" t="str">
        <x:v>KRDS-SEC-065-A-01</x:v>
      </x:c>
      <x:c r="B475" s="13" t="str">
        <x:v>기본 패턴</x:v>
      </x:c>
      <x:c r="C475" s="13" t="str">
        <x:v>패턴</x:v>
      </x:c>
      <x:c r="D475" s="13" t="str">
        <x:v>동의</x:v>
      </x:c>
      <x:c r="E475" s="13" t="str">
        <x:v>접근성 가이드라인</x:v>
      </x:c>
      <x:c r="F475" s="13" t="str">
        <x:v>01</x:v>
      </x:c>
      <x:c r="G475" s="13" t="n">
        <x:v>795</x:v>
      </x:c>
      <x:c r="H475" s="13" t="n">
        <x:v>795</x:v>
      </x:c>
      <x:c r="I475" s="13" t="str"/>
      <x:c r="J475" s="13" t="str">
        <x:v>키보드를 이용하여 약관 내용을 확인할 수 있도록 제공한다.</x:v>
      </x:c>
      <x:c r="K475" s="13" t="str">
        <x:v>UI-064</x:v>
      </x:c>
      <x:c r="L475" s="13" t="str">
        <x:v>추출 후 기본 구조 검토; 원문 적용수준·전체 맥락 재확인 필요</x:v>
      </x:c>
      <x:c r="M475" s="13" t="str">
        <x:v>미확인</x:v>
      </x:c>
    </x:row>
    <x:row r="476" ht="37.5" customHeight="1">
      <x:c r="A476" s="14" t="str">
        <x:v>KRDS-SEC-065-A-02</x:v>
      </x:c>
      <x:c r="B476" s="14" t="str">
        <x:v>기본 패턴</x:v>
      </x:c>
      <x:c r="C476" s="14" t="str">
        <x:v>패턴</x:v>
      </x:c>
      <x:c r="D476" s="14" t="str">
        <x:v>동의</x:v>
      </x:c>
      <x:c r="E476" s="14" t="str">
        <x:v>접근성 가이드라인</x:v>
      </x:c>
      <x:c r="F476" s="14" t="str">
        <x:v>02</x:v>
      </x:c>
      <x:c r="G476" s="14" t="n">
        <x:v>795</x:v>
      </x:c>
      <x:c r="H476" s="14" t="n">
        <x:v>795</x:v>
      </x:c>
      <x:c r="I476" s="14" t="str"/>
      <x:c r="J476" s="14" t="str">
        <x:v>약관 내용을 적절하게 구조화하여 제공한다.</x:v>
      </x:c>
      <x:c r="K476" s="14" t="str">
        <x:v>UI-064</x:v>
      </x:c>
      <x:c r="L476" s="14" t="str">
        <x:v>추출 후 기본 구조 검토; 원문 적용수준·전체 맥락 재확인 필요</x:v>
      </x:c>
      <x:c r="M476" s="14" t="str">
        <x:v>미확인</x:v>
      </x:c>
    </x:row>
    <x:row r="477" ht="37.5" customHeight="1">
      <x:c r="A477" s="13" t="str">
        <x:v>KRDS-SEC-065-A-03</x:v>
      </x:c>
      <x:c r="B477" s="13" t="str">
        <x:v>기본 패턴</x:v>
      </x:c>
      <x:c r="C477" s="13" t="str">
        <x:v>패턴</x:v>
      </x:c>
      <x:c r="D477" s="13" t="str">
        <x:v>동의</x:v>
      </x:c>
      <x:c r="E477" s="13" t="str">
        <x:v>접근성 가이드라인</x:v>
      </x:c>
      <x:c r="F477" s="13" t="str">
        <x:v>03</x:v>
      </x:c>
      <x:c r="G477" s="13" t="n">
        <x:v>795</x:v>
      </x:c>
      <x:c r="H477" s="13" t="n">
        <x:v>795</x:v>
      </x:c>
      <x:c r="I477" s="13" t="str"/>
      <x:c r="J477" s="13" t="str">
        <x:v>동의함/동의하지 않음 옵션에 설명을 제공한다.</x:v>
      </x:c>
      <x:c r="K477" s="13" t="str">
        <x:v>UI-064</x:v>
      </x:c>
      <x:c r="L477" s="13" t="str">
        <x:v>추출 후 기본 구조 검토; 원문 적용수준·전체 맥락 재확인 필요</x:v>
      </x:c>
      <x:c r="M477" s="13" t="str">
        <x:v>미확인</x:v>
      </x:c>
    </x:row>
    <x:row r="478" ht="37.5" customHeight="1">
      <x:c r="A478" s="14" t="str">
        <x:v>KRDS-SEC-066-U-01</x:v>
      </x:c>
      <x:c r="B478" s="14" t="str">
        <x:v>기본 패턴</x:v>
      </x:c>
      <x:c r="C478" s="14" t="str">
        <x:v>패턴</x:v>
      </x:c>
      <x:c r="D478" s="14" t="str">
        <x:v>목록 탐색</x:v>
      </x:c>
      <x:c r="E478" s="14" t="str">
        <x:v>사용성 가이드라인</x:v>
      </x:c>
      <x:c r="F478" s="14" t="str">
        <x:v>01</x:v>
      </x:c>
      <x:c r="G478" s="14" t="n">
        <x:v>799</x:v>
      </x:c>
      <x:c r="H478" s="14" t="n">
        <x:v>799</x:v>
      </x:c>
      <x:c r="I478" s="14" t="str">
        <x:v>800</x:v>
      </x:c>
      <x:c r="J478" s="14" t="str">
        <x:v>중요한 항목은 목록의 상단에 배치한다.</x:v>
      </x:c>
      <x:c r="K478" s="14" t="str">
        <x:v>UI-065</x:v>
      </x:c>
      <x:c r="L478" s="14" t="str">
        <x:v>추출 후 기본 구조 검토; 원문 적용수준·전체 맥락 재확인 필요</x:v>
      </x:c>
      <x:c r="M478" s="14" t="str">
        <x:v>미확인</x:v>
      </x:c>
    </x:row>
    <x:row r="479" ht="37.5" customHeight="1">
      <x:c r="A479" s="13" t="str">
        <x:v>KRDS-SEC-066-U-02</x:v>
      </x:c>
      <x:c r="B479" s="13" t="str">
        <x:v>기본 패턴</x:v>
      </x:c>
      <x:c r="C479" s="13" t="str">
        <x:v>패턴</x:v>
      </x:c>
      <x:c r="D479" s="13" t="str">
        <x:v>목록 탐색</x:v>
      </x:c>
      <x:c r="E479" s="13" t="str">
        <x:v>사용성 가이드라인</x:v>
      </x:c>
      <x:c r="F479" s="13" t="str">
        <x:v>02</x:v>
      </x:c>
      <x:c r="G479" s="13" t="n">
        <x:v>799</x:v>
      </x:c>
      <x:c r="H479" s="13" t="n">
        <x:v>799</x:v>
      </x:c>
      <x:c r="I479" s="13" t="str">
        <x:v>800</x:v>
      </x:c>
      <x:c r="J479" s="13" t="str">
        <x:v>항목을 의미 있는 단위로 구분하고 논리적인 순서에 따라 정렬한다.</x:v>
      </x:c>
      <x:c r="K479" s="13" t="str">
        <x:v>UI-065</x:v>
      </x:c>
      <x:c r="L479" s="13" t="str">
        <x:v>추출 후 기본 구조 검토; 원문 적용수준·전체 맥락 재확인 필요</x:v>
      </x:c>
      <x:c r="M479" s="13" t="str">
        <x:v>미확인</x:v>
      </x:c>
    </x:row>
    <x:row r="480" ht="37.5" customHeight="1">
      <x:c r="A480" s="14" t="str">
        <x:v>KRDS-SEC-066-U-03</x:v>
      </x:c>
      <x:c r="B480" s="14" t="str">
        <x:v>기본 패턴</x:v>
      </x:c>
      <x:c r="C480" s="14" t="str">
        <x:v>패턴</x:v>
      </x:c>
      <x:c r="D480" s="14" t="str">
        <x:v>목록 탐색</x:v>
      </x:c>
      <x:c r="E480" s="14" t="str">
        <x:v>사용성 가이드라인</x:v>
      </x:c>
      <x:c r="F480" s="14" t="str">
        <x:v>03</x:v>
      </x:c>
      <x:c r="G480" s="14" t="n">
        <x:v>799</x:v>
      </x:c>
      <x:c r="H480" s="14" t="n">
        <x:v>799</x:v>
      </x:c>
      <x:c r="I480" s="14" t="str">
        <x:v>800</x:v>
      </x:c>
      <x:c r="J480" s="14" t="str">
        <x:v>항목을 명확하게 구분한다.</x:v>
      </x:c>
      <x:c r="K480" s="14" t="str">
        <x:v>UI-065</x:v>
      </x:c>
      <x:c r="L480" s="14" t="str">
        <x:v>추출 후 기본 구조 검토; 원문 적용수준·전체 맥락 재확인 필요</x:v>
      </x:c>
      <x:c r="M480" s="14" t="str">
        <x:v>미확인</x:v>
      </x:c>
    </x:row>
    <x:row r="481" ht="37.5" customHeight="1">
      <x:c r="A481" s="13" t="str">
        <x:v>KRDS-SEC-066-U-04</x:v>
      </x:c>
      <x:c r="B481" s="13" t="str">
        <x:v>기본 패턴</x:v>
      </x:c>
      <x:c r="C481" s="13" t="str">
        <x:v>패턴</x:v>
      </x:c>
      <x:c r="D481" s="13" t="str">
        <x:v>목록 탐색</x:v>
      </x:c>
      <x:c r="E481" s="13" t="str">
        <x:v>사용성 가이드라인</x:v>
      </x:c>
      <x:c r="F481" s="13" t="str">
        <x:v>04</x:v>
      </x:c>
      <x:c r="G481" s="13" t="n">
        <x:v>799</x:v>
      </x:c>
      <x:c r="H481" s="13" t="n">
        <x:v>799</x:v>
      </x:c>
      <x:c r="I481" s="13" t="str">
        <x:v>801</x:v>
      </x:c>
      <x:c r="J481" s="13" t="str">
        <x:v>강조를 위한 시각적 표현을 과도하게 사용하지 않는다.</x:v>
      </x:c>
      <x:c r="K481" s="13" t="str">
        <x:v>UI-065</x:v>
      </x:c>
      <x:c r="L481" s="13" t="str">
        <x:v>추출 후 기본 구조 검토; 원문 적용수준·전체 맥락 재확인 필요</x:v>
      </x:c>
      <x:c r="M481" s="13" t="str">
        <x:v>미확인</x:v>
      </x:c>
    </x:row>
    <x:row r="482" ht="37.5" customHeight="1">
      <x:c r="A482" s="14" t="str">
        <x:v>KRDS-SEC-066-U-05</x:v>
      </x:c>
      <x:c r="B482" s="14" t="str">
        <x:v>기본 패턴</x:v>
      </x:c>
      <x:c r="C482" s="14" t="str">
        <x:v>패턴</x:v>
      </x:c>
      <x:c r="D482" s="14" t="str">
        <x:v>목록 탐색</x:v>
      </x:c>
      <x:c r="E482" s="14" t="str">
        <x:v>사용성 가이드라인</x:v>
      </x:c>
      <x:c r="F482" s="14" t="str">
        <x:v>05</x:v>
      </x:c>
      <x:c r="G482" s="14" t="n">
        <x:v>799</x:v>
      </x:c>
      <x:c r="H482" s="14" t="n">
        <x:v>799</x:v>
      </x:c>
      <x:c r="I482" s="14" t="str">
        <x:v>801</x:v>
      </x:c>
      <x:c r="J482" s="14" t="str">
        <x:v>긴 목록은 페이지 등으로 단위를 나누어 제공한다.</x:v>
      </x:c>
      <x:c r="K482" s="14" t="str">
        <x:v>UI-065</x:v>
      </x:c>
      <x:c r="L482" s="14" t="str">
        <x:v>추출 후 기본 구조 검토; 원문 적용수준·전체 맥락 재확인 필요</x:v>
      </x:c>
      <x:c r="M482" s="14" t="str">
        <x:v>미확인</x:v>
      </x:c>
    </x:row>
    <x:row r="483" ht="37.5" customHeight="1">
      <x:c r="A483" s="13" t="str">
        <x:v>KRDS-SEC-066-U-06</x:v>
      </x:c>
      <x:c r="B483" s="13" t="str">
        <x:v>기본 패턴</x:v>
      </x:c>
      <x:c r="C483" s="13" t="str">
        <x:v>패턴</x:v>
      </x:c>
      <x:c r="D483" s="13" t="str">
        <x:v>목록 탐색</x:v>
      </x:c>
      <x:c r="E483" s="13" t="str">
        <x:v>사용성 가이드라인</x:v>
      </x:c>
      <x:c r="F483" s="13" t="str">
        <x:v>06</x:v>
      </x:c>
      <x:c r="G483" s="13" t="n">
        <x:v>799</x:v>
      </x:c>
      <x:c r="H483" s="13" t="n">
        <x:v>799</x:v>
      </x:c>
      <x:c r="I483" s="13" t="str">
        <x:v>801</x:v>
      </x:c>
      <x:c r="J483" s="13" t="str">
        <x:v>필터링 또는 검색 기능을 제공한다.</x:v>
      </x:c>
      <x:c r="K483" s="13" t="str">
        <x:v>UI-065</x:v>
      </x:c>
      <x:c r="L483" s="13" t="str">
        <x:v>추출 후 기본 구조 검토; 원문 적용수준·전체 맥락 재확인 필요</x:v>
      </x:c>
      <x:c r="M483" s="13" t="str">
        <x:v>미확인</x:v>
      </x:c>
    </x:row>
    <x:row r="484" ht="37.5" customHeight="1">
      <x:c r="A484" s="14" t="str">
        <x:v>KRDS-SEC-066-A-01</x:v>
      </x:c>
      <x:c r="B484" s="14" t="str">
        <x:v>기본 패턴</x:v>
      </x:c>
      <x:c r="C484" s="14" t="str">
        <x:v>패턴</x:v>
      </x:c>
      <x:c r="D484" s="14" t="str">
        <x:v>목록 탐색</x:v>
      </x:c>
      <x:c r="E484" s="14" t="str">
        <x:v>접근성 가이드라인</x:v>
      </x:c>
      <x:c r="F484" s="14" t="str">
        <x:v>01</x:v>
      </x:c>
      <x:c r="G484" s="14" t="n">
        <x:v>802</x:v>
      </x:c>
      <x:c r="H484" s="14" t="n">
        <x:v>802</x:v>
      </x:c>
      <x:c r="I484" s="14" t="str"/>
      <x:c r="J484" s="14" t="str">
        <x:v>정보 전달을 위해 아이콘 이미지를 사용하는 경우 대체 텍스트를 제공한다.</x:v>
      </x:c>
      <x:c r="K484" s="14" t="str">
        <x:v>UI-065</x:v>
      </x:c>
      <x:c r="L484" s="14" t="str">
        <x:v>추출 후 기본 구조 검토; 원문 적용수준·전체 맥락 재확인 필요</x:v>
      </x:c>
      <x:c r="M484" s="14" t="str">
        <x:v>미확인</x:v>
      </x:c>
    </x:row>
    <x:row r="485" ht="37.5" customHeight="1">
      <x:c r="A485" s="13" t="str">
        <x:v>KRDS-SEC-066-A-02</x:v>
      </x:c>
      <x:c r="B485" s="13" t="str">
        <x:v>기본 패턴</x:v>
      </x:c>
      <x:c r="C485" s="13" t="str">
        <x:v>패턴</x:v>
      </x:c>
      <x:c r="D485" s="13" t="str">
        <x:v>목록 탐색</x:v>
      </x:c>
      <x:c r="E485" s="13" t="str">
        <x:v>접근성 가이드라인</x:v>
      </x:c>
      <x:c r="F485" s="13" t="str">
        <x:v>02</x:v>
      </x:c>
      <x:c r="G485" s="13" t="n">
        <x:v>802</x:v>
      </x:c>
      <x:c r="H485" s="13" t="n">
        <x:v>802</x:v>
      </x:c>
      <x:c r="I485" s="13" t="str"/>
      <x:c r="J485" s="13" t="str">
        <x:v>첨부파일 아이콘 이미지에 적절한 대체 텍스트를 제공한다.</x:v>
      </x:c>
      <x:c r="K485" s="13" t="str">
        <x:v>UI-065</x:v>
      </x:c>
      <x:c r="L485" s="13" t="str">
        <x:v>추출 후 기본 구조 검토; 원문 적용수준·전체 맥락 재확인 필요</x:v>
      </x:c>
      <x:c r="M485" s="13" t="str">
        <x:v>미확인</x:v>
      </x:c>
    </x:row>
    <x:row r="486" ht="37.5" customHeight="1">
      <x:c r="A486" s="14" t="str">
        <x:v>KRDS-SEC-066-A-03</x:v>
      </x:c>
      <x:c r="B486" s="14" t="str">
        <x:v>기본 패턴</x:v>
      </x:c>
      <x:c r="C486" s="14" t="str">
        <x:v>패턴</x:v>
      </x:c>
      <x:c r="D486" s="14" t="str">
        <x:v>목록 탐색</x:v>
      </x:c>
      <x:c r="E486" s="14" t="str">
        <x:v>접근성 가이드라인</x:v>
      </x:c>
      <x:c r="F486" s="14" t="str">
        <x:v>03</x:v>
      </x:c>
      <x:c r="G486" s="14" t="n">
        <x:v>802</x:v>
      </x:c>
      <x:c r="H486" s="14" t="n">
        <x:v>802</x:v>
      </x:c>
      <x:c r="I486" s="14" t="str"/>
      <x:c r="J486" s="14" t="str">
        <x:v>시각적으로 표현된 데이터의 구조 정보가 프로그램적으로 전달되도록 한다.</x:v>
      </x:c>
      <x:c r="K486" s="14" t="str">
        <x:v>UI-065</x:v>
      </x:c>
      <x:c r="L486" s="14" t="str">
        <x:v>추출 후 기본 구조 검토; 원문 적용수준·전체 맥락 재확인 필요</x:v>
      </x:c>
      <x:c r="M486" s="14" t="str">
        <x:v>미확인</x:v>
      </x:c>
    </x:row>
    <x:row r="487" ht="37.5" customHeight="1">
      <x:c r="A487" s="13" t="str">
        <x:v>KRDS-SEC-067-U-01</x:v>
      </x:c>
      <x:c r="B487" s="13" t="str">
        <x:v>기본 패턴</x:v>
      </x:c>
      <x:c r="C487" s="13" t="str">
        <x:v>패턴</x:v>
      </x:c>
      <x:c r="D487" s="13" t="str">
        <x:v>사용자 피드백</x:v>
      </x:c>
      <x:c r="E487" s="13" t="str">
        <x:v>사용성 가이드라인</x:v>
      </x:c>
      <x:c r="F487" s="13" t="str">
        <x:v>01</x:v>
      </x:c>
      <x:c r="G487" s="13" t="n">
        <x:v>806</x:v>
      </x:c>
      <x:c r="H487" s="13" t="n">
        <x:v>806</x:v>
      </x:c>
      <x:c r="I487" s="13" t="str">
        <x:v>807</x:v>
      </x:c>
      <x:c r="J487" s="13" t="str">
        <x:v>사용자 피드백은 화면 하단 또는 본문의 사이드 영역에 배치한다.</x:v>
      </x:c>
      <x:c r="K487" s="13" t="str">
        <x:v>UI-066</x:v>
      </x:c>
      <x:c r="L487" s="13" t="str">
        <x:v>추출 후 기본 구조 검토; 원문 적용수준·전체 맥락 재확인 필요</x:v>
      </x:c>
      <x:c r="M487" s="13" t="str">
        <x:v>미확인</x:v>
      </x:c>
    </x:row>
    <x:row r="488" ht="37.5" customHeight="1">
      <x:c r="A488" s="14" t="str">
        <x:v>KRDS-SEC-067-U-02</x:v>
      </x:c>
      <x:c r="B488" s="14" t="str">
        <x:v>기본 패턴</x:v>
      </x:c>
      <x:c r="C488" s="14" t="str">
        <x:v>패턴</x:v>
      </x:c>
      <x:c r="D488" s="14" t="str">
        <x:v>사용자 피드백</x:v>
      </x:c>
      <x:c r="E488" s="14" t="str">
        <x:v>사용성 가이드라인</x:v>
      </x:c>
      <x:c r="F488" s="14" t="str">
        <x:v>02</x:v>
      </x:c>
      <x:c r="G488" s="14" t="n">
        <x:v>806</x:v>
      </x:c>
      <x:c r="H488" s="14" t="n">
        <x:v>806</x:v>
      </x:c>
      <x:c r="I488" s="14" t="str">
        <x:v>807</x:v>
      </x:c>
      <x:c r="J488" s="14" t="str">
        <x:v>사용자 피드백을 시의적으로 사용하는 경우 사용자의 작업이 완료된 후에 유도 메시지를 제공한다.</x:v>
      </x:c>
      <x:c r="K488" s="14" t="str">
        <x:v>UI-066</x:v>
      </x:c>
      <x:c r="L488" s="14" t="str">
        <x:v>추출 후 기본 구조 검토; 원문 적용수준·전체 맥락 재확인 필요</x:v>
      </x:c>
      <x:c r="M488" s="14" t="str">
        <x:v>미확인</x:v>
      </x:c>
    </x:row>
    <x:row r="489" ht="37.5" customHeight="1">
      <x:c r="A489" s="13" t="str">
        <x:v>KRDS-SEC-067-U-03</x:v>
      </x:c>
      <x:c r="B489" s="13" t="str">
        <x:v>기본 패턴</x:v>
      </x:c>
      <x:c r="C489" s="13" t="str">
        <x:v>패턴</x:v>
      </x:c>
      <x:c r="D489" s="13" t="str">
        <x:v>사용자 피드백</x:v>
      </x:c>
      <x:c r="E489" s="13" t="str">
        <x:v>사용성 가이드라인</x:v>
      </x:c>
      <x:c r="F489" s="13" t="str">
        <x:v>03</x:v>
      </x:c>
      <x:c r="G489" s="13" t="n">
        <x:v>806</x:v>
      </x:c>
      <x:c r="H489" s="13" t="n">
        <x:v>806</x:v>
      </x:c>
      <x:c r="I489" s="13" t="str">
        <x:v>807</x:v>
      </x:c>
      <x:c r="J489" s="13" t="str">
        <x:v>사용자 피드백은 폐쇄형 질문으로 시작한다.</x:v>
      </x:c>
      <x:c r="K489" s="13" t="str">
        <x:v>UI-066</x:v>
      </x:c>
      <x:c r="L489" s="13" t="str">
        <x:v>추출 후 기본 구조 검토; 원문 적용수준·전체 맥락 재확인 필요</x:v>
      </x:c>
      <x:c r="M489" s="13" t="str">
        <x:v>미확인</x:v>
      </x:c>
    </x:row>
    <x:row r="490" ht="37.5" customHeight="1">
      <x:c r="A490" s="14" t="str">
        <x:v>KRDS-SEC-067-U-04</x:v>
      </x:c>
      <x:c r="B490" s="14" t="str">
        <x:v>기본 패턴</x:v>
      </x:c>
      <x:c r="C490" s="14" t="str">
        <x:v>패턴</x:v>
      </x:c>
      <x:c r="D490" s="14" t="str">
        <x:v>사용자 피드백</x:v>
      </x:c>
      <x:c r="E490" s="14" t="str">
        <x:v>사용성 가이드라인</x:v>
      </x:c>
      <x:c r="F490" s="14" t="str">
        <x:v>04</x:v>
      </x:c>
      <x:c r="G490" s="14" t="n">
        <x:v>806</x:v>
      </x:c>
      <x:c r="H490" s="14" t="n">
        <x:v>806</x:v>
      </x:c>
      <x:c r="I490" s="14" t="str">
        <x:v>808</x:v>
      </x:c>
      <x:c r="J490" s="14" t="str">
        <x:v>평가의 선택지를 최소화한다.</x:v>
      </x:c>
      <x:c r="K490" s="14" t="str">
        <x:v>UI-066</x:v>
      </x:c>
      <x:c r="L490" s="14" t="str">
        <x:v>추출 후 기본 구조 검토; 원문 적용수준·전체 맥락 재확인 필요</x:v>
      </x:c>
      <x:c r="M490" s="14" t="str">
        <x:v>미확인</x:v>
      </x:c>
    </x:row>
    <x:row r="491" ht="37.5" customHeight="1">
      <x:c r="A491" s="13" t="str">
        <x:v>KRDS-SEC-067-U-05</x:v>
      </x:c>
      <x:c r="B491" s="13" t="str">
        <x:v>기본 패턴</x:v>
      </x:c>
      <x:c r="C491" s="13" t="str">
        <x:v>패턴</x:v>
      </x:c>
      <x:c r="D491" s="13" t="str">
        <x:v>사용자 피드백</x:v>
      </x:c>
      <x:c r="E491" s="13" t="str">
        <x:v>사용성 가이드라인</x:v>
      </x:c>
      <x:c r="F491" s="13" t="str">
        <x:v>05</x:v>
      </x:c>
      <x:c r="G491" s="13" t="n">
        <x:v>806</x:v>
      </x:c>
      <x:c r="H491" s="13" t="n">
        <x:v>806</x:v>
      </x:c>
      <x:c r="I491" s="13" t="str">
        <x:v>808</x:v>
      </x:c>
      <x:c r="J491" s="13" t="str">
        <x:v>맞춤 영역의 질문을 간결하게 구성한다.</x:v>
      </x:c>
      <x:c r="K491" s="13" t="str">
        <x:v>UI-066</x:v>
      </x:c>
      <x:c r="L491" s="13" t="str">
        <x:v>추출 후 기본 구조 검토; 원문 적용수준·전체 맥락 재확인 필요</x:v>
      </x:c>
      <x:c r="M491" s="13" t="str">
        <x:v>미확인</x:v>
      </x:c>
    </x:row>
    <x:row r="492" ht="37.5" customHeight="1">
      <x:c r="A492" s="14" t="str">
        <x:v>KRDS-SEC-067-U-06</x:v>
      </x:c>
      <x:c r="B492" s="14" t="str">
        <x:v>기본 패턴</x:v>
      </x:c>
      <x:c r="C492" s="14" t="str">
        <x:v>패턴</x:v>
      </x:c>
      <x:c r="D492" s="14" t="str">
        <x:v>사용자 피드백</x:v>
      </x:c>
      <x:c r="E492" s="14" t="str">
        <x:v>사용성 가이드라인</x:v>
      </x:c>
      <x:c r="F492" s="14" t="str">
        <x:v>06</x:v>
      </x:c>
      <x:c r="G492" s="14" t="n">
        <x:v>806</x:v>
      </x:c>
      <x:c r="H492" s="14" t="n">
        <x:v>806</x:v>
      </x:c>
      <x:c r="I492" s="14" t="str">
        <x:v>808</x:v>
      </x:c>
      <x:c r="J492" s="14" t="str">
        <x:v>맞춤 영역의 질문에 대한 응답 방식을 유연하게 구성한다.</x:v>
      </x:c>
      <x:c r="K492" s="14" t="str">
        <x:v>UI-066</x:v>
      </x:c>
      <x:c r="L492" s="14" t="str">
        <x:v>추출 후 기본 구조 검토; 원문 적용수준·전체 맥락 재확인 필요</x:v>
      </x:c>
      <x:c r="M492" s="14" t="str">
        <x:v>미확인</x:v>
      </x:c>
    </x:row>
    <x:row r="493" ht="37.5" customHeight="1">
      <x:c r="A493" s="13" t="str">
        <x:v>KRDS-SEC-067-P-01</x:v>
      </x:c>
      <x:c r="B493" s="13" t="str">
        <x:v>기본 패턴</x:v>
      </x:c>
      <x:c r="C493" s="13" t="str">
        <x:v>패턴</x:v>
      </x:c>
      <x:c r="D493" s="13" t="str">
        <x:v>사용자 피드백</x:v>
      </x:c>
      <x:c r="E493" s="13" t="str">
        <x:v>플랫폼에 대한 고려 사항</x:v>
      </x:c>
      <x:c r="F493" s="13" t="str">
        <x:v>01</x:v>
      </x:c>
      <x:c r="G493" s="13" t="n">
        <x:v>809</x:v>
      </x:c>
      <x:c r="H493" s="13" t="n">
        <x:v>809</x:v>
      </x:c>
      <x:c r="I493" s="13" t="str"/>
      <x:c r="J493" s="13" t="str">
        <x:v>화면 너비가 충분하지 않은 경우, 어사이드에 배치된 사용자 피드백은 화면 하단에 배치한다.</x:v>
      </x:c>
      <x:c r="K493" s="13" t="str">
        <x:v>UI-066</x:v>
      </x:c>
      <x:c r="L493" s="13" t="str">
        <x:v>추출 후 기본 구조 검토; 원문 적용수준·전체 맥락 재확인 필요</x:v>
      </x:c>
      <x:c r="M493" s="13" t="str">
        <x:v>미확인</x:v>
      </x:c>
    </x:row>
    <x:row r="494" ht="37.5" customHeight="1">
      <x:c r="A494" s="14" t="str">
        <x:v>KRDS-SEC-067-A-01</x:v>
      </x:c>
      <x:c r="B494" s="14" t="str">
        <x:v>기본 패턴</x:v>
      </x:c>
      <x:c r="C494" s="14" t="str">
        <x:v>패턴</x:v>
      </x:c>
      <x:c r="D494" s="14" t="str">
        <x:v>사용자 피드백</x:v>
      </x:c>
      <x:c r="E494" s="14" t="str">
        <x:v>접근성 가이드라인</x:v>
      </x:c>
      <x:c r="F494" s="14" t="str">
        <x:v>01</x:v>
      </x:c>
      <x:c r="G494" s="14" t="n">
        <x:v>810</x:v>
      </x:c>
      <x:c r="H494" s="14" t="n">
        <x:v>810</x:v>
      </x:c>
      <x:c r="I494" s="14" t="str"/>
      <x:c r="J494" s="14" t="str">
        <x:v>각 입력 필드와 입력폼에 이름을 제공한다.</x:v>
      </x:c>
      <x:c r="K494" s="14" t="str">
        <x:v>UI-066</x:v>
      </x:c>
      <x:c r="L494" s="14" t="str">
        <x:v>추출 후 기본 구조 검토; 원문 적용수준·전체 맥락 재확인 필요</x:v>
      </x:c>
      <x:c r="M494" s="14" t="str">
        <x:v>미확인</x:v>
      </x:c>
    </x:row>
    <x:row r="495" ht="37.5" customHeight="1">
      <x:c r="A495" s="13" t="str">
        <x:v>KRDS-SEC-067-A-02</x:v>
      </x:c>
      <x:c r="B495" s="13" t="str">
        <x:v>기본 패턴</x:v>
      </x:c>
      <x:c r="C495" s="13" t="str">
        <x:v>패턴</x:v>
      </x:c>
      <x:c r="D495" s="13" t="str">
        <x:v>사용자 피드백</x:v>
      </x:c>
      <x:c r="E495" s="13" t="str">
        <x:v>접근성 가이드라인</x:v>
      </x:c>
      <x:c r="F495" s="13" t="str">
        <x:v>02</x:v>
      </x:c>
      <x:c r="G495" s="13" t="n">
        <x:v>810</x:v>
      </x:c>
      <x:c r="H495" s="13" t="n">
        <x:v>810</x:v>
      </x:c>
      <x:c r="I495" s="13" t="str"/>
      <x:c r="J495" s="13" t="str">
        <x:v>맞춤 영역, 완료 메시지에 live-region을 적용한다.</x:v>
      </x:c>
      <x:c r="K495" s="13" t="str">
        <x:v>UI-066</x:v>
      </x:c>
      <x:c r="L495" s="13" t="str">
        <x:v>추출 후 기본 구조 검토; 원문 적용수준·전체 맥락 재확인 필요</x:v>
      </x:c>
      <x:c r="M495" s="13" t="str">
        <x:v>미확인</x:v>
      </x:c>
    </x:row>
    <x:row r="496" ht="37.5" customHeight="1">
      <x:c r="A496" s="14" t="str">
        <x:v>KRDS-SEC-068-U-01</x:v>
      </x:c>
      <x:c r="B496" s="14" t="str">
        <x:v>기본 패턴</x:v>
      </x:c>
      <x:c r="C496" s="14" t="str">
        <x:v>패턴</x:v>
      </x:c>
      <x:c r="D496" s="14" t="str">
        <x:v>상세 정보 확인</x:v>
      </x:c>
      <x:c r="E496" s="14" t="str">
        <x:v>사용성 가이드라인</x:v>
      </x:c>
      <x:c r="F496" s="14" t="str">
        <x:v>01</x:v>
      </x:c>
      <x:c r="G496" s="14" t="n">
        <x:v>816</x:v>
      </x:c>
      <x:c r="H496" s="14" t="n">
        <x:v>816</x:v>
      </x:c>
      <x:c r="I496" s="14" t="str">
        <x:v>817</x:v>
      </x:c>
      <x:c r="J496" s="14" t="str">
        <x:v>콘텐츠의 작성자, 출처, 저작권을 표시한다.</x:v>
      </x:c>
      <x:c r="K496" s="14" t="str">
        <x:v>UI-067</x:v>
      </x:c>
      <x:c r="L496" s="14" t="str">
        <x:v>추출 후 기본 구조 검토; 원문 적용수준·전체 맥락 재확인 필요</x:v>
      </x:c>
      <x:c r="M496" s="14" t="str">
        <x:v>미확인</x:v>
      </x:c>
    </x:row>
    <x:row r="497" ht="37.5" customHeight="1">
      <x:c r="A497" s="13" t="str">
        <x:v>KRDS-SEC-068-U-02</x:v>
      </x:c>
      <x:c r="B497" s="13" t="str">
        <x:v>기본 패턴</x:v>
      </x:c>
      <x:c r="C497" s="13" t="str">
        <x:v>패턴</x:v>
      </x:c>
      <x:c r="D497" s="13" t="str">
        <x:v>상세 정보 확인</x:v>
      </x:c>
      <x:c r="E497" s="13" t="str">
        <x:v>사용성 가이드라인</x:v>
      </x:c>
      <x:c r="F497" s="13" t="str">
        <x:v>02</x:v>
      </x:c>
      <x:c r="G497" s="13" t="n">
        <x:v>816</x:v>
      </x:c>
      <x:c r="H497" s="13" t="n">
        <x:v>816</x:v>
      </x:c>
      <x:c r="I497" s="13" t="str">
        <x:v>818</x:v>
      </x:c>
      <x:c r="J497" s="13" t="str">
        <x:v>정보 등록, 변경 일자와 변경 내역을 제공한다.</x:v>
      </x:c>
      <x:c r="K497" s="13" t="str">
        <x:v>UI-067</x:v>
      </x:c>
      <x:c r="L497" s="13" t="str">
        <x:v>추출 후 기본 구조 검토; 원문 적용수준·전체 맥락 재확인 필요</x:v>
      </x:c>
      <x:c r="M497" s="13" t="str">
        <x:v>미확인</x:v>
      </x:c>
    </x:row>
    <x:row r="498" ht="37.5" customHeight="1">
      <x:c r="A498" s="14" t="str">
        <x:v>KRDS-SEC-068-U-03</x:v>
      </x:c>
      <x:c r="B498" s="14" t="str">
        <x:v>기본 패턴</x:v>
      </x:c>
      <x:c r="C498" s="14" t="str">
        <x:v>패턴</x:v>
      </x:c>
      <x:c r="D498" s="14" t="str">
        <x:v>상세 정보 확인</x:v>
      </x:c>
      <x:c r="E498" s="14" t="str">
        <x:v>사용성 가이드라인</x:v>
      </x:c>
      <x:c r="F498" s="14" t="str">
        <x:v>03</x:v>
      </x:c>
      <x:c r="G498" s="14" t="n">
        <x:v>816</x:v>
      </x:c>
      <x:c r="H498" s="14" t="n">
        <x:v>816</x:v>
      </x:c>
      <x:c r="I498" s="14" t="str">
        <x:v>819</x:v>
      </x:c>
      <x:c r="J498" s="14" t="str">
        <x:v>제목은 다른 요소들과 구분되도록 표현한다.</x:v>
      </x:c>
      <x:c r="K498" s="14" t="str">
        <x:v>UI-067</x:v>
      </x:c>
      <x:c r="L498" s="14" t="str">
        <x:v>추출 후 기본 구조 검토; 원문 적용수준·전체 맥락 재확인 필요</x:v>
      </x:c>
      <x:c r="M498" s="14" t="str">
        <x:v>미확인</x:v>
      </x:c>
    </x:row>
    <x:row r="499" ht="37.5" customHeight="1">
      <x:c r="A499" s="13" t="str">
        <x:v>KRDS-SEC-068-U-04</x:v>
      </x:c>
      <x:c r="B499" s="13" t="str">
        <x:v>기본 패턴</x:v>
      </x:c>
      <x:c r="C499" s="13" t="str">
        <x:v>패턴</x:v>
      </x:c>
      <x:c r="D499" s="13" t="str">
        <x:v>상세 정보 확인</x:v>
      </x:c>
      <x:c r="E499" s="13" t="str">
        <x:v>사용성 가이드라인</x:v>
      </x:c>
      <x:c r="F499" s="13" t="str">
        <x:v>04</x:v>
      </x:c>
      <x:c r="G499" s="13" t="n">
        <x:v>816</x:v>
      </x:c>
      <x:c r="H499" s="13" t="n">
        <x:v>816</x:v>
      </x:c>
      <x:c r="I499" s="13" t="str">
        <x:v>820</x:v>
      </x:c>
      <x:c r="J499" s="13" t="str">
        <x:v>콘텐츠 요소들 사이의 계층구조를 명확하게 구분한다.</x:v>
      </x:c>
      <x:c r="K499" s="13" t="str">
        <x:v>UI-067</x:v>
      </x:c>
      <x:c r="L499" s="13" t="str">
        <x:v>추출 후 기본 구조 검토; 원문 적용수준·전체 맥락 재확인 필요</x:v>
      </x:c>
      <x:c r="M499" s="13" t="str">
        <x:v>미확인</x:v>
      </x:c>
    </x:row>
    <x:row r="500" ht="37.5" customHeight="1">
      <x:c r="A500" s="14" t="str">
        <x:v>KRDS-SEC-068-U-05</x:v>
      </x:c>
      <x:c r="B500" s="14" t="str">
        <x:v>기본 패턴</x:v>
      </x:c>
      <x:c r="C500" s="14" t="str">
        <x:v>패턴</x:v>
      </x:c>
      <x:c r="D500" s="14" t="str">
        <x:v>상세 정보 확인</x:v>
      </x:c>
      <x:c r="E500" s="14" t="str">
        <x:v>사용성 가이드라인</x:v>
      </x:c>
      <x:c r="F500" s="14" t="str">
        <x:v>05</x:v>
      </x:c>
      <x:c r="G500" s="14" t="n">
        <x:v>816</x:v>
      </x:c>
      <x:c r="H500" s="14" t="n">
        <x:v>816</x:v>
      </x:c>
      <x:c r="I500" s="14" t="str">
        <x:v>821</x:v>
      </x:c>
      <x:c r="J500" s="14" t="str">
        <x:v>문단과 문장은 최대한 간단명료하게 구성한다.</x:v>
      </x:c>
      <x:c r="K500" s="14" t="str">
        <x:v>UI-067</x:v>
      </x:c>
      <x:c r="L500" s="14" t="str">
        <x:v>추출 후 기본 구조 검토; 원문 적용수준·전체 맥락 재확인 필요</x:v>
      </x:c>
      <x:c r="M500" s="14" t="str">
        <x:v>미확인</x:v>
      </x:c>
    </x:row>
    <x:row r="501" ht="37.5" customHeight="1">
      <x:c r="A501" s="13" t="str">
        <x:v>KRDS-SEC-068-U-06</x:v>
      </x:c>
      <x:c r="B501" s="13" t="str">
        <x:v>기본 패턴</x:v>
      </x:c>
      <x:c r="C501" s="13" t="str">
        <x:v>패턴</x:v>
      </x:c>
      <x:c r="D501" s="13" t="str">
        <x:v>상세 정보 확인</x:v>
      </x:c>
      <x:c r="E501" s="13" t="str">
        <x:v>사용성 가이드라인</x:v>
      </x:c>
      <x:c r="F501" s="13" t="str">
        <x:v>06</x:v>
      </x:c>
      <x:c r="G501" s="13" t="n">
        <x:v>816</x:v>
      </x:c>
      <x:c r="H501" s="13" t="n">
        <x:v>816</x:v>
      </x:c>
      <x:c r="I501" s="13" t="str">
        <x:v>821</x:v>
      </x:c>
      <x:c r="J501" s="13" t="str">
        <x:v>핵심 주제는 첫 문단, 첫 문장에 포함시킨다.</x:v>
      </x:c>
      <x:c r="K501" s="13" t="str">
        <x:v>UI-067</x:v>
      </x:c>
      <x:c r="L501" s="13" t="str">
        <x:v>추출 후 기본 구조 검토; 원문 적용수준·전체 맥락 재확인 필요</x:v>
      </x:c>
      <x:c r="M501" s="13" t="str">
        <x:v>미확인</x:v>
      </x:c>
    </x:row>
    <x:row r="502" ht="37.5" customHeight="1">
      <x:c r="A502" s="14" t="str">
        <x:v>KRDS-SEC-068-U-07</x:v>
      </x:c>
      <x:c r="B502" s="14" t="str">
        <x:v>기본 패턴</x:v>
      </x:c>
      <x:c r="C502" s="14" t="str">
        <x:v>패턴</x:v>
      </x:c>
      <x:c r="D502" s="14" t="str">
        <x:v>상세 정보 확인</x:v>
      </x:c>
      <x:c r="E502" s="14" t="str">
        <x:v>사용성 가이드라인</x:v>
      </x:c>
      <x:c r="F502" s="14" t="str">
        <x:v>07</x:v>
      </x:c>
      <x:c r="G502" s="14" t="n">
        <x:v>816</x:v>
      </x:c>
      <x:c r="H502" s="14" t="n">
        <x:v>816</x:v>
      </x:c>
      <x:c r="I502" s="14" t="str">
        <x:v>821</x:v>
      </x:c>
      <x:c r="J502" s="14" t="str">
        <x:v>인포그래픽, 사진, 동영상 등의 콘텐츠를 적절하게 활용한다.</x:v>
      </x:c>
      <x:c r="K502" s="14" t="str">
        <x:v>UI-067</x:v>
      </x:c>
      <x:c r="L502" s="14" t="str">
        <x:v>추출 후 기본 구조 검토; 원문 적용수준·전체 맥락 재확인 필요</x:v>
      </x:c>
      <x:c r="M502" s="14" t="str">
        <x:v>미확인</x:v>
      </x:c>
    </x:row>
    <x:row r="503" ht="37.5" customHeight="1">
      <x:c r="A503" s="13" t="str">
        <x:v>KRDS-SEC-068-U-08</x:v>
      </x:c>
      <x:c r="B503" s="13" t="str">
        <x:v>기본 패턴</x:v>
      </x:c>
      <x:c r="C503" s="13" t="str">
        <x:v>패턴</x:v>
      </x:c>
      <x:c r="D503" s="13" t="str">
        <x:v>상세 정보 확인</x:v>
      </x:c>
      <x:c r="E503" s="13" t="str">
        <x:v>사용성 가이드라인</x:v>
      </x:c>
      <x:c r="F503" s="13" t="str">
        <x:v>08</x:v>
      </x:c>
      <x:c r="G503" s="13" t="n">
        <x:v>816</x:v>
      </x:c>
      <x:c r="H503" s="13" t="n">
        <x:v>816</x:v>
      </x:c>
      <x:c r="I503" s="13" t="str">
        <x:v>821</x:v>
      </x:c>
      <x:c r="J503" s="13" t="str">
        <x:v>외부 서비스로 이동하거나 새 창을 실행하는 액션 버튼에 명확한 시각적 단서를 제공한다.</x:v>
      </x:c>
      <x:c r="K503" s="13" t="str">
        <x:v>UI-067</x:v>
      </x:c>
      <x:c r="L503" s="13" t="str">
        <x:v>추출 후 기본 구조 검토; 원문 적용수준·전체 맥락 재확인 필요</x:v>
      </x:c>
      <x:c r="M503" s="13" t="str">
        <x:v>미확인</x:v>
      </x:c>
    </x:row>
    <x:row r="504" ht="37.5" customHeight="1">
      <x:c r="A504" s="14" t="str">
        <x:v>KRDS-SEC-068-U-09</x:v>
      </x:c>
      <x:c r="B504" s="14" t="str">
        <x:v>기본 패턴</x:v>
      </x:c>
      <x:c r="C504" s="14" t="str">
        <x:v>패턴</x:v>
      </x:c>
      <x:c r="D504" s="14" t="str">
        <x:v>상세 정보 확인</x:v>
      </x:c>
      <x:c r="E504" s="14" t="str">
        <x:v>사용성 가이드라인</x:v>
      </x:c>
      <x:c r="F504" s="14" t="str">
        <x:v>09</x:v>
      </x:c>
      <x:c r="G504" s="14" t="n">
        <x:v>816</x:v>
      </x:c>
      <x:c r="H504" s="14" t="n">
        <x:v>816</x:v>
      </x:c>
      <x:c r="I504" s="14" t="str">
        <x:v>822</x:v>
      </x:c>
      <x:c r="J504" s="14" t="str">
        <x:v>화면 너비가 충분한 경우 콘텐츠 내 탐색을 표시하고 본문 우측의 일관된 위치에 고정하여 제공한다.</x:v>
      </x:c>
      <x:c r="K504" s="14" t="str">
        <x:v>UI-067</x:v>
      </x:c>
      <x:c r="L504" s="14" t="str">
        <x:v>추출 후 기본 구조 검토; 원문 적용수준·전체 맥락 재확인 필요</x:v>
      </x:c>
      <x:c r="M504" s="14" t="str">
        <x:v>미확인</x:v>
      </x:c>
    </x:row>
    <x:row r="505" ht="37.5" customHeight="1">
      <x:c r="A505" s="13" t="str">
        <x:v>KRDS-SEC-068-P-01</x:v>
      </x:c>
      <x:c r="B505" s="13" t="str">
        <x:v>기본 패턴</x:v>
      </x:c>
      <x:c r="C505" s="13" t="str">
        <x:v>패턴</x:v>
      </x:c>
      <x:c r="D505" s="13" t="str">
        <x:v>상세 정보 확인</x:v>
      </x:c>
      <x:c r="E505" s="13" t="str">
        <x:v>플랫폼에 대한 고려 사항</x:v>
      </x:c>
      <x:c r="F505" s="13" t="str">
        <x:v>01</x:v>
      </x:c>
      <x:c r="G505" s="13" t="n">
        <x:v>823</x:v>
      </x:c>
      <x:c r="H505" s="13" t="n">
        <x:v>823</x:v>
      </x:c>
      <x:c r="I505" s="13" t="str"/>
      <x:c r="J505" s="13" t="str">
        <x:v>모바일에서 콘텐츠 내 탐색은 제목과 본문 사이에 배치한다.</x:v>
      </x:c>
      <x:c r="K505" s="13" t="str">
        <x:v>UI-067</x:v>
      </x:c>
      <x:c r="L505" s="13" t="str">
        <x:v>추출 후 기본 구조 검토; 원문 적용수준·전체 맥락 재확인 필요</x:v>
      </x:c>
      <x:c r="M505" s="13" t="str">
        <x:v>미확인</x:v>
      </x:c>
    </x:row>
    <x:row r="506" ht="37.5" customHeight="1">
      <x:c r="A506" s="14" t="str">
        <x:v>KRDS-SEC-068-A-01</x:v>
      </x:c>
      <x:c r="B506" s="14" t="str">
        <x:v>기본 패턴</x:v>
      </x:c>
      <x:c r="C506" s="14" t="str">
        <x:v>패턴</x:v>
      </x:c>
      <x:c r="D506" s="14" t="str">
        <x:v>상세 정보 확인</x:v>
      </x:c>
      <x:c r="E506" s="14" t="str">
        <x:v>접근성 가이드라인</x:v>
      </x:c>
      <x:c r="F506" s="14" t="str">
        <x:v>01</x:v>
      </x:c>
      <x:c r="G506" s="14" t="n">
        <x:v>824</x:v>
      </x:c>
      <x:c r="H506" s="14" t="n">
        <x:v>824</x:v>
      </x:c>
      <x:c r="I506" s="14" t="str"/>
      <x:c r="J506" s="14" t="str">
        <x:v>텍스트 콘텐츠와 배경 간 명도 대비를 4.5:1 이상으로 제공한다.</x:v>
      </x:c>
      <x:c r="K506" s="14" t="str">
        <x:v>UI-067</x:v>
      </x:c>
      <x:c r="L506" s="14" t="str">
        <x:v>추출 후 기본 구조 검토; 원문 적용수준·전체 맥락 재확인 필요</x:v>
      </x:c>
      <x:c r="M506" s="14" t="str">
        <x:v>미확인</x:v>
      </x:c>
    </x:row>
    <x:row r="507" ht="37.5" customHeight="1">
      <x:c r="A507" s="13" t="str">
        <x:v>KRDS-SEC-068-A-02</x:v>
      </x:c>
      <x:c r="B507" s="13" t="str">
        <x:v>기본 패턴</x:v>
      </x:c>
      <x:c r="C507" s="13" t="str">
        <x:v>패턴</x:v>
      </x:c>
      <x:c r="D507" s="13" t="str">
        <x:v>상세 정보 확인</x:v>
      </x:c>
      <x:c r="E507" s="13" t="str">
        <x:v>접근성 가이드라인</x:v>
      </x:c>
      <x:c r="F507" s="13" t="str">
        <x:v>02</x:v>
      </x:c>
      <x:c r="G507" s="13" t="n">
        <x:v>824</x:v>
      </x:c>
      <x:c r="H507" s="13" t="n">
        <x:v>824</x:v>
      </x:c>
      <x:c r="I507" s="13" t="str"/>
      <x:c r="J507" s="13" t="str">
        <x:v>텍스트 이외의 콘텐츠에 대체 수단을 제공한다.</x:v>
      </x:c>
      <x:c r="K507" s="13" t="str">
        <x:v>UI-067</x:v>
      </x:c>
      <x:c r="L507" s="13" t="str">
        <x:v>추출 후 기본 구조 검토; 원문 적용수준·전체 맥락 재확인 필요</x:v>
      </x:c>
      <x:c r="M507" s="13" t="str">
        <x:v>미확인</x:v>
      </x:c>
    </x:row>
    <x:row r="508" ht="37.5" customHeight="1">
      <x:c r="A508" s="14" t="str">
        <x:v>KRDS-SEC-068-A-03</x:v>
      </x:c>
      <x:c r="B508" s="14" t="str">
        <x:v>기본 패턴</x:v>
      </x:c>
      <x:c r="C508" s="14" t="str">
        <x:v>패턴</x:v>
      </x:c>
      <x:c r="D508" s="14" t="str">
        <x:v>상세 정보 확인</x:v>
      </x:c>
      <x:c r="E508" s="14" t="str">
        <x:v>접근성 가이드라인</x:v>
      </x:c>
      <x:c r="F508" s="14" t="str">
        <x:v>03</x:v>
      </x:c>
      <x:c r="G508" s="14" t="n">
        <x:v>825</x:v>
      </x:c>
      <x:c r="H508" s="14" t="n">
        <x:v>825</x:v>
      </x:c>
      <x:c r="I508" s="14" t="str"/>
      <x:c r="J508" s="14" t="str">
        <x:v>멀티미디어 콘텐츠 플레이어는 키보드로 조작할 수 있도록 제공한다.</x:v>
      </x:c>
      <x:c r="K508" s="14" t="str">
        <x:v>UI-067</x:v>
      </x:c>
      <x:c r="L508" s="14" t="str">
        <x:v>추출 후 기본 구조 검토; 원문 적용수준·전체 맥락 재확인 필요</x:v>
      </x:c>
      <x:c r="M508" s="14" t="str">
        <x:v>미확인</x:v>
      </x:c>
    </x:row>
    <x:row r="509" ht="37.5" customHeight="1">
      <x:c r="A509" s="13" t="str">
        <x:v>KRDS-SEC-068-A-04</x:v>
      </x:c>
      <x:c r="B509" s="13" t="str">
        <x:v>기본 패턴</x:v>
      </x:c>
      <x:c r="C509" s="13" t="str">
        <x:v>패턴</x:v>
      </x:c>
      <x:c r="D509" s="13" t="str">
        <x:v>상세 정보 확인</x:v>
      </x:c>
      <x:c r="E509" s="13" t="str">
        <x:v>접근성 가이드라인</x:v>
      </x:c>
      <x:c r="F509" s="13" t="str">
        <x:v>04</x:v>
      </x:c>
      <x:c r="G509" s="13" t="n">
        <x:v>825</x:v>
      </x:c>
      <x:c r="H509" s="13" t="n">
        <x:v>825</x:v>
      </x:c>
      <x:c r="I509" s="13" t="str"/>
      <x:c r="J509" s="13" t="str">
        <x:v>멀티미디어 콘텐츠가 자동으로 재생되지 않도록 제공한다.</x:v>
      </x:c>
      <x:c r="K509" s="13" t="str">
        <x:v>UI-067</x:v>
      </x:c>
      <x:c r="L509" s="13" t="str">
        <x:v>추출 후 기본 구조 검토; 원문 적용수준·전체 맥락 재확인 필요</x:v>
      </x:c>
      <x:c r="M509" s="13" t="str">
        <x:v>미확인</x:v>
      </x:c>
    </x:row>
    <x:row r="510" ht="37.5" customHeight="1">
      <x:c r="A510" s="14" t="str">
        <x:v>KRDS-SEC-068-A-05</x:v>
      </x:c>
      <x:c r="B510" s="14" t="str">
        <x:v>기본 패턴</x:v>
      </x:c>
      <x:c r="C510" s="14" t="str">
        <x:v>패턴</x:v>
      </x:c>
      <x:c r="D510" s="14" t="str">
        <x:v>상세 정보 확인</x:v>
      </x:c>
      <x:c r="E510" s="14" t="str">
        <x:v>접근성 가이드라인</x:v>
      </x:c>
      <x:c r="F510" s="14" t="str">
        <x:v>05</x:v>
      </x:c>
      <x:c r="G510" s="14" t="n">
        <x:v>826</x:v>
      </x:c>
      <x:c r="H510" s="14" t="n">
        <x:v>826</x:v>
      </x:c>
      <x:c r="I510" s="14" t="str"/>
      <x:c r="J510" s="14" t="str">
        <x:v>가능한 한 이미지 텍스트를 사용하지 않는다.</x:v>
      </x:c>
      <x:c r="K510" s="14" t="str">
        <x:v>UI-067</x:v>
      </x:c>
      <x:c r="L510" s="14" t="str">
        <x:v>추출 후 기본 구조 검토; 원문 적용수준·전체 맥락 재확인 필요</x:v>
      </x:c>
      <x:c r="M510" s="14" t="str">
        <x:v>미확인</x:v>
      </x:c>
    </x:row>
    <x:row r="511" ht="37.5" customHeight="1">
      <x:c r="A511" s="13" t="str">
        <x:v>KRDS-SEC-068-A-06</x:v>
      </x:c>
      <x:c r="B511" s="13" t="str">
        <x:v>기본 패턴</x:v>
      </x:c>
      <x:c r="C511" s="13" t="str">
        <x:v>패턴</x:v>
      </x:c>
      <x:c r="D511" s="13" t="str">
        <x:v>상세 정보 확인</x:v>
      </x:c>
      <x:c r="E511" s="13" t="str">
        <x:v>접근성 가이드라인</x:v>
      </x:c>
      <x:c r="F511" s="13" t="str">
        <x:v>06</x:v>
      </x:c>
      <x:c r="G511" s="13" t="n">
        <x:v>826</x:v>
      </x:c>
      <x:c r="H511" s="13" t="n">
        <x:v>826</x:v>
      </x:c>
      <x:c r="I511" s="13" t="str"/>
      <x:c r="J511" s="13" t="str">
        <x:v>시각적으로 표현된 콘텐츠의 구조, 수준을 프로그램적으로 동일하게 제공한다.</x:v>
      </x:c>
      <x:c r="K511" s="13" t="str">
        <x:v>UI-067</x:v>
      </x:c>
      <x:c r="L511" s="13" t="str">
        <x:v>추출 후 기본 구조 검토; 원문 적용수준·전체 맥락 재확인 필요</x:v>
      </x:c>
      <x:c r="M511" s="13" t="str">
        <x:v>미확인</x:v>
      </x:c>
    </x:row>
    <x:row r="512" ht="37.5" customHeight="1">
      <x:c r="A512" s="14" t="str">
        <x:v>KRDS-SEC-069-U-01</x:v>
      </x:c>
      <x:c r="B512" s="14" t="str">
        <x:v>기본 패턴</x:v>
      </x:c>
      <x:c r="C512" s="14" t="str">
        <x:v>패턴</x:v>
      </x:c>
      <x:c r="D512" s="14" t="str">
        <x:v>오류</x:v>
      </x:c>
      <x:c r="E512" s="14" t="str">
        <x:v>사용성 가이드라인</x:v>
      </x:c>
      <x:c r="F512" s="14" t="str">
        <x:v>01</x:v>
      </x:c>
      <x:c r="G512" s="14" t="n">
        <x:v>829</x:v>
      </x:c>
      <x:c r="H512" s="14" t="n">
        <x:v>829</x:v>
      </x:c>
      <x:c r="I512" s="14" t="str">
        <x:v>830</x:v>
      </x:c>
      <x:c r="J512" s="14" t="str">
        <x:v>빠르게 인지할 수 있도록 표현한다.</x:v>
      </x:c>
      <x:c r="K512" s="14" t="str">
        <x:v>UI-068, UI-116</x:v>
      </x:c>
      <x:c r="L512" s="14" t="str">
        <x:v>추출 후 기본 구조 검토; 원문 적용수준·전체 맥락 재확인 필요</x:v>
      </x:c>
      <x:c r="M512" s="14" t="str">
        <x:v>미확인</x:v>
      </x:c>
    </x:row>
    <x:row r="513" ht="37.5" customHeight="1">
      <x:c r="A513" s="13" t="str">
        <x:v>KRDS-SEC-069-U-02</x:v>
      </x:c>
      <x:c r="B513" s="13" t="str">
        <x:v>기본 패턴</x:v>
      </x:c>
      <x:c r="C513" s="13" t="str">
        <x:v>패턴</x:v>
      </x:c>
      <x:c r="D513" s="13" t="str">
        <x:v>오류</x:v>
      </x:c>
      <x:c r="E513" s="13" t="str">
        <x:v>사용성 가이드라인</x:v>
      </x:c>
      <x:c r="F513" s="13" t="str">
        <x:v>02</x:v>
      </x:c>
      <x:c r="G513" s="13" t="n">
        <x:v>829</x:v>
      </x:c>
      <x:c r="H513" s="13" t="n">
        <x:v>829</x:v>
      </x:c>
      <x:c r="I513" s="13" t="str">
        <x:v>830</x:v>
      </x:c>
      <x:c r="J513" s="13" t="str">
        <x:v>발생한 오류 및 문제를 분명하게 설명한다.</x:v>
      </x:c>
      <x:c r="K513" s="13" t="str">
        <x:v>UI-068, UI-116</x:v>
      </x:c>
      <x:c r="L513" s="13" t="str">
        <x:v>추출 후 기본 구조 검토; 원문 적용수준·전체 맥락 재확인 필요</x:v>
      </x:c>
      <x:c r="M513" s="13" t="str">
        <x:v>미확인</x:v>
      </x:c>
    </x:row>
    <x:row r="514" ht="37.5" customHeight="1">
      <x:c r="A514" s="14" t="str">
        <x:v>KRDS-SEC-069-U-03</x:v>
      </x:c>
      <x:c r="B514" s="14" t="str">
        <x:v>기본 패턴</x:v>
      </x:c>
      <x:c r="C514" s="14" t="str">
        <x:v>패턴</x:v>
      </x:c>
      <x:c r="D514" s="14" t="str">
        <x:v>오류</x:v>
      </x:c>
      <x:c r="E514" s="14" t="str">
        <x:v>사용성 가이드라인</x:v>
      </x:c>
      <x:c r="F514" s="14" t="str">
        <x:v>03</x:v>
      </x:c>
      <x:c r="G514" s="14" t="n">
        <x:v>829</x:v>
      </x:c>
      <x:c r="H514" s="14" t="n">
        <x:v>829</x:v>
      </x:c>
      <x:c r="I514" s="14" t="str">
        <x:v>830</x:v>
      </x:c>
      <x:c r="J514" s="14" t="str">
        <x:v>오류를 수정할 수 있는 방법을 제공한다.</x:v>
      </x:c>
      <x:c r="K514" s="14" t="str">
        <x:v>UI-068, UI-116</x:v>
      </x:c>
      <x:c r="L514" s="14" t="str">
        <x:v>추출 후 기본 구조 검토; 원문 적용수준·전체 맥락 재확인 필요</x:v>
      </x:c>
      <x:c r="M514" s="14" t="str">
        <x:v>미확인</x:v>
      </x:c>
    </x:row>
    <x:row r="515" ht="37.5" customHeight="1">
      <x:c r="A515" s="13" t="str">
        <x:v>KRDS-SEC-069-U-04</x:v>
      </x:c>
      <x:c r="B515" s="13" t="str">
        <x:v>기본 패턴</x:v>
      </x:c>
      <x:c r="C515" s="13" t="str">
        <x:v>패턴</x:v>
      </x:c>
      <x:c r="D515" s="13" t="str">
        <x:v>오류</x:v>
      </x:c>
      <x:c r="E515" s="13" t="str">
        <x:v>사용성 가이드라인</x:v>
      </x:c>
      <x:c r="F515" s="13" t="str">
        <x:v>04</x:v>
      </x:c>
      <x:c r="G515" s="13" t="n">
        <x:v>829</x:v>
      </x:c>
      <x:c r="H515" s="13" t="n">
        <x:v>829</x:v>
      </x:c>
      <x:c r="I515" s="13" t="str">
        <x:v>830</x:v>
      </x:c>
      <x:c r="J515" s="13" t="str">
        <x:v>정중한 문체를 사용한다.</x:v>
      </x:c>
      <x:c r="K515" s="13" t="str">
        <x:v>UI-068, UI-116</x:v>
      </x:c>
      <x:c r="L515" s="13" t="str">
        <x:v>추출 후 기본 구조 검토; 원문 적용수준·전체 맥락 재확인 필요</x:v>
      </x:c>
      <x:c r="M515" s="13" t="str">
        <x:v>미확인</x:v>
      </x:c>
    </x:row>
    <x:row r="516" ht="37.5" customHeight="1">
      <x:c r="A516" s="14" t="str">
        <x:v>KRDS-SEC-069-A-01</x:v>
      </x:c>
      <x:c r="B516" s="14" t="str">
        <x:v>기본 패턴</x:v>
      </x:c>
      <x:c r="C516" s="14" t="str">
        <x:v>패턴</x:v>
      </x:c>
      <x:c r="D516" s="14" t="str">
        <x:v>오류</x:v>
      </x:c>
      <x:c r="E516" s="14" t="str">
        <x:v>접근성 가이드라인</x:v>
      </x:c>
      <x:c r="F516" s="14" t="str">
        <x:v>01</x:v>
      </x:c>
      <x:c r="G516" s="14" t="n">
        <x:v>831</x:v>
      </x:c>
      <x:c r="H516" s="14" t="n">
        <x:v>831</x:v>
      </x:c>
      <x:c r="I516" s="14" t="str"/>
      <x:c r="J516" s="14" t="str">
        <x:v>오류가 발생한 요소로 초점이 자동으로 이동되도록 제공한다.</x:v>
      </x:c>
      <x:c r="K516" s="14" t="str">
        <x:v>UI-068, UI-116</x:v>
      </x:c>
      <x:c r="L516" s="14" t="str">
        <x:v>추출 후 기본 구조 검토; 원문 적용수준·전체 맥락 재확인 필요</x:v>
      </x:c>
      <x:c r="M516" s="14" t="str">
        <x:v>미확인</x:v>
      </x:c>
    </x:row>
    <x:row r="517" ht="37.5" customHeight="1">
      <x:c r="A517" s="13" t="str">
        <x:v>KRDS-SEC-069-A-02</x:v>
      </x:c>
      <x:c r="B517" s="13" t="str">
        <x:v>기본 패턴</x:v>
      </x:c>
      <x:c r="C517" s="13" t="str">
        <x:v>패턴</x:v>
      </x:c>
      <x:c r="D517" s="13" t="str">
        <x:v>오류</x:v>
      </x:c>
      <x:c r="E517" s="13" t="str">
        <x:v>접근성 가이드라인</x:v>
      </x:c>
      <x:c r="F517" s="13" t="str">
        <x:v>02</x:v>
      </x:c>
      <x:c r="G517" s="13" t="n">
        <x:v>831</x:v>
      </x:c>
      <x:c r="H517" s="13" t="n">
        <x:v>831</x:v>
      </x:c>
      <x:c r="I517" s="13" t="str"/>
      <x:c r="J517" s="13" t="str">
        <x:v>사용자의 입력 값이 유지되도록 한다.</x:v>
      </x:c>
      <x:c r="K517" s="13" t="str">
        <x:v>UI-068, UI-116</x:v>
      </x:c>
      <x:c r="L517" s="13" t="str">
        <x:v>추출 후 기본 구조 검토; 원문 적용수준·전체 맥락 재확인 필요</x:v>
      </x:c>
      <x:c r="M517" s="13" t="str">
        <x:v>미확인</x:v>
      </x:c>
    </x:row>
    <x:row r="518" ht="37.5" customHeight="1">
      <x:c r="A518" s="14" t="str">
        <x:v>KRDS-SEC-070-U-01</x:v>
      </x:c>
      <x:c r="B518" s="14" t="str">
        <x:v>기본 패턴</x:v>
      </x:c>
      <x:c r="C518" s="14" t="str">
        <x:v>패턴</x:v>
      </x:c>
      <x:c r="D518" s="14" t="str">
        <x:v>입력폼</x:v>
      </x:c>
      <x:c r="E518" s="14" t="str">
        <x:v>사용성 가이드라인</x:v>
      </x:c>
      <x:c r="F518" s="14" t="str">
        <x:v>01</x:v>
      </x:c>
      <x:c r="G518" s="14" t="n">
        <x:v>835</x:v>
      </x:c>
      <x:c r="H518" s="14" t="n">
        <x:v>835</x:v>
      </x:c>
      <x:c r="I518" s="14" t="str">
        <x:v>836</x:v>
      </x:c>
      <x:c r="J518" s="14" t="str">
        <x:v>콘텐츠는 가능한 한 하나의 열에 수직으로 정렬한다</x:v>
      </x:c>
      <x:c r="K518" s="14" t="str">
        <x:v>UI-069, UI-117, UI-118, UI-119</x:v>
      </x:c>
      <x:c r="L518" s="14" t="str">
        <x:v>추출 후 기본 구조 검토; 원문 적용수준·전체 맥락 재확인 필요</x:v>
      </x:c>
      <x:c r="M518" s="14" t="str">
        <x:v>미확인</x:v>
      </x:c>
    </x:row>
    <x:row r="519" ht="37.5" customHeight="1">
      <x:c r="A519" s="13" t="str">
        <x:v>KRDS-SEC-070-U-02</x:v>
      </x:c>
      <x:c r="B519" s="13" t="str">
        <x:v>기본 패턴</x:v>
      </x:c>
      <x:c r="C519" s="13" t="str">
        <x:v>패턴</x:v>
      </x:c>
      <x:c r="D519" s="13" t="str">
        <x:v>입력폼</x:v>
      </x:c>
      <x:c r="E519" s="13" t="str">
        <x:v>사용성 가이드라인</x:v>
      </x:c>
      <x:c r="F519" s="13" t="str">
        <x:v>02</x:v>
      </x:c>
      <x:c r="G519" s="13" t="n">
        <x:v>835</x:v>
      </x:c>
      <x:c r="H519" s="13" t="n">
        <x:v>835</x:v>
      </x:c>
      <x:c r="I519" s="13" t="str">
        <x:v>836</x:v>
      </x:c>
      <x:c r="J519" s="13" t="str">
        <x:v>입력폼과 입력폼, 콘텐츠와 콘텐츠 사이에 충분한 간격을 제공한다.</x:v>
      </x:c>
      <x:c r="K519" s="13" t="str">
        <x:v>UI-069, UI-117, UI-118, UI-119</x:v>
      </x:c>
      <x:c r="L519" s="13" t="str">
        <x:v>추출 후 기본 구조 검토; 원문 적용수준·전체 맥락 재확인 필요</x:v>
      </x:c>
      <x:c r="M519" s="13" t="str">
        <x:v>미확인</x:v>
      </x:c>
    </x:row>
    <x:row r="520" ht="37.5" customHeight="1">
      <x:c r="A520" s="14" t="str">
        <x:v>KRDS-SEC-070-U-03</x:v>
      </x:c>
      <x:c r="B520" s="14" t="str">
        <x:v>기본 패턴</x:v>
      </x:c>
      <x:c r="C520" s="14" t="str">
        <x:v>패턴</x:v>
      </x:c>
      <x:c r="D520" s="14" t="str">
        <x:v>입력폼</x:v>
      </x:c>
      <x:c r="E520" s="14" t="str">
        <x:v>사용성 가이드라인</x:v>
      </x:c>
      <x:c r="F520" s="14" t="str">
        <x:v>03</x:v>
      </x:c>
      <x:c r="G520" s="14" t="n">
        <x:v>835</x:v>
      </x:c>
      <x:c r="H520" s="14" t="n">
        <x:v>835</x:v>
      </x:c>
      <x:c r="I520" s="14" t="str">
        <x:v>837</x:v>
      </x:c>
      <x:c r="J520" s="14" t="str">
        <x:v>액션 버튼은 일관된 위치에 배치하고 정렬한다.</x:v>
      </x:c>
      <x:c r="K520" s="14" t="str">
        <x:v>UI-069, UI-117, UI-118, UI-119</x:v>
      </x:c>
      <x:c r="L520" s="14" t="str">
        <x:v>추출 후 기본 구조 검토; 원문 적용수준·전체 맥락 재확인 필요</x:v>
      </x:c>
      <x:c r="M520" s="14" t="str">
        <x:v>미확인</x:v>
      </x:c>
    </x:row>
    <x:row r="521" ht="37.5" customHeight="1">
      <x:c r="A521" s="13" t="str">
        <x:v>KRDS-SEC-070-U-04</x:v>
      </x:c>
      <x:c r="B521" s="13" t="str">
        <x:v>기본 패턴</x:v>
      </x:c>
      <x:c r="C521" s="13" t="str">
        <x:v>패턴</x:v>
      </x:c>
      <x:c r="D521" s="13" t="str">
        <x:v>입력폼</x:v>
      </x:c>
      <x:c r="E521" s="13" t="str">
        <x:v>사용성 가이드라인</x:v>
      </x:c>
      <x:c r="F521" s="13" t="str">
        <x:v>04</x:v>
      </x:c>
      <x:c r="G521" s="13" t="n">
        <x:v>835</x:v>
      </x:c>
      <x:c r="H521" s="13" t="n">
        <x:v>835</x:v>
      </x:c>
      <x:c r="I521" s="13" t="str">
        <x:v>838</x:v>
      </x:c>
      <x:c r="J521" s="13" t="str">
        <x:v>비활성화 상태의 입력폼 제출 버튼 사용을 고려한다.</x:v>
      </x:c>
      <x:c r="K521" s="13" t="str">
        <x:v>UI-069, UI-117, UI-118, UI-119</x:v>
      </x:c>
      <x:c r="L521" s="13" t="str">
        <x:v>추출 후 기본 구조 검토; 원문 적용수준·전체 맥락 재확인 필요</x:v>
      </x:c>
      <x:c r="M521" s="13" t="str">
        <x:v>미확인</x:v>
      </x:c>
    </x:row>
    <x:row r="522" ht="37.5" customHeight="1">
      <x:c r="A522" s="14" t="str">
        <x:v>KRDS-SEC-070-U-05</x:v>
      </x:c>
      <x:c r="B522" s="14" t="str">
        <x:v>기본 패턴</x:v>
      </x:c>
      <x:c r="C522" s="14" t="str">
        <x:v>패턴</x:v>
      </x:c>
      <x:c r="D522" s="14" t="str">
        <x:v>입력폼</x:v>
      </x:c>
      <x:c r="E522" s="14" t="str">
        <x:v>사용성 가이드라인</x:v>
      </x:c>
      <x:c r="F522" s="14" t="str">
        <x:v>05</x:v>
      </x:c>
      <x:c r="G522" s="14" t="n">
        <x:v>835</x:v>
      </x:c>
      <x:c r="H522" s="14" t="n">
        <x:v>835</x:v>
      </x:c>
      <x:c r="I522" s="14" t="str">
        <x:v>839</x:v>
      </x:c>
      <x:c r="J522" s="14" t="str">
        <x:v>입력 필드 주변에 레이블과 설명을 제공한다.</x:v>
      </x:c>
      <x:c r="K522" s="14" t="str">
        <x:v>UI-069, UI-117, UI-118, UI-119</x:v>
      </x:c>
      <x:c r="L522" s="14" t="str">
        <x:v>추출 후 기본 구조 검토; 원문 적용수준·전체 맥락 재확인 필요</x:v>
      </x:c>
      <x:c r="M522" s="14" t="str">
        <x:v>미확인</x:v>
      </x:c>
    </x:row>
    <x:row r="523" ht="37.5" customHeight="1">
      <x:c r="A523" s="13" t="str">
        <x:v>KRDS-SEC-070-U-06</x:v>
      </x:c>
      <x:c r="B523" s="13" t="str">
        <x:v>기본 패턴</x:v>
      </x:c>
      <x:c r="C523" s="13" t="str">
        <x:v>패턴</x:v>
      </x:c>
      <x:c r="D523" s="13" t="str">
        <x:v>입력폼</x:v>
      </x:c>
      <x:c r="E523" s="13" t="str">
        <x:v>사용성 가이드라인</x:v>
      </x:c>
      <x:c r="F523" s="13" t="str">
        <x:v>06</x:v>
      </x:c>
      <x:c r="G523" s="13" t="n">
        <x:v>835</x:v>
      </x:c>
      <x:c r="H523" s="13" t="n">
        <x:v>835</x:v>
      </x:c>
      <x:c r="I523" s="13" t="str">
        <x:v>839</x:v>
      </x:c>
      <x:c r="J523" s="13" t="str">
        <x:v>입력값의 단위를 표시한다.</x:v>
      </x:c>
      <x:c r="K523" s="13" t="str">
        <x:v>UI-069, UI-117, UI-118, UI-119</x:v>
      </x:c>
      <x:c r="L523" s="13" t="str">
        <x:v>추출 후 기본 구조 검토; 원문 적용수준·전체 맥락 재확인 필요</x:v>
      </x:c>
      <x:c r="M523" s="13" t="str">
        <x:v>미확인</x:v>
      </x:c>
    </x:row>
    <x:row r="524" ht="37.5" customHeight="1">
      <x:c r="A524" s="14" t="str">
        <x:v>KRDS-SEC-070-U-07</x:v>
      </x:c>
      <x:c r="B524" s="14" t="str">
        <x:v>기본 패턴</x:v>
      </x:c>
      <x:c r="C524" s="14" t="str">
        <x:v>패턴</x:v>
      </x:c>
      <x:c r="D524" s="14" t="str">
        <x:v>입력폼</x:v>
      </x:c>
      <x:c r="E524" s="14" t="str">
        <x:v>사용성 가이드라인</x:v>
      </x:c>
      <x:c r="F524" s="14" t="str">
        <x:v>07</x:v>
      </x:c>
      <x:c r="G524" s="14" t="n">
        <x:v>835</x:v>
      </x:c>
      <x:c r="H524" s="14" t="n">
        <x:v>835</x:v>
      </x:c>
      <x:c r="I524" s="14" t="str">
        <x:v>840</x:v>
      </x:c>
      <x:c r="J524" s="14" t="str">
        <x:v>필수 입력 항목과 선택 입력 항목을 명확하게 구분한다.</x:v>
      </x:c>
      <x:c r="K524" s="14" t="str">
        <x:v>UI-069, UI-117, UI-118, UI-119</x:v>
      </x:c>
      <x:c r="L524" s="14" t="str">
        <x:v>추출 후 기본 구조 검토; 원문 적용수준·전체 맥락 재확인 필요</x:v>
      </x:c>
      <x:c r="M524" s="14" t="str">
        <x:v>미확인</x:v>
      </x:c>
    </x:row>
    <x:row r="525" ht="37.5" customHeight="1">
      <x:c r="A525" s="13" t="str">
        <x:v>KRDS-SEC-070-U-08</x:v>
      </x:c>
      <x:c r="B525" s="13" t="str">
        <x:v>기본 패턴</x:v>
      </x:c>
      <x:c r="C525" s="13" t="str">
        <x:v>패턴</x:v>
      </x:c>
      <x:c r="D525" s="13" t="str">
        <x:v>입력폼</x:v>
      </x:c>
      <x:c r="E525" s="13" t="str">
        <x:v>사용성 가이드라인</x:v>
      </x:c>
      <x:c r="F525" s="13" t="str">
        <x:v>08</x:v>
      </x:c>
      <x:c r="G525" s="13" t="n">
        <x:v>835</x:v>
      </x:c>
      <x:c r="H525" s="13" t="n">
        <x:v>835</x:v>
      </x:c>
      <x:c r="I525" s="13" t="str">
        <x:v>842</x:v>
      </x:c>
      <x:c r="J525" s="13" t="str">
        <x:v>필수 또는 선택 입력 항목은 일관성 있는 방식으로 구분한다.</x:v>
      </x:c>
      <x:c r="K525" s="13" t="str">
        <x:v>UI-069, UI-117, UI-118, UI-119</x:v>
      </x:c>
      <x:c r="L525" s="13" t="str">
        <x:v>추출 후 기본 구조 검토; 원문 적용수준·전체 맥락 재확인 필요</x:v>
      </x:c>
      <x:c r="M525" s="13" t="str">
        <x:v>미확인</x:v>
      </x:c>
    </x:row>
    <x:row r="526" ht="37.5" customHeight="1">
      <x:c r="A526" s="14" t="str">
        <x:v>KRDS-SEC-070-U-09</x:v>
      </x:c>
      <x:c r="B526" s="14" t="str">
        <x:v>기본 패턴</x:v>
      </x:c>
      <x:c r="C526" s="14" t="str">
        <x:v>패턴</x:v>
      </x:c>
      <x:c r="D526" s="14" t="str">
        <x:v>입력폼</x:v>
      </x:c>
      <x:c r="E526" s="14" t="str">
        <x:v>사용성 가이드라인</x:v>
      </x:c>
      <x:c r="F526" s="14" t="str">
        <x:v>09</x:v>
      </x:c>
      <x:c r="G526" s="14" t="n">
        <x:v>835</x:v>
      </x:c>
      <x:c r="H526" s="14" t="n">
        <x:v>835</x:v>
      </x:c>
      <x:c r="I526" s="14" t="str">
        <x:v>844</x:v>
      </x:c>
      <x:c r="J526" s="14" t="str">
        <x:v>사용자로부터 최소한의 데이터만 입력받는다.</x:v>
      </x:c>
      <x:c r="K526" s="14" t="str">
        <x:v>UI-069, UI-117, UI-118, UI-119</x:v>
      </x:c>
      <x:c r="L526" s="14" t="str">
        <x:v>추출 후 기본 구조 검토; 원문 적용수준·전체 맥락 재확인 필요</x:v>
      </x:c>
      <x:c r="M526" s="14" t="str">
        <x:v>미확인</x:v>
      </x:c>
    </x:row>
    <x:row r="527" ht="37.5" customHeight="1">
      <x:c r="A527" s="13" t="str">
        <x:v>KRDS-SEC-070-U-10</x:v>
      </x:c>
      <x:c r="B527" s="13" t="str">
        <x:v>기본 패턴</x:v>
      </x:c>
      <x:c r="C527" s="13" t="str">
        <x:v>패턴</x:v>
      </x:c>
      <x:c r="D527" s="13" t="str">
        <x:v>입력폼</x:v>
      </x:c>
      <x:c r="E527" s="13" t="str">
        <x:v>사용성 가이드라인</x:v>
      </x:c>
      <x:c r="F527" s="13" t="str">
        <x:v>10</x:v>
      </x:c>
      <x:c r="G527" s="13" t="n">
        <x:v>835</x:v>
      </x:c>
      <x:c r="H527" s="13" t="n">
        <x:v>835</x:v>
      </x:c>
      <x:c r="I527" s="13" t="str">
        <x:v>844</x:v>
      </x:c>
      <x:c r="J527" s="13" t="str">
        <x:v>사용자가 자주 입력하는 데이터에 자동 완성 기능을 제공하는 방안을 고려한다.</x:v>
      </x:c>
      <x:c r="K527" s="13" t="str">
        <x:v>UI-069, UI-117, UI-118, UI-119</x:v>
      </x:c>
      <x:c r="L527" s="13" t="str">
        <x:v>추출 후 기본 구조 검토; 원문 적용수준·전체 맥락 재확인 필요</x:v>
      </x:c>
      <x:c r="M527" s="13" t="str">
        <x:v>미확인</x:v>
      </x:c>
    </x:row>
    <x:row r="528" ht="37.5" customHeight="1">
      <x:c r="A528" s="14" t="str">
        <x:v>KRDS-SEC-070-U-11</x:v>
      </x:c>
      <x:c r="B528" s="14" t="str">
        <x:v>기본 패턴</x:v>
      </x:c>
      <x:c r="C528" s="14" t="str">
        <x:v>패턴</x:v>
      </x:c>
      <x:c r="D528" s="14" t="str">
        <x:v>입력폼</x:v>
      </x:c>
      <x:c r="E528" s="14" t="str">
        <x:v>사용성 가이드라인</x:v>
      </x:c>
      <x:c r="F528" s="14" t="str">
        <x:v>11</x:v>
      </x:c>
      <x:c r="G528" s="14" t="n">
        <x:v>835</x:v>
      </x:c>
      <x:c r="H528" s="14" t="n">
        <x:v>835</x:v>
      </x:c>
      <x:c r="I528" s="14" t="str">
        <x:v>845</x:v>
      </x:c>
      <x:c r="J528" s="14" t="str">
        <x:v>사용자가 잘못 입력/선택한 값을 자동으로 삭제하지 않는다.</x:v>
      </x:c>
      <x:c r="K528" s="14" t="str">
        <x:v>UI-069, UI-117, UI-118, UI-119</x:v>
      </x:c>
      <x:c r="L528" s="14" t="str">
        <x:v>추출 후 기본 구조 검토; 원문 적용수준·전체 맥락 재확인 필요</x:v>
      </x:c>
      <x:c r="M528" s="14" t="str">
        <x:v>미확인</x:v>
      </x:c>
    </x:row>
    <x:row r="529" ht="37.5" customHeight="1">
      <x:c r="A529" s="13" t="str">
        <x:v>KRDS-SEC-070-P-01</x:v>
      </x:c>
      <x:c r="B529" s="13" t="str">
        <x:v>기본 패턴</x:v>
      </x:c>
      <x:c r="C529" s="13" t="str">
        <x:v>패턴</x:v>
      </x:c>
      <x:c r="D529" s="13" t="str">
        <x:v>입력폼</x:v>
      </x:c>
      <x:c r="E529" s="13" t="str">
        <x:v>플랫폼에 대한 고려 사항</x:v>
      </x:c>
      <x:c r="F529" s="13" t="str">
        <x:v>01</x:v>
      </x:c>
      <x:c r="G529" s="13" t="n">
        <x:v>846</x:v>
      </x:c>
      <x:c r="H529" s="13" t="n">
        <x:v>846</x:v>
      </x:c>
      <x:c r="I529" s="13" t="str"/>
      <x:c r="J529" s="13" t="str">
        <x:v>모바일을 염두에 두고 디자인해야 한다.</x:v>
      </x:c>
      <x:c r="K529" s="13" t="str">
        <x:v>UI-069, UI-117, UI-118, UI-119</x:v>
      </x:c>
      <x:c r="L529" s="13" t="str">
        <x:v>추출 후 기본 구조 검토; 원문 적용수준·전체 맥락 재확인 필요</x:v>
      </x:c>
      <x:c r="M529" s="13" t="str">
        <x:v>미확인</x:v>
      </x:c>
    </x:row>
    <x:row r="530" ht="37.5" customHeight="1">
      <x:c r="A530" s="14" t="str">
        <x:v>KRDS-SEC-070-A-01</x:v>
      </x:c>
      <x:c r="B530" s="14" t="str">
        <x:v>기본 패턴</x:v>
      </x:c>
      <x:c r="C530" s="14" t="str">
        <x:v>패턴</x:v>
      </x:c>
      <x:c r="D530" s="14" t="str">
        <x:v>입력폼</x:v>
      </x:c>
      <x:c r="E530" s="14" t="str">
        <x:v>접근성 가이드라인</x:v>
      </x:c>
      <x:c r="F530" s="14" t="str">
        <x:v>01</x:v>
      </x:c>
      <x:c r="G530" s="14" t="n">
        <x:v>847</x:v>
      </x:c>
      <x:c r="H530" s="14" t="n">
        <x:v>847</x:v>
      </x:c>
      <x:c r="I530" s="14" t="str"/>
      <x:c r="J530" s="14" t="str">
        <x:v>각 입력 필드와 입력폼에 이름을 제공한다.</x:v>
      </x:c>
      <x:c r="K530" s="14" t="str">
        <x:v>UI-069, UI-117, UI-118, UI-119</x:v>
      </x:c>
      <x:c r="L530" s="14" t="str">
        <x:v>추출 후 기본 구조 검토; 원문 적용수준·전체 맥락 재확인 필요</x:v>
      </x:c>
      <x:c r="M530" s="14" t="str">
        <x:v>미확인</x:v>
      </x:c>
    </x:row>
    <x:row r="531" ht="37.5" customHeight="1">
      <x:c r="A531" s="13" t="str">
        <x:v>KRDS-SEC-070-A-02</x:v>
      </x:c>
      <x:c r="B531" s="13" t="str">
        <x:v>기본 패턴</x:v>
      </x:c>
      <x:c r="C531" s="13" t="str">
        <x:v>패턴</x:v>
      </x:c>
      <x:c r="D531" s="13" t="str">
        <x:v>입력폼</x:v>
      </x:c>
      <x:c r="E531" s="13" t="str">
        <x:v>접근성 가이드라인</x:v>
      </x:c>
      <x:c r="F531" s="13" t="str">
        <x:v>02</x:v>
      </x:c>
      <x:c r="G531" s="13" t="n">
        <x:v>847</x:v>
      </x:c>
      <x:c r="H531" s="13" t="n">
        <x:v>847</x:v>
      </x:c>
      <x:c r="I531" s="13" t="str"/>
      <x:c r="J531" s="13" t="str">
        <x:v>입력폼 각 섹션에 제목을 제공한다.</x:v>
      </x:c>
      <x:c r="K531" s="13" t="str">
        <x:v>UI-069, UI-117, UI-118, UI-119</x:v>
      </x:c>
      <x:c r="L531" s="13" t="str">
        <x:v>추출 후 기본 구조 검토; 원문 적용수준·전체 맥락 재확인 필요</x:v>
      </x:c>
      <x:c r="M531" s="13" t="str">
        <x:v>미확인</x:v>
      </x:c>
    </x:row>
    <x:row r="532" ht="37.5" customHeight="1">
      <x:c r="A532" s="14" t="str">
        <x:v>KRDS-SEC-070-A-03</x:v>
      </x:c>
      <x:c r="B532" s="14" t="str">
        <x:v>기본 패턴</x:v>
      </x:c>
      <x:c r="C532" s="14" t="str">
        <x:v>패턴</x:v>
      </x:c>
      <x:c r="D532" s="14" t="str">
        <x:v>입력폼</x:v>
      </x:c>
      <x:c r="E532" s="14" t="str">
        <x:v>접근성 가이드라인</x:v>
      </x:c>
      <x:c r="F532" s="14" t="str">
        <x:v>03</x:v>
      </x:c>
      <x:c r="G532" s="14" t="n">
        <x:v>848</x:v>
      </x:c>
      <x:c r="H532" s="14" t="n">
        <x:v>848</x:v>
      </x:c>
      <x:c r="I532" s="14" t="str"/>
      <x:c r="J532" s="14" t="str">
        <x:v>어떤 항목에서 오류가 발생했는지에 관한 정확한 정보를 오류 메시지로 알려주어야 한다.</x:v>
      </x:c>
      <x:c r="K532" s="14" t="str">
        <x:v>UI-069, UI-117, UI-118, UI-119</x:v>
      </x:c>
      <x:c r="L532" s="14" t="str">
        <x:v>추출 후 기본 구조 검토; 원문 적용수준·전체 맥락 재확인 필요</x:v>
      </x:c>
      <x:c r="M532" s="14" t="str">
        <x:v>미확인</x:v>
      </x:c>
    </x:row>
    <x:row r="533" ht="37.5" customHeight="1">
      <x:c r="A533" s="13" t="str">
        <x:v>KRDS-SEC-070-A-04</x:v>
      </x:c>
      <x:c r="B533" s="13" t="str">
        <x:v>기본 패턴</x:v>
      </x:c>
      <x:c r="C533" s="13" t="str">
        <x:v>패턴</x:v>
      </x:c>
      <x:c r="D533" s="13" t="str">
        <x:v>입력폼</x:v>
      </x:c>
      <x:c r="E533" s="13" t="str">
        <x:v>접근성 가이드라인</x:v>
      </x:c>
      <x:c r="F533" s="13" t="str">
        <x:v>04</x:v>
      </x:c>
      <x:c r="G533" s="13" t="n">
        <x:v>848</x:v>
      </x:c>
      <x:c r="H533" s="13" t="n">
        <x:v>848</x:v>
      </x:c>
      <x:c r="I533" s="13" t="str"/>
      <x:c r="J533" s="13" t="str">
        <x:v>사용자가 입력 필드의 초점을 자유롭게 이동시킬 수 있도록 제공한다.</x:v>
      </x:c>
      <x:c r="K533" s="13" t="str">
        <x:v>UI-069, UI-117, UI-118, UI-119</x:v>
      </x:c>
      <x:c r="L533" s="13" t="str">
        <x:v>추출 후 기본 구조 검토; 원문 적용수준·전체 맥락 재확인 필요</x:v>
      </x:c>
      <x:c r="M533" s="13" t="str">
        <x:v>미확인</x:v>
      </x:c>
    </x:row>
    <x:row r="534" ht="37.5" customHeight="1">
      <x:c r="A534" s="14" t="str">
        <x:v>KRDS-SEC-070-A-05</x:v>
      </x:c>
      <x:c r="B534" s="14" t="str">
        <x:v>기본 패턴</x:v>
      </x:c>
      <x:c r="C534" s="14" t="str">
        <x:v>패턴</x:v>
      </x:c>
      <x:c r="D534" s="14" t="str">
        <x:v>입력폼</x:v>
      </x:c>
      <x:c r="E534" s="14" t="str">
        <x:v>접근성 가이드라인</x:v>
      </x:c>
      <x:c r="F534" s="14" t="str">
        <x:v>05</x:v>
      </x:c>
      <x:c r="G534" s="14" t="n">
        <x:v>849</x:v>
      </x:c>
      <x:c r="H534" s="14" t="n">
        <x:v>849</x:v>
      </x:c>
      <x:c r="I534" s="14" t="str"/>
      <x:c r="J534" s="14" t="str">
        <x:v>필수 입력 항목 정보는 보조 기술이 확인할 수 있는 형태로 제공한다.</x:v>
      </x:c>
      <x:c r="K534" s="14" t="str">
        <x:v>UI-069, UI-117, UI-118, UI-119</x:v>
      </x:c>
      <x:c r="L534" s="14" t="str">
        <x:v>추출 후 기본 구조 검토; 원문 적용수준·전체 맥락 재확인 필요</x:v>
      </x:c>
      <x:c r="M534" s="14" t="str">
        <x:v>미확인</x:v>
      </x:c>
    </x:row>
    <x:row r="535" ht="37.5" customHeight="1">
      <x:c r="A535" s="13" t="str">
        <x:v>KRDS-SEC-070-A-06</x:v>
      </x:c>
      <x:c r="B535" s="13" t="str">
        <x:v>기본 패턴</x:v>
      </x:c>
      <x:c r="C535" s="13" t="str">
        <x:v>패턴</x:v>
      </x:c>
      <x:c r="D535" s="13" t="str">
        <x:v>입력폼</x:v>
      </x:c>
      <x:c r="E535" s="13" t="str">
        <x:v>접근성 가이드라인</x:v>
      </x:c>
      <x:c r="F535" s="13" t="str">
        <x:v>06</x:v>
      </x:c>
      <x:c r="G535" s="13" t="n">
        <x:v>849</x:v>
      </x:c>
      <x:c r="H535" s="13" t="n">
        <x:v>849</x:v>
      </x:c>
      <x:c r="I535" s="13" t="str"/>
      <x:c r="J535" s="13" t="str">
        <x:v>단계가 있는 입력폼에서 반복적으로 입력해야 하는 정보를 자동 입력하거나 동일하게 입력할 수 있는 수단을 제공한다.</x:v>
      </x:c>
      <x:c r="K535" s="13" t="str">
        <x:v>UI-069, UI-117, UI-118, UI-119</x:v>
      </x:c>
      <x:c r="L535" s="13" t="str">
        <x:v>추출 후 기본 구조 검토; 원문 적용수준·전체 맥락 재확인 필요</x:v>
      </x:c>
      <x:c r="M535" s="13" t="str">
        <x:v>미확인</x:v>
      </x:c>
    </x:row>
    <x:row r="536" ht="37.5" customHeight="1">
      <x:c r="A536" s="14" t="str">
        <x:v>KRDS-SEC-071-U-01</x:v>
      </x:c>
      <x:c r="B536" s="14" t="str">
        <x:v>기본 패턴</x:v>
      </x:c>
      <x:c r="C536" s="14" t="str">
        <x:v>패턴</x:v>
      </x:c>
      <x:c r="D536" s="14" t="str">
        <x:v>첨부파일</x:v>
      </x:c>
      <x:c r="E536" s="14" t="str">
        <x:v>사용성 가이드라인</x:v>
      </x:c>
      <x:c r="F536" s="14" t="str">
        <x:v>01</x:v>
      </x:c>
      <x:c r="G536" s="14" t="n">
        <x:v>854</x:v>
      </x:c>
      <x:c r="H536" s="14" t="n">
        <x:v>854</x:v>
      </x:c>
      <x:c r="I536" s="14" t="str">
        <x:v>855</x:v>
      </x:c>
      <x:c r="J536" s="14" t="str">
        <x:v>링크가 파일 다운로드를 유발할 수 있음을 사용자에게 사전에 안내한다.</x:v>
      </x:c>
      <x:c r="K536" s="14" t="str">
        <x:v>UI-070</x:v>
      </x:c>
      <x:c r="L536" s="14" t="str">
        <x:v>추출 후 기본 구조 검토; 원문 적용수준·전체 맥락 재확인 필요</x:v>
      </x:c>
      <x:c r="M536" s="14" t="str">
        <x:v>미확인</x:v>
      </x:c>
    </x:row>
    <x:row r="537" ht="37.5" customHeight="1">
      <x:c r="A537" s="13" t="str">
        <x:v>KRDS-SEC-071-U-02</x:v>
      </x:c>
      <x:c r="B537" s="13" t="str">
        <x:v>기본 패턴</x:v>
      </x:c>
      <x:c r="C537" s="13" t="str">
        <x:v>패턴</x:v>
      </x:c>
      <x:c r="D537" s="13" t="str">
        <x:v>첨부파일</x:v>
      </x:c>
      <x:c r="E537" s="13" t="str">
        <x:v>사용성 가이드라인</x:v>
      </x:c>
      <x:c r="F537" s="13" t="str">
        <x:v>02</x:v>
      </x:c>
      <x:c r="G537" s="13" t="n">
        <x:v>854</x:v>
      </x:c>
      <x:c r="H537" s="13" t="n">
        <x:v>854</x:v>
      </x:c>
      <x:c r="I537" s="13" t="str">
        <x:v>855</x:v>
      </x:c>
      <x:c r="J537" s="13" t="str">
        <x:v>파일의 크기와 형식 정보를 표시한다.</x:v>
      </x:c>
      <x:c r="K537" s="13" t="str">
        <x:v>UI-070</x:v>
      </x:c>
      <x:c r="L537" s="13" t="str">
        <x:v>추출 후 기본 구조 검토; 원문 적용수준·전체 맥락 재확인 필요</x:v>
      </x:c>
      <x:c r="M537" s="13" t="str">
        <x:v>미확인</x:v>
      </x:c>
    </x:row>
    <x:row r="538" ht="37.5" customHeight="1">
      <x:c r="A538" s="14" t="str">
        <x:v>KRDS-SEC-071-U-03</x:v>
      </x:c>
      <x:c r="B538" s="14" t="str">
        <x:v>기본 패턴</x:v>
      </x:c>
      <x:c r="C538" s="14" t="str">
        <x:v>패턴</x:v>
      </x:c>
      <x:c r="D538" s="14" t="str">
        <x:v>첨부파일</x:v>
      </x:c>
      <x:c r="E538" s="14" t="str">
        <x:v>사용성 가이드라인</x:v>
      </x:c>
      <x:c r="F538" s="14" t="str">
        <x:v>03</x:v>
      </x:c>
      <x:c r="G538" s="14" t="n">
        <x:v>854</x:v>
      </x:c>
      <x:c r="H538" s="14" t="n">
        <x:v>854</x:v>
      </x:c>
      <x:c r="I538" s="14" t="str">
        <x:v>855</x:v>
      </x:c>
      <x:c r="J538" s="14" t="str">
        <x:v>인라인 링크 유형의 첨부파일 텍스트는 주변 콘텐츠와 비슷한 크기로 제공한다.</x:v>
      </x:c>
      <x:c r="K538" s="14" t="str">
        <x:v>UI-070</x:v>
      </x:c>
      <x:c r="L538" s="14" t="str">
        <x:v>추출 후 기본 구조 검토; 원문 적용수준·전체 맥락 재확인 필요</x:v>
      </x:c>
      <x:c r="M538" s="14" t="str">
        <x:v>미확인</x:v>
      </x:c>
    </x:row>
    <x:row r="539" ht="37.5" customHeight="1">
      <x:c r="A539" s="13" t="str">
        <x:v>KRDS-SEC-071-A-01</x:v>
      </x:c>
      <x:c r="B539" s="13" t="str">
        <x:v>기본 패턴</x:v>
      </x:c>
      <x:c r="C539" s="13" t="str">
        <x:v>패턴</x:v>
      </x:c>
      <x:c r="D539" s="13" t="str">
        <x:v>첨부파일</x:v>
      </x:c>
      <x:c r="E539" s="13" t="str">
        <x:v>접근성 가이드라인</x:v>
      </x:c>
      <x:c r="F539" s="13" t="str">
        <x:v>01</x:v>
      </x:c>
      <x:c r="G539" s="13" t="n">
        <x:v>856</x:v>
      </x:c>
      <x:c r="H539" s="13" t="n">
        <x:v>856</x:v>
      </x:c>
      <x:c r="I539" s="13" t="str"/>
      <x:c r="J539" s="13" t="str">
        <x:v>첨부파일 아이콘 이미지에 적절한 대체 텍스트를 제공한다.</x:v>
      </x:c>
      <x:c r="K539" s="13" t="str">
        <x:v>UI-070</x:v>
      </x:c>
      <x:c r="L539" s="13" t="str">
        <x:v>추출 후 기본 구조 검토; 원문 적용수준·전체 맥락 재확인 필요</x:v>
      </x:c>
      <x:c r="M539" s="13" t="str">
        <x:v>미확인</x:v>
      </x:c>
    </x:row>
    <x:row r="540" ht="37.5" customHeight="1">
      <x:c r="A540" s="14" t="str">
        <x:v>KRDS-SEC-071-A-02</x:v>
      </x:c>
      <x:c r="B540" s="14" t="str">
        <x:v>기본 패턴</x:v>
      </x:c>
      <x:c r="C540" s="14" t="str">
        <x:v>패턴</x:v>
      </x:c>
      <x:c r="D540" s="14" t="str">
        <x:v>첨부파일</x:v>
      </x:c>
      <x:c r="E540" s="14" t="str">
        <x:v>접근성 가이드라인</x:v>
      </x:c>
      <x:c r="F540" s="14" t="str">
        <x:v>02</x:v>
      </x:c>
      <x:c r="G540" s="14" t="n">
        <x:v>856</x:v>
      </x:c>
      <x:c r="H540" s="14" t="n">
        <x:v>856</x:v>
      </x:c>
      <x:c r="I540" s="14" t="str"/>
      <x:c r="J540" s="14" t="str">
        <x:v>첨부파일은 스크린 리더가 접근할 수 있는 형식으로 제공한다.</x:v>
      </x:c>
      <x:c r="K540" s="14" t="str">
        <x:v>UI-070</x:v>
      </x:c>
      <x:c r="L540" s="14" t="str">
        <x:v>추출 후 기본 구조 검토; 원문 적용수준·전체 맥락 재확인 필요</x:v>
      </x:c>
      <x:c r="M540" s="14" t="str">
        <x:v>미확인</x:v>
      </x:c>
    </x:row>
    <x:row r="541" ht="37.5" customHeight="1">
      <x:c r="A541" s="13" t="str">
        <x:v>KRDS-SEC-072-U-01</x:v>
      </x:c>
      <x:c r="B541" s="13" t="str">
        <x:v>기본 패턴</x:v>
      </x:c>
      <x:c r="C541" s="13" t="str">
        <x:v>패턴</x:v>
      </x:c>
      <x:c r="D541" s="13" t="str">
        <x:v>필터링·정렬</x:v>
      </x:c>
      <x:c r="E541" s="13" t="str">
        <x:v>사용성 가이드라인</x:v>
      </x:c>
      <x:c r="F541" s="13" t="str">
        <x:v>01</x:v>
      </x:c>
      <x:c r="G541" s="13" t="n">
        <x:v>865</x:v>
      </x:c>
      <x:c r="H541" s="13" t="n">
        <x:v>865</x:v>
      </x:c>
      <x:c r="I541" s="13" t="str">
        <x:v>866</x:v>
      </x:c>
      <x:c r="J541" s="13" t="str">
        <x:v>필터링·정렬 컨트롤을 가능한 한 숨기지 않는다.</x:v>
      </x:c>
      <x:c r="K541" s="13" t="str">
        <x:v>UI-071</x:v>
      </x:c>
      <x:c r="L541" s="13" t="str">
        <x:v>추출 후 기본 구조 검토; 원문 적용수준·전체 맥락 재확인 필요</x:v>
      </x:c>
      <x:c r="M541" s="13" t="str">
        <x:v>미확인</x:v>
      </x:c>
    </x:row>
    <x:row r="542" ht="37.5" customHeight="1">
      <x:c r="A542" s="14" t="str">
        <x:v>KRDS-SEC-072-U-02</x:v>
      </x:c>
      <x:c r="B542" s="14" t="str">
        <x:v>기본 패턴</x:v>
      </x:c>
      <x:c r="C542" s="14" t="str">
        <x:v>패턴</x:v>
      </x:c>
      <x:c r="D542" s="14" t="str">
        <x:v>필터링·정렬</x:v>
      </x:c>
      <x:c r="E542" s="14" t="str">
        <x:v>사용성 가이드라인</x:v>
      </x:c>
      <x:c r="F542" s="14" t="str">
        <x:v>02</x:v>
      </x:c>
      <x:c r="G542" s="14" t="n">
        <x:v>865</x:v>
      </x:c>
      <x:c r="H542" s="14" t="n">
        <x:v>865</x:v>
      </x:c>
      <x:c r="I542" s="14" t="str">
        <x:v>866</x:v>
      </x:c>
      <x:c r="J542" s="14" t="str">
        <x:v>선택된 필터링·정렬 옵션이 명확하게 구분되도록 표현한다.</x:v>
      </x:c>
      <x:c r="K542" s="14" t="str">
        <x:v>UI-071</x:v>
      </x:c>
      <x:c r="L542" s="14" t="str">
        <x:v>추출 후 기본 구조 검토; 원문 적용수준·전체 맥락 재확인 필요</x:v>
      </x:c>
      <x:c r="M542" s="14" t="str">
        <x:v>미확인</x:v>
      </x:c>
    </x:row>
    <x:row r="543" ht="37.5" customHeight="1">
      <x:c r="A543" s="13" t="str">
        <x:v>KRDS-SEC-072-U-03</x:v>
      </x:c>
      <x:c r="B543" s="13" t="str">
        <x:v>기본 패턴</x:v>
      </x:c>
      <x:c r="C543" s="13" t="str">
        <x:v>패턴</x:v>
      </x:c>
      <x:c r="D543" s="13" t="str">
        <x:v>필터링·정렬</x:v>
      </x:c>
      <x:c r="E543" s="13" t="str">
        <x:v>사용성 가이드라인</x:v>
      </x:c>
      <x:c r="F543" s="13" t="str">
        <x:v>03</x:v>
      </x:c>
      <x:c r="G543" s="13" t="n">
        <x:v>865</x:v>
      </x:c>
      <x:c r="H543" s="13" t="n">
        <x:v>865</x:v>
      </x:c>
      <x:c r="I543" s="13" t="str">
        <x:v>867</x:v>
      </x:c>
      <x:c r="J543" s="13" t="str">
        <x:v>조건이 적용되었음을 확인할 수 있는 명확한 시각적 단서를 제공한다.</x:v>
      </x:c>
      <x:c r="K543" s="13" t="str">
        <x:v>UI-071</x:v>
      </x:c>
      <x:c r="L543" s="13" t="str">
        <x:v>추출 후 기본 구조 검토; 원문 적용수준·전체 맥락 재확인 필요</x:v>
      </x:c>
      <x:c r="M543" s="13" t="str">
        <x:v>미확인</x:v>
      </x:c>
    </x:row>
    <x:row r="544" ht="37.5" customHeight="1">
      <x:c r="A544" s="14" t="str">
        <x:v>KRDS-SEC-072-U-04</x:v>
      </x:c>
      <x:c r="B544" s="14" t="str">
        <x:v>기본 패턴</x:v>
      </x:c>
      <x:c r="C544" s="14" t="str">
        <x:v>패턴</x:v>
      </x:c>
      <x:c r="D544" s="14" t="str">
        <x:v>필터링·정렬</x:v>
      </x:c>
      <x:c r="E544" s="14" t="str">
        <x:v>사용성 가이드라인</x:v>
      </x:c>
      <x:c r="F544" s="14" t="str">
        <x:v>04</x:v>
      </x:c>
      <x:c r="G544" s="14" t="n">
        <x:v>865</x:v>
      </x:c>
      <x:c r="H544" s="14" t="n">
        <x:v>865</x:v>
      </x:c>
      <x:c r="I544" s="14" t="str">
        <x:v>869</x:v>
      </x:c>
      <x:c r="J544" s="14" t="str">
        <x:v>모든 필터링·정렬 컨트롤에 레이블과 그룹 헤딩을 제공한다.</x:v>
      </x:c>
      <x:c r="K544" s="14" t="str">
        <x:v>UI-071</x:v>
      </x:c>
      <x:c r="L544" s="14" t="str">
        <x:v>추출 후 기본 구조 검토; 원문 적용수준·전체 맥락 재확인 필요</x:v>
      </x:c>
      <x:c r="M544" s="14" t="str">
        <x:v>미확인</x:v>
      </x:c>
    </x:row>
    <x:row r="545" ht="37.5" customHeight="1">
      <x:c r="A545" s="13" t="str">
        <x:v>KRDS-SEC-072-U-05</x:v>
      </x:c>
      <x:c r="B545" s="13" t="str">
        <x:v>기본 패턴</x:v>
      </x:c>
      <x:c r="C545" s="13" t="str">
        <x:v>패턴</x:v>
      </x:c>
      <x:c r="D545" s="13" t="str">
        <x:v>필터링·정렬</x:v>
      </x:c>
      <x:c r="E545" s="13" t="str">
        <x:v>사용성 가이드라인</x:v>
      </x:c>
      <x:c r="F545" s="13" t="str">
        <x:v>05</x:v>
      </x:c>
      <x:c r="G545" s="13" t="n">
        <x:v>865</x:v>
      </x:c>
      <x:c r="H545" s="13" t="n">
        <x:v>865</x:v>
      </x:c>
      <x:c r="I545" s="13" t="str">
        <x:v>869</x:v>
      </x:c>
      <x:c r="J545" s="13" t="str">
        <x:v>필터링·정렬 컨트롤 레이블은 이해가 쉽도록 간결하고 정확한 내용으로 제공한다.</x:v>
      </x:c>
      <x:c r="K545" s="13" t="str">
        <x:v>UI-071</x:v>
      </x:c>
      <x:c r="L545" s="13" t="str">
        <x:v>추출 후 기본 구조 검토; 원문 적용수준·전체 맥락 재확인 필요</x:v>
      </x:c>
      <x:c r="M545" s="13" t="str">
        <x:v>미확인</x:v>
      </x:c>
    </x:row>
    <x:row r="546" ht="37.5" customHeight="1">
      <x:c r="A546" s="14" t="str">
        <x:v>KRDS-SEC-072-U-06</x:v>
      </x:c>
      <x:c r="B546" s="14" t="str">
        <x:v>기본 패턴</x:v>
      </x:c>
      <x:c r="C546" s="14" t="str">
        <x:v>패턴</x:v>
      </x:c>
      <x:c r="D546" s="14" t="str">
        <x:v>필터링·정렬</x:v>
      </x:c>
      <x:c r="E546" s="14" t="str">
        <x:v>사용성 가이드라인</x:v>
      </x:c>
      <x:c r="F546" s="14" t="str">
        <x:v>06</x:v>
      </x:c>
      <x:c r="G546" s="14" t="n">
        <x:v>865</x:v>
      </x:c>
      <x:c r="H546" s="14" t="n">
        <x:v>865</x:v>
      </x:c>
      <x:c r="I546" s="14" t="str">
        <x:v>869</x:v>
      </x:c>
      <x:c r="J546" s="14" t="str">
        <x:v>필터링 컨트롤은 우선 순위에 따라 좌측 또는 상단부터 순차적으로 배치한다.</x:v>
      </x:c>
      <x:c r="K546" s="14" t="str">
        <x:v>UI-071</x:v>
      </x:c>
      <x:c r="L546" s="14" t="str">
        <x:v>추출 후 기본 구조 검토; 원문 적용수준·전체 맥락 재확인 필요</x:v>
      </x:c>
      <x:c r="M546" s="14" t="str">
        <x:v>미확인</x:v>
      </x:c>
    </x:row>
    <x:row r="547" ht="37.5" customHeight="1">
      <x:c r="A547" s="13" t="str">
        <x:v>KRDS-SEC-072-U-07</x:v>
      </x:c>
      <x:c r="B547" s="13" t="str">
        <x:v>기본 패턴</x:v>
      </x:c>
      <x:c r="C547" s="13" t="str">
        <x:v>패턴</x:v>
      </x:c>
      <x:c r="D547" s="13" t="str">
        <x:v>필터링·정렬</x:v>
      </x:c>
      <x:c r="E547" s="13" t="str">
        <x:v>사용성 가이드라인</x:v>
      </x:c>
      <x:c r="F547" s="13" t="str">
        <x:v>07</x:v>
      </x:c>
      <x:c r="G547" s="13" t="n">
        <x:v>865</x:v>
      </x:c>
      <x:c r="H547" s="13" t="n">
        <x:v>865</x:v>
      </x:c>
      <x:c r="I547" s="13" t="str">
        <x:v>870</x:v>
      </x:c>
      <x:c r="J547" s="13" t="str">
        <x:v>관련 있거나 유사한 필터링 컨트롤을 군집화하여 제공한다.</x:v>
      </x:c>
      <x:c r="K547" s="13" t="str">
        <x:v>UI-071</x:v>
      </x:c>
      <x:c r="L547" s="13" t="str">
        <x:v>추출 후 기본 구조 검토; 원문 적용수준·전체 맥락 재확인 필요</x:v>
      </x:c>
      <x:c r="M547" s="13" t="str">
        <x:v>미확인</x:v>
      </x:c>
    </x:row>
    <x:row r="548" ht="37.5" customHeight="1">
      <x:c r="A548" s="14" t="str">
        <x:v>KRDS-SEC-072-U-08</x:v>
      </x:c>
      <x:c r="B548" s="14" t="str">
        <x:v>기본 패턴</x:v>
      </x:c>
      <x:c r="C548" s="14" t="str">
        <x:v>패턴</x:v>
      </x:c>
      <x:c r="D548" s="14" t="str">
        <x:v>필터링·정렬</x:v>
      </x:c>
      <x:c r="E548" s="14" t="str">
        <x:v>사용성 가이드라인</x:v>
      </x:c>
      <x:c r="F548" s="14" t="str">
        <x:v>08</x:v>
      </x:c>
      <x:c r="G548" s="14" t="n">
        <x:v>865</x:v>
      </x:c>
      <x:c r="H548" s="14" t="n">
        <x:v>865</x:v>
      </x:c>
      <x:c r="I548" s="14" t="str">
        <x:v>871</x:v>
      </x:c>
      <x:c r="J548" s="14" t="str">
        <x:v>인라인 형식의 정렬을 사용할 때를 제외하고 정렬 컨트롤은 대상 목록 오른쪽 상단에 배치한다.</x:v>
      </x:c>
      <x:c r="K548" s="14" t="str">
        <x:v>UI-071</x:v>
      </x:c>
      <x:c r="L548" s="14" t="str">
        <x:v>추출 후 기본 구조 검토; 원문 적용수준·전체 맥락 재확인 필요</x:v>
      </x:c>
      <x:c r="M548" s="14" t="str">
        <x:v>미확인</x:v>
      </x:c>
    </x:row>
    <x:row r="549" ht="37.5" customHeight="1">
      <x:c r="A549" s="13" t="str">
        <x:v>KRDS-SEC-072-U-09</x:v>
      </x:c>
      <x:c r="B549" s="13" t="str">
        <x:v>기본 패턴</x:v>
      </x:c>
      <x:c r="C549" s="13" t="str">
        <x:v>패턴</x:v>
      </x:c>
      <x:c r="D549" s="13" t="str">
        <x:v>필터링·정렬</x:v>
      </x:c>
      <x:c r="E549" s="13" t="str">
        <x:v>사용성 가이드라인</x:v>
      </x:c>
      <x:c r="F549" s="13" t="str">
        <x:v>09</x:v>
      </x:c>
      <x:c r="G549" s="13" t="n">
        <x:v>865</x:v>
      </x:c>
      <x:c r="H549" s="13" t="n">
        <x:v>865</x:v>
      </x:c>
      <x:c r="I549" s="13" t="str">
        <x:v>871</x:v>
      </x:c>
      <x:c r="J549" s="13" t="str">
        <x:v>필터링 옵션으로 제공되는 메타 데이터가 색인화되고 검색 가능한지 확인한다.</x:v>
      </x:c>
      <x:c r="K549" s="13" t="str">
        <x:v>UI-071</x:v>
      </x:c>
      <x:c r="L549" s="13" t="str">
        <x:v>추출 후 기본 구조 검토; 원문 적용수준·전체 맥락 재확인 필요</x:v>
      </x:c>
      <x:c r="M549" s="13" t="str">
        <x:v>미확인</x:v>
      </x:c>
    </x:row>
    <x:row r="550" ht="37.5" customHeight="1">
      <x:c r="A550" s="14" t="str">
        <x:v>KRDS-SEC-072-U-10</x:v>
      </x:c>
      <x:c r="B550" s="14" t="str">
        <x:v>기본 패턴</x:v>
      </x:c>
      <x:c r="C550" s="14" t="str">
        <x:v>패턴</x:v>
      </x:c>
      <x:c r="D550" s="14" t="str">
        <x:v>필터링·정렬</x:v>
      </x:c>
      <x:c r="E550" s="14" t="str">
        <x:v>사용성 가이드라인</x:v>
      </x:c>
      <x:c r="F550" s="14" t="str">
        <x:v>10</x:v>
      </x:c>
      <x:c r="G550" s="14" t="n">
        <x:v>865</x:v>
      </x:c>
      <x:c r="H550" s="14" t="n">
        <x:v>865</x:v>
      </x:c>
      <x:c r="I550" s="14" t="str">
        <x:v>871</x:v>
      </x:c>
      <x:c r="J550" s="14" t="str">
        <x:v>데이터 집합의 특성과 사용자의 요구사항에 적합한 수준의 필터링·정렬 옵션을 제공한다.</x:v>
      </x:c>
      <x:c r="K550" s="14" t="str">
        <x:v>UI-071</x:v>
      </x:c>
      <x:c r="L550" s="14" t="str">
        <x:v>추출 후 기본 구조 검토; 원문 적용수준·전체 맥락 재확인 필요</x:v>
      </x:c>
      <x:c r="M550" s="14" t="str">
        <x:v>미확인</x:v>
      </x:c>
    </x:row>
    <x:row r="551" ht="37.5" customHeight="1">
      <x:c r="A551" s="13" t="str">
        <x:v>KRDS-SEC-072-U-11</x:v>
      </x:c>
      <x:c r="B551" s="13" t="str">
        <x:v>기본 패턴</x:v>
      </x:c>
      <x:c r="C551" s="13" t="str">
        <x:v>패턴</x:v>
      </x:c>
      <x:c r="D551" s="13" t="str">
        <x:v>필터링·정렬</x:v>
      </x:c>
      <x:c r="E551" s="13" t="str">
        <x:v>사용성 가이드라인</x:v>
      </x:c>
      <x:c r="F551" s="13" t="str">
        <x:v>11</x:v>
      </x:c>
      <x:c r="G551" s="13" t="n">
        <x:v>865</x:v>
      </x:c>
      <x:c r="H551" s="13" t="n">
        <x:v>865</x:v>
      </x:c>
      <x:c r="I551" s="13" t="str">
        <x:v>872</x:v>
      </x:c>
      <x:c r="J551" s="13" t="str">
        <x:v>날짜, 시간을 기준으로 한 필터링은 범위를 입력할 수 있도록 제공한다.</x:v>
      </x:c>
      <x:c r="K551" s="13" t="str">
        <x:v>UI-071</x:v>
      </x:c>
      <x:c r="L551" s="13" t="str">
        <x:v>추출 후 기본 구조 검토; 원문 적용수준·전체 맥락 재확인 필요</x:v>
      </x:c>
      <x:c r="M551" s="13" t="str">
        <x:v>미확인</x:v>
      </x:c>
    </x:row>
    <x:row r="552" ht="37.5" customHeight="1">
      <x:c r="A552" s="14" t="str">
        <x:v>KRDS-SEC-072-U-12</x:v>
      </x:c>
      <x:c r="B552" s="14" t="str">
        <x:v>기본 패턴</x:v>
      </x:c>
      <x:c r="C552" s="14" t="str">
        <x:v>패턴</x:v>
      </x:c>
      <x:c r="D552" s="14" t="str">
        <x:v>필터링·정렬</x:v>
      </x:c>
      <x:c r="E552" s="14" t="str">
        <x:v>사용성 가이드라인</x:v>
      </x:c>
      <x:c r="F552" s="14" t="str">
        <x:v>12</x:v>
      </x:c>
      <x:c r="G552" s="14" t="n">
        <x:v>865</x:v>
      </x:c>
      <x:c r="H552" s="14" t="n">
        <x:v>865</x:v>
      </x:c>
      <x:c r="I552" s="14" t="str">
        <x:v>874</x:v>
      </x:c>
      <x:c r="J552" s="14" t="str">
        <x:v>적용된 필터링·정렬 옵션을 한 번에 해제할 수 있는 기능을 제공한다.</x:v>
      </x:c>
      <x:c r="K552" s="14" t="str">
        <x:v>UI-071</x:v>
      </x:c>
      <x:c r="L552" s="14" t="str">
        <x:v>추출 후 기본 구조 검토; 원문 적용수준·전체 맥락 재확인 필요</x:v>
      </x:c>
      <x:c r="M552" s="14" t="str">
        <x:v>미확인</x:v>
      </x:c>
    </x:row>
    <x:row r="553" ht="37.5" customHeight="1">
      <x:c r="A553" s="13" t="str">
        <x:v>KRDS-SEC-072-P-01</x:v>
      </x:c>
      <x:c r="B553" s="13" t="str">
        <x:v>기본 패턴</x:v>
      </x:c>
      <x:c r="C553" s="13" t="str">
        <x:v>패턴</x:v>
      </x:c>
      <x:c r="D553" s="13" t="str">
        <x:v>필터링·정렬</x:v>
      </x:c>
      <x:c r="E553" s="13" t="str">
        <x:v>플랫폼에 대한 고려 사항</x:v>
      </x:c>
      <x:c r="F553" s="13" t="str">
        <x:v>01</x:v>
      </x:c>
      <x:c r="G553" s="13" t="n">
        <x:v>875</x:v>
      </x:c>
      <x:c r="H553" s="13" t="n">
        <x:v>875</x:v>
      </x:c>
      <x:c r="I553" s="13" t="str"/>
      <x:c r="J553" s="13" t="str">
        <x:v>모든 필터링·정렬 컨트롤을 표시하기에 화면 너비가 충분하지 않은 경우, 필터링 및 정렬 컨트롤 버튼을 축약하여 제공한다.</x:v>
      </x:c>
      <x:c r="K553" s="13" t="str">
        <x:v>UI-071</x:v>
      </x:c>
      <x:c r="L553" s="13" t="str">
        <x:v>추출 후 기본 구조 검토; 원문 적용수준·전체 맥락 재확인 필요</x:v>
      </x:c>
      <x:c r="M553" s="13" t="str">
        <x:v>미확인</x:v>
      </x:c>
    </x:row>
    <x:row r="554" ht="37.5" customHeight="1">
      <x:c r="A554" s="14" t="str">
        <x:v>KRDS-SEC-072-A-01</x:v>
      </x:c>
      <x:c r="B554" s="14" t="str">
        <x:v>기본 패턴</x:v>
      </x:c>
      <x:c r="C554" s="14" t="str">
        <x:v>패턴</x:v>
      </x:c>
      <x:c r="D554" s="14" t="str">
        <x:v>필터링·정렬</x:v>
      </x:c>
      <x:c r="E554" s="14" t="str">
        <x:v>접근성 가이드라인</x:v>
      </x:c>
      <x:c r="F554" s="14" t="str">
        <x:v>01</x:v>
      </x:c>
      <x:c r="G554" s="14" t="n">
        <x:v>876</x:v>
      </x:c>
      <x:c r="H554" s="14" t="n">
        <x:v>876</x:v>
      </x:c>
      <x:c r="I554" s="14" t="str"/>
      <x:c r="J554" s="14" t="str">
        <x:v>조건이 적용되었음을 확인할 수 있는 명확한 프로그램적 단서를 제공한다.</x:v>
      </x:c>
      <x:c r="K554" s="14" t="str">
        <x:v>UI-071</x:v>
      </x:c>
      <x:c r="L554" s="14" t="str">
        <x:v>추출 후 기본 구조 검토; 원문 적용수준·전체 맥락 재확인 필요</x:v>
      </x:c>
      <x:c r="M554" s="14" t="str">
        <x:v>미확인</x:v>
      </x:c>
    </x:row>
    <x:row r="555" ht="37.5" customHeight="1">
      <x:c r="A555" s="13" t="str">
        <x:v>KRDS-SEC-072-A-02</x:v>
      </x:c>
      <x:c r="B555" s="13" t="str">
        <x:v>기본 패턴</x:v>
      </x:c>
      <x:c r="C555" s="13" t="str">
        <x:v>패턴</x:v>
      </x:c>
      <x:c r="D555" s="13" t="str">
        <x:v>필터링·정렬</x:v>
      </x:c>
      <x:c r="E555" s="13" t="str">
        <x:v>접근성 가이드라인</x:v>
      </x:c>
      <x:c r="F555" s="13" t="str">
        <x:v>02</x:v>
      </x:c>
      <x:c r="G555" s="13" t="n">
        <x:v>876</x:v>
      </x:c>
      <x:c r="H555" s="13" t="n">
        <x:v>876</x:v>
      </x:c>
      <x:c r="I555" s="13" t="str"/>
      <x:c r="J555" s="13" t="str">
        <x:v>정보 조회가 완료된 이후 키보드 초점이 적절한 요소에 유지되도록 한다.</x:v>
      </x:c>
      <x:c r="K555" s="13" t="str">
        <x:v>UI-071</x:v>
      </x:c>
      <x:c r="L555" s="13" t="str">
        <x:v>추출 후 기본 구조 검토; 원문 적용수준·전체 맥락 재확인 필요</x:v>
      </x:c>
      <x:c r="M555" s="13" t="str">
        <x:v>미확인</x:v>
      </x:c>
    </x:row>
    <x:row r="556" ht="37.5" customHeight="1">
      <x:c r="A556" s="14" t="str">
        <x:v>KRDS-SEC-073-U-01</x:v>
      </x:c>
      <x:c r="B556" s="14" t="str">
        <x:v>기본 패턴</x:v>
      </x:c>
      <x:c r="C556" s="14" t="str">
        <x:v>패턴</x:v>
      </x:c>
      <x:c r="D556" s="14" t="str">
        <x:v>확인</x:v>
      </x:c>
      <x:c r="E556" s="14" t="str">
        <x:v>사용성 가이드라인</x:v>
      </x:c>
      <x:c r="F556" s="14" t="str">
        <x:v>01</x:v>
      </x:c>
      <x:c r="G556" s="14" t="n">
        <x:v>879</x:v>
      </x:c>
      <x:c r="H556" s="14" t="n">
        <x:v>879</x:v>
      </x:c>
      <x:c r="I556" s="14" t="str">
        <x:v>880</x:v>
      </x:c>
      <x:c r="J556" s="14" t="str">
        <x:v>심각하거나 취소가 어려운 행동에 확인을 요청한다.</x:v>
      </x:c>
      <x:c r="K556" s="14" t="str">
        <x:v>UI-072</x:v>
      </x:c>
      <x:c r="L556" s="14" t="str">
        <x:v>추출 후 기본 구조 검토; 원문 적용수준·전체 맥락 재확인 필요</x:v>
      </x:c>
      <x:c r="M556" s="14" t="str">
        <x:v>미확인</x:v>
      </x:c>
    </x:row>
    <x:row r="557" ht="37.5" customHeight="1">
      <x:c r="A557" s="13" t="str">
        <x:v>KRDS-SEC-073-U-02</x:v>
      </x:c>
      <x:c r="B557" s="13" t="str">
        <x:v>기본 패턴</x:v>
      </x:c>
      <x:c r="C557" s="13" t="str">
        <x:v>패턴</x:v>
      </x:c>
      <x:c r="D557" s="13" t="str">
        <x:v>확인</x:v>
      </x:c>
      <x:c r="E557" s="13" t="str">
        <x:v>사용성 가이드라인</x:v>
      </x:c>
      <x:c r="F557" s="13" t="str">
        <x:v>02</x:v>
      </x:c>
      <x:c r="G557" s="13" t="n">
        <x:v>879</x:v>
      </x:c>
      <x:c r="H557" s="13" t="n">
        <x:v>879</x:v>
      </x:c>
      <x:c r="I557" s="13" t="str">
        <x:v>880</x:v>
      </x:c>
      <x:c r="J557" s="13" t="str">
        <x:v>상황에 대한 명확하고 간결한 설명을 제공한다.</x:v>
      </x:c>
      <x:c r="K557" s="13" t="str">
        <x:v>UI-072</x:v>
      </x:c>
      <x:c r="L557" s="13" t="str">
        <x:v>추출 후 기본 구조 검토; 원문 적용수준·전체 맥락 재확인 필요</x:v>
      </x:c>
      <x:c r="M557" s="13" t="str">
        <x:v>미확인</x:v>
      </x:c>
    </x:row>
    <x:row r="558" ht="37.5" customHeight="1">
      <x:c r="A558" s="14" t="str">
        <x:v>KRDS-SEC-073-U-03</x:v>
      </x:c>
      <x:c r="B558" s="14" t="str">
        <x:v>기본 패턴</x:v>
      </x:c>
      <x:c r="C558" s="14" t="str">
        <x:v>패턴</x:v>
      </x:c>
      <x:c r="D558" s="14" t="str">
        <x:v>확인</x:v>
      </x:c>
      <x:c r="E558" s="14" t="str">
        <x:v>사용성 가이드라인</x:v>
      </x:c>
      <x:c r="F558" s="14" t="str">
        <x:v>03</x:v>
      </x:c>
      <x:c r="G558" s="14" t="n">
        <x:v>879</x:v>
      </x:c>
      <x:c r="H558" s="14" t="n">
        <x:v>879</x:v>
      </x:c>
      <x:c r="I558" s="14" t="str">
        <x:v>881</x:v>
      </x:c>
      <x:c r="J558" s="14" t="str">
        <x:v>행동을 확정, 취소할 수 있는 버튼을 모두 제공한다.</x:v>
      </x:c>
      <x:c r="K558" s="14" t="str">
        <x:v>UI-072</x:v>
      </x:c>
      <x:c r="L558" s="14" t="str">
        <x:v>추출 후 기본 구조 검토; 원문 적용수준·전체 맥락 재확인 필요</x:v>
      </x:c>
      <x:c r="M558" s="14" t="str">
        <x:v>미확인</x:v>
      </x:c>
    </x:row>
    <x:row r="559" ht="37.5" customHeight="1">
      <x:c r="A559" s="13" t="str">
        <x:v>KRDS-SEC-073-U-04</x:v>
      </x:c>
      <x:c r="B559" s="13" t="str">
        <x:v>기본 패턴</x:v>
      </x:c>
      <x:c r="C559" s="13" t="str">
        <x:v>패턴</x:v>
      </x:c>
      <x:c r="D559" s="13" t="str">
        <x:v>확인</x:v>
      </x:c>
      <x:c r="E559" s="13" t="str">
        <x:v>사용성 가이드라인</x:v>
      </x:c>
      <x:c r="F559" s="13" t="str">
        <x:v>04</x:v>
      </x:c>
      <x:c r="G559" s="13" t="n">
        <x:v>879</x:v>
      </x:c>
      <x:c r="H559" s="13" t="n">
        <x:v>879</x:v>
      </x:c>
      <x:c r="I559" s="13" t="str">
        <x:v>881</x:v>
      </x:c>
      <x:c r="J559" s="13" t="str">
        <x:v>버튼의 레이블에 행동을 구체적으로 설명한다.</x:v>
      </x:c>
      <x:c r="K559" s="13" t="str">
        <x:v>UI-072</x:v>
      </x:c>
      <x:c r="L559" s="13" t="str">
        <x:v>추출 후 기본 구조 검토; 원문 적용수준·전체 맥락 재확인 필요</x:v>
      </x:c>
      <x:c r="M559" s="13" t="str">
        <x:v>미확인</x:v>
      </x:c>
    </x:row>
    <x:row r="560" ht="37.5" customHeight="1">
      <x:c r="A560" s="14" t="str">
        <x:v>KRDS-SEC-075-U-01</x:v>
      </x:c>
      <x:c r="B560" s="14" t="str">
        <x:v>서비스 패턴</x:v>
      </x:c>
      <x:c r="C560" s="14" t="str">
        <x:v>방문</x:v>
      </x:c>
      <x:c r="D560" s="14" t="str">
        <x:v>방문</x:v>
      </x:c>
      <x:c r="E560" s="14" t="str">
        <x:v>사용성 가이드라인</x:v>
      </x:c>
      <x:c r="F560" s="14" t="str">
        <x:v>01</x:v>
      </x:c>
      <x:c r="G560" s="14" t="n">
        <x:v>888</x:v>
      </x:c>
      <x:c r="H560" s="14" t="n">
        <x:v>888</x:v>
      </x:c>
      <x:c r="I560" s="14" t="str">
        <x:v>889</x:v>
      </x:c>
      <x:c r="J560" s="14" t="str">
        <x:v>다양한 콘텐츠의 구성 요소를 일관성 있게 구성한다.</x:v>
      </x:c>
      <x:c r="K560" s="14" t="str">
        <x:v>UI-073</x:v>
      </x:c>
      <x:c r="L560" s="14" t="str">
        <x:v>추출 후 기본 구조 검토; 원문 적용수준·전체 맥락 재확인 필요</x:v>
      </x:c>
      <x:c r="M560" s="14" t="str">
        <x:v>미확인</x:v>
      </x:c>
    </x:row>
    <x:row r="561" ht="37.5" customHeight="1">
      <x:c r="A561" s="13" t="str">
        <x:v>KRDS-SEC-075-U-02</x:v>
      </x:c>
      <x:c r="B561" s="13" t="str">
        <x:v>서비스 패턴</x:v>
      </x:c>
      <x:c r="C561" s="13" t="str">
        <x:v>방문</x:v>
      </x:c>
      <x:c r="D561" s="13" t="str">
        <x:v>방문</x:v>
      </x:c>
      <x:c r="E561" s="13" t="str">
        <x:v>사용성 가이드라인</x:v>
      </x:c>
      <x:c r="F561" s="13" t="str">
        <x:v>02</x:v>
      </x:c>
      <x:c r="G561" s="13" t="n">
        <x:v>888</x:v>
      </x:c>
      <x:c r="H561" s="13" t="n">
        <x:v>888</x:v>
      </x:c>
      <x:c r="I561" s="13" t="str">
        <x:v>890</x:v>
      </x:c>
      <x:c r="J561" s="13" t="str">
        <x:v>시급하거나 중요한 정보를 사용자가 빠르게 인지할 수 있도록 제공한다.</x:v>
      </x:c>
      <x:c r="K561" s="13" t="str">
        <x:v>UI-073</x:v>
      </x:c>
      <x:c r="L561" s="13" t="str">
        <x:v>추출 후 기본 구조 검토; 원문 적용수준·전체 맥락 재확인 필요</x:v>
      </x:c>
      <x:c r="M561" s="13" t="str">
        <x:v>미확인</x:v>
      </x:c>
    </x:row>
    <x:row r="562" ht="37.5" customHeight="1">
      <x:c r="A562" s="14" t="str">
        <x:v>KRDS-SEC-075-U-03</x:v>
      </x:c>
      <x:c r="B562" s="14" t="str">
        <x:v>서비스 패턴</x:v>
      </x:c>
      <x:c r="C562" s="14" t="str">
        <x:v>방문</x:v>
      </x:c>
      <x:c r="D562" s="14" t="str">
        <x:v>방문</x:v>
      </x:c>
      <x:c r="E562" s="14" t="str">
        <x:v>사용성 가이드라인</x:v>
      </x:c>
      <x:c r="F562" s="14" t="str">
        <x:v>03</x:v>
      </x:c>
      <x:c r="G562" s="14" t="n">
        <x:v>888</x:v>
      </x:c>
      <x:c r="H562" s="14" t="n">
        <x:v>888</x:v>
      </x:c>
      <x:c r="I562" s="14" t="str">
        <x:v>891</x:v>
      </x:c>
      <x:c r="J562" s="14" t="str">
        <x:v>사용자 데이터를 기반으로 한 우선순위에 따라 콘텐츠를 배치한다.</x:v>
      </x:c>
      <x:c r="K562" s="14" t="str">
        <x:v>UI-073</x:v>
      </x:c>
      <x:c r="L562" s="14" t="str">
        <x:v>추출 후 기본 구조 검토; 원문 적용수준·전체 맥락 재확인 필요</x:v>
      </x:c>
      <x:c r="M562" s="14" t="str">
        <x:v>미확인</x:v>
      </x:c>
    </x:row>
    <x:row r="563" ht="37.5" customHeight="1">
      <x:c r="A563" s="13" t="str">
        <x:v>KRDS-SEC-075-U-04</x:v>
      </x:c>
      <x:c r="B563" s="13" t="str">
        <x:v>서비스 패턴</x:v>
      </x:c>
      <x:c r="C563" s="13" t="str">
        <x:v>방문</x:v>
      </x:c>
      <x:c r="D563" s="13" t="str">
        <x:v>방문</x:v>
      </x:c>
      <x:c r="E563" s="13" t="str">
        <x:v>사용성 가이드라인</x:v>
      </x:c>
      <x:c r="F563" s="13" t="str">
        <x:v>04</x:v>
      </x:c>
      <x:c r="G563" s="13" t="n">
        <x:v>888</x:v>
      </x:c>
      <x:c r="H563" s="13" t="n">
        <x:v>888</x:v>
      </x:c>
      <x:c r="I563" s="13" t="str">
        <x:v>892</x:v>
      </x:c>
      <x:c r="J563" s="13" t="str">
        <x:v>사용자 관점에서 같은 목적의 콘텐츠들은 섹션으로 모아서 구성한다.</x:v>
      </x:c>
      <x:c r="K563" s="13" t="str">
        <x:v>UI-073</x:v>
      </x:c>
      <x:c r="L563" s="13" t="str">
        <x:v>추출 후 기본 구조 검토; 원문 적용수준·전체 맥락 재확인 필요</x:v>
      </x:c>
      <x:c r="M563" s="13" t="str">
        <x:v>미확인</x:v>
      </x:c>
    </x:row>
    <x:row r="564" ht="37.5" customHeight="1">
      <x:c r="A564" s="14" t="str">
        <x:v>KRDS-SEC-075-U-05</x:v>
      </x:c>
      <x:c r="B564" s="14" t="str">
        <x:v>서비스 패턴</x:v>
      </x:c>
      <x:c r="C564" s="14" t="str">
        <x:v>방문</x:v>
      </x:c>
      <x:c r="D564" s="14" t="str">
        <x:v>방문</x:v>
      </x:c>
      <x:c r="E564" s="14" t="str">
        <x:v>사용성 가이드라인</x:v>
      </x:c>
      <x:c r="F564" s="14" t="str">
        <x:v>05</x:v>
      </x:c>
      <x:c r="G564" s="14" t="n">
        <x:v>888</x:v>
      </x:c>
      <x:c r="H564" s="14" t="n">
        <x:v>888</x:v>
      </x:c>
      <x:c r="I564" s="14" t="str">
        <x:v>893</x:v>
      </x:c>
      <x:c r="J564" s="14" t="str">
        <x:v>방문 목적 및 사용자 유형별로 핵심적인 정보와 서비스를 탐색할 수 있는 영역을 구성한다.</x:v>
      </x:c>
      <x:c r="K564" s="14" t="str">
        <x:v>UI-073</x:v>
      </x:c>
      <x:c r="L564" s="14" t="str">
        <x:v>추출 후 기본 구조 검토; 원문 적용수준·전체 맥락 재확인 필요</x:v>
      </x:c>
      <x:c r="M564" s="14" t="str">
        <x:v>미확인</x:v>
      </x:c>
    </x:row>
    <x:row r="565" ht="37.5" customHeight="1">
      <x:c r="A565" s="13" t="str">
        <x:v>KRDS-SEC-075-U-06</x:v>
      </x:c>
      <x:c r="B565" s="13" t="str">
        <x:v>서비스 패턴</x:v>
      </x:c>
      <x:c r="C565" s="13" t="str">
        <x:v>방문</x:v>
      </x:c>
      <x:c r="D565" s="13" t="str">
        <x:v>방문</x:v>
      </x:c>
      <x:c r="E565" s="13" t="str">
        <x:v>사용성 가이드라인</x:v>
      </x:c>
      <x:c r="F565" s="13" t="str">
        <x:v>06</x:v>
      </x:c>
      <x:c r="G565" s="13" t="n">
        <x:v>888</x:v>
      </x:c>
      <x:c r="H565" s="13" t="n">
        <x:v>888</x:v>
      </x:c>
      <x:c r="I565" s="13" t="str">
        <x:v>894</x:v>
      </x:c>
      <x:c r="J565" s="13" t="str">
        <x:v>로그인 기반의 개인화된 바로가기 영역을 배치한다.</x:v>
      </x:c>
      <x:c r="K565" s="13" t="str">
        <x:v>UI-073</x:v>
      </x:c>
      <x:c r="L565" s="13" t="str">
        <x:v>추출 후 기본 구조 검토; 원문 적용수준·전체 맥락 재확인 필요</x:v>
      </x:c>
      <x:c r="M565" s="13" t="str">
        <x:v>미확인</x:v>
      </x:c>
    </x:row>
    <x:row r="566" ht="37.5" customHeight="1">
      <x:c r="A566" s="14" t="str">
        <x:v>KRDS-SEC-075-U-07</x:v>
      </x:c>
      <x:c r="B566" s="14" t="str">
        <x:v>서비스 패턴</x:v>
      </x:c>
      <x:c r="C566" s="14" t="str">
        <x:v>방문</x:v>
      </x:c>
      <x:c r="D566" s="14" t="str">
        <x:v>방문</x:v>
      </x:c>
      <x:c r="E566" s="14" t="str">
        <x:v>사용성 가이드라인</x:v>
      </x:c>
      <x:c r="F566" s="14" t="str">
        <x:v>07</x:v>
      </x:c>
      <x:c r="G566" s="14" t="n">
        <x:v>888</x:v>
      </x:c>
      <x:c r="H566" s="14" t="n">
        <x:v>888</x:v>
      </x:c>
      <x:c r="I566" s="14" t="str">
        <x:v>895</x:v>
      </x:c>
      <x:c r="J566" s="14" t="str">
        <x:v>사용자가 정보를 빠르게 구분하고 정확하게 이동할 수 있는 방법을 제시한다.</x:v>
      </x:c>
      <x:c r="K566" s="14" t="str">
        <x:v>UI-073</x:v>
      </x:c>
      <x:c r="L566" s="14" t="str">
        <x:v>추출 후 기본 구조 검토; 원문 적용수준·전체 맥락 재확인 필요</x:v>
      </x:c>
      <x:c r="M566" s="14" t="str">
        <x:v>미확인</x:v>
      </x:c>
    </x:row>
    <x:row r="567" ht="37.5" customHeight="1">
      <x:c r="A567" s="13" t="str">
        <x:v>KRDS-SEC-075-U-08</x:v>
      </x:c>
      <x:c r="B567" s="13" t="str">
        <x:v>서비스 패턴</x:v>
      </x:c>
      <x:c r="C567" s="13" t="str">
        <x:v>방문</x:v>
      </x:c>
      <x:c r="D567" s="13" t="str">
        <x:v>방문</x:v>
      </x:c>
      <x:c r="E567" s="13" t="str">
        <x:v>사용성 가이드라인</x:v>
      </x:c>
      <x:c r="F567" s="13" t="str">
        <x:v>08</x:v>
      </x:c>
      <x:c r="G567" s="13" t="n">
        <x:v>888</x:v>
      </x:c>
      <x:c r="H567" s="13" t="n">
        <x:v>888</x:v>
      </x:c>
      <x:c r="I567" s="13" t="str">
        <x:v>896</x:v>
      </x:c>
      <x:c r="J567" s="13" t="str">
        <x:v>최신의 정확한 정보를 제공한다.</x:v>
      </x:c>
      <x:c r="K567" s="13" t="str">
        <x:v>UI-073</x:v>
      </x:c>
      <x:c r="L567" s="13" t="str">
        <x:v>추출 후 기본 구조 검토; 원문 적용수준·전체 맥락 재확인 필요</x:v>
      </x:c>
      <x:c r="M567" s="13" t="str">
        <x:v>미확인</x:v>
      </x:c>
    </x:row>
    <x:row r="568" ht="37.5" customHeight="1">
      <x:c r="A568" s="14" t="str">
        <x:v>KRDS-SEC-075-U-09</x:v>
      </x:c>
      <x:c r="B568" s="14" t="str">
        <x:v>서비스 패턴</x:v>
      </x:c>
      <x:c r="C568" s="14" t="str">
        <x:v>방문</x:v>
      </x:c>
      <x:c r="D568" s="14" t="str">
        <x:v>방문</x:v>
      </x:c>
      <x:c r="E568" s="14" t="str">
        <x:v>사용성 가이드라인</x:v>
      </x:c>
      <x:c r="F568" s="14" t="str">
        <x:v>09</x:v>
      </x:c>
      <x:c r="G568" s="14" t="n">
        <x:v>888</x:v>
      </x:c>
      <x:c r="H568" s="14" t="n">
        <x:v>888</x:v>
      </x:c>
      <x:c r="I568" s="14" t="str">
        <x:v>896</x:v>
      </x:c>
      <x:c r="J568" s="14" t="str">
        <x:v>콘텐츠 및 서비스 명칭은 친숙하고 일관성이 있어야 한다.</x:v>
      </x:c>
      <x:c r="K568" s="14" t="str">
        <x:v>UI-073</x:v>
      </x:c>
      <x:c r="L568" s="14" t="str">
        <x:v>추출 후 기본 구조 검토; 원문 적용수준·전체 맥락 재확인 필요</x:v>
      </x:c>
      <x:c r="M568" s="14" t="str">
        <x:v>미확인</x:v>
      </x:c>
    </x:row>
    <x:row r="569" ht="37.5" customHeight="1">
      <x:c r="A569" s="13" t="str">
        <x:v>KRDS-SEC-077-U-01</x:v>
      </x:c>
      <x:c r="B569" s="13" t="str">
        <x:v>서비스 패턴</x:v>
      </x:c>
      <x:c r="C569" s="13" t="str">
        <x:v>검색</x:v>
      </x:c>
      <x:c r="D569" s="13" t="str">
        <x:v>검색 기능 찾기</x:v>
      </x:c>
      <x:c r="E569" s="13" t="str">
        <x:v>사용성 가이드라인</x:v>
      </x:c>
      <x:c r="F569" s="13" t="str">
        <x:v>01</x:v>
      </x:c>
      <x:c r="G569" s="13" t="n">
        <x:v>905</x:v>
      </x:c>
      <x:c r="H569" s="13" t="n">
        <x:v>905</x:v>
      </x:c>
      <x:c r="I569" s="13" t="str">
        <x:v>906</x:v>
      </x:c>
      <x:c r="J569" s="13" t="str">
        <x:v>서비스 내 모든 화면에서 통합 검색 기능을 실행할 수 있도록 한다.</x:v>
      </x:c>
      <x:c r="K569" s="13" t="str">
        <x:v>UI-074</x:v>
      </x:c>
      <x:c r="L569" s="13" t="str">
        <x:v>추출 후 기본 구조 검토; 원문 적용수준·전체 맥락 재확인 필요</x:v>
      </x:c>
      <x:c r="M569" s="13" t="str">
        <x:v>미확인</x:v>
      </x:c>
    </x:row>
    <x:row r="570" ht="37.5" customHeight="1">
      <x:c r="A570" s="14" t="str">
        <x:v>KRDS-SEC-077-U-02</x:v>
      </x:c>
      <x:c r="B570" s="14" t="str">
        <x:v>서비스 패턴</x:v>
      </x:c>
      <x:c r="C570" s="14" t="str">
        <x:v>검색</x:v>
      </x:c>
      <x:c r="D570" s="14" t="str">
        <x:v>검색 기능 찾기</x:v>
      </x:c>
      <x:c r="E570" s="14" t="str">
        <x:v>사용성 가이드라인</x:v>
      </x:c>
      <x:c r="F570" s="14" t="str">
        <x:v>02</x:v>
      </x:c>
      <x:c r="G570" s="14" t="n">
        <x:v>905</x:v>
      </x:c>
      <x:c r="H570" s="14" t="n">
        <x:v>905</x:v>
      </x:c>
      <x:c r="I570" s="14" t="str">
        <x:v>907</x:v>
      </x:c>
      <x:c r="J570" s="14" t="str">
        <x:v>통합 검색 기능 실행 버튼은 모든 화면에서 헤더 우측에 일관성 있게 배치한다.</x:v>
      </x:c>
      <x:c r="K570" s="14" t="str">
        <x:v>UI-074</x:v>
      </x:c>
      <x:c r="L570" s="14" t="str">
        <x:v>추출 후 기본 구조 검토; 원문 적용수준·전체 맥락 재확인 필요</x:v>
      </x:c>
      <x:c r="M570" s="14" t="str">
        <x:v>미확인</x:v>
      </x:c>
    </x:row>
    <x:row r="571" ht="37.5" customHeight="1">
      <x:c r="A571" s="13" t="str">
        <x:v>KRDS-SEC-077-U-03</x:v>
      </x:c>
      <x:c r="B571" s="13" t="str">
        <x:v>서비스 패턴</x:v>
      </x:c>
      <x:c r="C571" s="13" t="str">
        <x:v>검색</x:v>
      </x:c>
      <x:c r="D571" s="13" t="str">
        <x:v>검색 기능 찾기</x:v>
      </x:c>
      <x:c r="E571" s="13" t="str">
        <x:v>사용성 가이드라인</x:v>
      </x:c>
      <x:c r="F571" s="13" t="str">
        <x:v>03</x:v>
      </x:c>
      <x:c r="G571" s="13" t="n">
        <x:v>905</x:v>
      </x:c>
      <x:c r="H571" s="13" t="n">
        <x:v>905</x:v>
      </x:c>
      <x:c r="I571" s="13" t="str">
        <x:v>908</x:v>
      </x:c>
      <x:c r="J571" s="13" t="str">
        <x:v>통합 검색 기능은 검색어 입력 필드와 돋보기 버튼의 조합 또는 돋보기 버튼 형태로 사용한다.</x:v>
      </x:c>
      <x:c r="K571" s="13" t="str">
        <x:v>UI-074</x:v>
      </x:c>
      <x:c r="L571" s="13" t="str">
        <x:v>추출 후 기본 구조 검토; 원문 적용수준·전체 맥락 재확인 필요</x:v>
      </x:c>
      <x:c r="M571" s="13" t="str">
        <x:v>미확인</x:v>
      </x:c>
    </x:row>
    <x:row r="572" ht="37.5" customHeight="1">
      <x:c r="A572" s="14" t="str">
        <x:v>KRDS-SEC-077-U-04</x:v>
      </x:c>
      <x:c r="B572" s="14" t="str">
        <x:v>서비스 패턴</x:v>
      </x:c>
      <x:c r="C572" s="14" t="str">
        <x:v>검색</x:v>
      </x:c>
      <x:c r="D572" s="14" t="str">
        <x:v>검색 기능 찾기</x:v>
      </x:c>
      <x:c r="E572" s="14" t="str">
        <x:v>사용성 가이드라인</x:v>
      </x:c>
      <x:c r="F572" s="14" t="str">
        <x:v>04</x:v>
      </x:c>
      <x:c r="G572" s="14" t="n">
        <x:v>905</x:v>
      </x:c>
      <x:c r="H572" s="14" t="n">
        <x:v>905</x:v>
      </x:c>
      <x:c r="I572" s="14" t="str">
        <x:v>909</x:v>
      </x:c>
      <x:c r="J572" s="14" t="str">
        <x:v>부분 검색 기능은 콘텐츠 목록의 수준과 맥락을 고려하여 사용자가 예측할 수 있는 영역에 배치한다.</x:v>
      </x:c>
      <x:c r="K572" s="14" t="str">
        <x:v>UI-074</x:v>
      </x:c>
      <x:c r="L572" s="14" t="str">
        <x:v>추출 후 기본 구조 검토; 원문 적용수준·전체 맥락 재확인 필요</x:v>
      </x:c>
      <x:c r="M572" s="14" t="str">
        <x:v>미확인</x:v>
      </x:c>
    </x:row>
    <x:row r="573" ht="37.5" customHeight="1">
      <x:c r="A573" s="13" t="str">
        <x:v>KRDS-SEC-077-U-05</x:v>
      </x:c>
      <x:c r="B573" s="13" t="str">
        <x:v>서비스 패턴</x:v>
      </x:c>
      <x:c r="C573" s="13" t="str">
        <x:v>검색</x:v>
      </x:c>
      <x:c r="D573" s="13" t="str">
        <x:v>검색 기능 찾기</x:v>
      </x:c>
      <x:c r="E573" s="13" t="str">
        <x:v>사용성 가이드라인</x:v>
      </x:c>
      <x:c r="F573" s="13" t="str">
        <x:v>05</x:v>
      </x:c>
      <x:c r="G573" s="13" t="n">
        <x:v>905</x:v>
      </x:c>
      <x:c r="H573" s="13" t="n">
        <x:v>905</x:v>
      </x:c>
      <x:c r="I573" s="13" t="str">
        <x:v>910</x:v>
      </x:c>
      <x:c r="J573" s="13" t="str">
        <x:v>검색 기능 주변에 불필요한 요소의 배치를 최소화한다.</x:v>
      </x:c>
      <x:c r="K573" s="13" t="str">
        <x:v>UI-074</x:v>
      </x:c>
      <x:c r="L573" s="13" t="str">
        <x:v>추출 후 기본 구조 검토; 원문 적용수준·전체 맥락 재확인 필요</x:v>
      </x:c>
      <x:c r="M573" s="13" t="str">
        <x:v>미확인</x:v>
      </x:c>
    </x:row>
    <x:row r="574" ht="37.5" customHeight="1">
      <x:c r="A574" s="14" t="str">
        <x:v>KRDS-SEC-077-A-01</x:v>
      </x:c>
      <x:c r="B574" s="14" t="str">
        <x:v>서비스 패턴</x:v>
      </x:c>
      <x:c r="C574" s="14" t="str">
        <x:v>검색</x:v>
      </x:c>
      <x:c r="D574" s="14" t="str">
        <x:v>검색 기능 찾기</x:v>
      </x:c>
      <x:c r="E574" s="14" t="str">
        <x:v>접근성 가이드라인</x:v>
      </x:c>
      <x:c r="F574" s="14" t="str">
        <x:v>01</x:v>
      </x:c>
      <x:c r="G574" s="14" t="n">
        <x:v>911</x:v>
      </x:c>
      <x:c r="H574" s="14" t="n">
        <x:v>911</x:v>
      </x:c>
      <x:c r="I574" s="14" t="str"/>
      <x:c r="J574" s="14" t="str">
        <x:v>돋보기 아이콘은 키보드 및 스크린 리더로 접근 및 조작할 수 있도록 한다.</x:v>
      </x:c>
      <x:c r="K574" s="14" t="str">
        <x:v>UI-074</x:v>
      </x:c>
      <x:c r="L574" s="14" t="str">
        <x:v>추출 후 기본 구조 검토; 원문 적용수준·전체 맥락 재확인 필요</x:v>
      </x:c>
      <x:c r="M574" s="14" t="str">
        <x:v>미확인</x:v>
      </x:c>
    </x:row>
    <x:row r="575" ht="37.5" customHeight="1">
      <x:c r="A575" s="13" t="str">
        <x:v>KRDS-SEC-077-A-02</x:v>
      </x:c>
      <x:c r="B575" s="13" t="str">
        <x:v>서비스 패턴</x:v>
      </x:c>
      <x:c r="C575" s="13" t="str">
        <x:v>검색</x:v>
      </x:c>
      <x:c r="D575" s="13" t="str">
        <x:v>검색 기능 찾기</x:v>
      </x:c>
      <x:c r="E575" s="13" t="str">
        <x:v>접근성 가이드라인</x:v>
      </x:c>
      <x:c r="F575" s="13" t="str">
        <x:v>02</x:v>
      </x:c>
      <x:c r="G575" s="13" t="n">
        <x:v>911</x:v>
      </x:c>
      <x:c r="H575" s="13" t="n">
        <x:v>911</x:v>
      </x:c>
      <x:c r="I575" s="13" t="str"/>
      <x:c r="J575" s="13" t="str">
        <x:v>돋보기 아이콘에 적절한 이름을 제공한다.</x:v>
      </x:c>
      <x:c r="K575" s="13" t="str">
        <x:v>UI-074</x:v>
      </x:c>
      <x:c r="L575" s="13" t="str">
        <x:v>추출 후 기본 구조 검토; 원문 적용수준·전체 맥락 재확인 필요</x:v>
      </x:c>
      <x:c r="M575" s="13" t="str">
        <x:v>미확인</x:v>
      </x:c>
    </x:row>
    <x:row r="576" ht="37.5" customHeight="1">
      <x:c r="A576" s="14" t="str">
        <x:v>KRDS-SEC-078-U-01</x:v>
      </x:c>
      <x:c r="B576" s="14" t="str">
        <x:v>서비스 패턴</x:v>
      </x:c>
      <x:c r="C576" s="14" t="str">
        <x:v>검색</x:v>
      </x:c>
      <x:c r="D576" s="14" t="str">
        <x:v>검색어 입력</x:v>
      </x:c>
      <x:c r="E576" s="14" t="str">
        <x:v>사용성 가이드라인</x:v>
      </x:c>
      <x:c r="F576" s="14" t="str">
        <x:v>01</x:v>
      </x:c>
      <x:c r="G576" s="14" t="n">
        <x:v>915</x:v>
      </x:c>
      <x:c r="H576" s="14" t="n">
        <x:v>915</x:v>
      </x:c>
      <x:c r="I576" s="14" t="str">
        <x:v>916</x:v>
      </x:c>
      <x:c r="J576" s="14" t="str">
        <x:v>사용자가 검색어 입력 행위에 집중할 수 있도록 한다.</x:v>
      </x:c>
      <x:c r="K576" s="14" t="str">
        <x:v>UI-075</x:v>
      </x:c>
      <x:c r="L576" s="14" t="str">
        <x:v>추출 후 기본 구조 검토; 원문 적용수준·전체 맥락 재확인 필요</x:v>
      </x:c>
      <x:c r="M576" s="14" t="str">
        <x:v>미확인</x:v>
      </x:c>
    </x:row>
    <x:row r="577" ht="37.5" customHeight="1">
      <x:c r="A577" s="13" t="str">
        <x:v>KRDS-SEC-078-U-02</x:v>
      </x:c>
      <x:c r="B577" s="13" t="str">
        <x:v>서비스 패턴</x:v>
      </x:c>
      <x:c r="C577" s="13" t="str">
        <x:v>검색</x:v>
      </x:c>
      <x:c r="D577" s="13" t="str">
        <x:v>검색어 입력</x:v>
      </x:c>
      <x:c r="E577" s="13" t="str">
        <x:v>사용성 가이드라인</x:v>
      </x:c>
      <x:c r="F577" s="13" t="str">
        <x:v>02</x:v>
      </x:c>
      <x:c r="G577" s="13" t="n">
        <x:v>915</x:v>
      </x:c>
      <x:c r="H577" s="13" t="n">
        <x:v>915</x:v>
      </x:c>
      <x:c r="I577" s="13" t="str">
        <x:v>917</x:v>
      </x:c>
      <x:c r="J577" s="13" t="str">
        <x:v>스코프 필터를 사용하는 경우, '전체' 옵션을 제공한다.</x:v>
      </x:c>
      <x:c r="K577" s="13" t="str">
        <x:v>UI-075</x:v>
      </x:c>
      <x:c r="L577" s="13" t="str">
        <x:v>추출 후 기본 구조 검토; 원문 적용수준·전체 맥락 재확인 필요</x:v>
      </x:c>
      <x:c r="M577" s="13" t="str">
        <x:v>미확인</x:v>
      </x:c>
    </x:row>
    <x:row r="578" ht="37.5" customHeight="1">
      <x:c r="A578" s="14" t="str">
        <x:v>KRDS-SEC-078-U-03</x:v>
      </x:c>
      <x:c r="B578" s="14" t="str">
        <x:v>서비스 패턴</x:v>
      </x:c>
      <x:c r="C578" s="14" t="str">
        <x:v>검색</x:v>
      </x:c>
      <x:c r="D578" s="14" t="str">
        <x:v>검색어 입력</x:v>
      </x:c>
      <x:c r="E578" s="14" t="str">
        <x:v>사용성 가이드라인</x:v>
      </x:c>
      <x:c r="F578" s="14" t="str">
        <x:v>03</x:v>
      </x:c>
      <x:c r="G578" s="14" t="n">
        <x:v>915</x:v>
      </x:c>
      <x:c r="H578" s="14" t="n">
        <x:v>915</x:v>
      </x:c>
      <x:c r="I578" s="14" t="str">
        <x:v>918</x:v>
      </x:c>
      <x:c r="J578" s="14" t="str">
        <x:v>검색어 입력 필드는 일반적인 검색어가 한눈에 파악될 수 있는 너비로 제공하고 줄 바꿈이나 말줄임표를 사용하지 않는다.</x:v>
      </x:c>
      <x:c r="K578" s="14" t="str">
        <x:v>UI-075</x:v>
      </x:c>
      <x:c r="L578" s="14" t="str">
        <x:v>추출 후 기본 구조 검토; 원문 적용수준·전체 맥락 재확인 필요</x:v>
      </x:c>
      <x:c r="M578" s="14" t="str">
        <x:v>미확인</x:v>
      </x:c>
    </x:row>
    <x:row r="579" ht="37.5" customHeight="1">
      <x:c r="A579" s="13" t="str">
        <x:v>KRDS-SEC-078-U-04</x:v>
      </x:c>
      <x:c r="B579" s="13" t="str">
        <x:v>서비스 패턴</x:v>
      </x:c>
      <x:c r="C579" s="13" t="str">
        <x:v>검색</x:v>
      </x:c>
      <x:c r="D579" s="13" t="str">
        <x:v>검색어 입력</x:v>
      </x:c>
      <x:c r="E579" s="13" t="str">
        <x:v>사용성 가이드라인</x:v>
      </x:c>
      <x:c r="F579" s="13" t="str">
        <x:v>04</x:v>
      </x:c>
      <x:c r="G579" s="13" t="n">
        <x:v>915</x:v>
      </x:c>
      <x:c r="H579" s="13" t="n">
        <x:v>915</x:v>
      </x:c>
      <x:c r="I579" s="13" t="str">
        <x:v>919</x:v>
      </x:c>
      <x:c r="J579" s="13" t="str">
        <x:v>통합 검색이 아닌 검색에는 입력 필드에 레이블을 제공한다.</x:v>
      </x:c>
      <x:c r="K579" s="13" t="str">
        <x:v>UI-075</x:v>
      </x:c>
      <x:c r="L579" s="13" t="str">
        <x:v>추출 후 기본 구조 검토; 원문 적용수준·전체 맥락 재확인 필요</x:v>
      </x:c>
      <x:c r="M579" s="13" t="str">
        <x:v>미확인</x:v>
      </x:c>
    </x:row>
    <x:row r="580" ht="37.5" customHeight="1">
      <x:c r="A580" s="14" t="str">
        <x:v>KRDS-SEC-078-U-05</x:v>
      </x:c>
      <x:c r="B580" s="14" t="str">
        <x:v>서비스 패턴</x:v>
      </x:c>
      <x:c r="C580" s="14" t="str">
        <x:v>검색</x:v>
      </x:c>
      <x:c r="D580" s="14" t="str">
        <x:v>검색어 입력</x:v>
      </x:c>
      <x:c r="E580" s="14" t="str">
        <x:v>사용성 가이드라인</x:v>
      </x:c>
      <x:c r="F580" s="14" t="str">
        <x:v>05</x:v>
      </x:c>
      <x:c r="G580" s="14" t="n">
        <x:v>915</x:v>
      </x:c>
      <x:c r="H580" s="14" t="n">
        <x:v>915</x:v>
      </x:c>
      <x:c r="I580" s="14" t="str">
        <x:v>920</x:v>
      </x:c>
      <x:c r="J580" s="14" t="str">
        <x:v>플레이스홀더를 사용하는 경우, 유도 문구 외에 검색에 대한 단서나 레이블을 포함해서는 안 된다.</x:v>
      </x:c>
      <x:c r="K580" s="14" t="str">
        <x:v>UI-075</x:v>
      </x:c>
      <x:c r="L580" s="14" t="str">
        <x:v>추출 후 기본 구조 검토; 원문 적용수준·전체 맥락 재확인 필요</x:v>
      </x:c>
      <x:c r="M580" s="14" t="str">
        <x:v>미확인</x:v>
      </x:c>
    </x:row>
    <x:row r="581" ht="37.5" customHeight="1">
      <x:c r="A581" s="13" t="str">
        <x:v>KRDS-SEC-078-U-06</x:v>
      </x:c>
      <x:c r="B581" s="13" t="str">
        <x:v>서비스 패턴</x:v>
      </x:c>
      <x:c r="C581" s="13" t="str">
        <x:v>검색</x:v>
      </x:c>
      <x:c r="D581" s="13" t="str">
        <x:v>검색어 입력</x:v>
      </x:c>
      <x:c r="E581" s="13" t="str">
        <x:v>사용성 가이드라인</x:v>
      </x:c>
      <x:c r="F581" s="13" t="str">
        <x:v>06</x:v>
      </x:c>
      <x:c r="G581" s="13" t="n">
        <x:v>915</x:v>
      </x:c>
      <x:c r="H581" s="13" t="n">
        <x:v>915</x:v>
      </x:c>
      <x:c r="I581" s="13" t="str">
        <x:v>921</x:v>
      </x:c>
      <x:c r="J581" s="13" t="str">
        <x:v>사용자에게 다양한 방식의 검색어 입력 도움을 제공한다.</x:v>
      </x:c>
      <x:c r="K581" s="13" t="str">
        <x:v>UI-075</x:v>
      </x:c>
      <x:c r="L581" s="13" t="str">
        <x:v>추출 후 기본 구조 검토; 원문 적용수준·전체 맥락 재확인 필요</x:v>
      </x:c>
      <x:c r="M581" s="13" t="str">
        <x:v>미확인</x:v>
      </x:c>
    </x:row>
    <x:row r="582" ht="37.5" customHeight="1">
      <x:c r="A582" s="14" t="str">
        <x:v>KRDS-SEC-078-U-07</x:v>
      </x:c>
      <x:c r="B582" s="14" t="str">
        <x:v>서비스 패턴</x:v>
      </x:c>
      <x:c r="C582" s="14" t="str">
        <x:v>검색</x:v>
      </x:c>
      <x:c r="D582" s="14" t="str">
        <x:v>검색어 입력</x:v>
      </x:c>
      <x:c r="E582" s="14" t="str">
        <x:v>사용성 가이드라인</x:v>
      </x:c>
      <x:c r="F582" s="14" t="str">
        <x:v>07</x:v>
      </x:c>
      <x:c r="G582" s="14" t="n">
        <x:v>915</x:v>
      </x:c>
      <x:c r="H582" s="14" t="n">
        <x:v>915</x:v>
      </x:c>
      <x:c r="I582" s="14" t="str">
        <x:v>922</x:v>
      </x:c>
      <x:c r="J582" s="14" t="str">
        <x:v>검색어 입력 도움은 가능한 사용자가 검색어를 입력하는 시점에 실시간으로 제공한다.</x:v>
      </x:c>
      <x:c r="K582" s="14" t="str">
        <x:v>UI-075</x:v>
      </x:c>
      <x:c r="L582" s="14" t="str">
        <x:v>추출 후 기본 구조 검토; 원문 적용수준·전체 맥락 재확인 필요</x:v>
      </x:c>
      <x:c r="M582" s="14" t="str">
        <x:v>미확인</x:v>
      </x:c>
    </x:row>
    <x:row r="583" ht="37.5" customHeight="1">
      <x:c r="A583" s="13" t="str">
        <x:v>KRDS-SEC-078-U-08</x:v>
      </x:c>
      <x:c r="B583" s="13" t="str">
        <x:v>서비스 패턴</x:v>
      </x:c>
      <x:c r="C583" s="13" t="str">
        <x:v>검색</x:v>
      </x:c>
      <x:c r="D583" s="13" t="str">
        <x:v>검색어 입력</x:v>
      </x:c>
      <x:c r="E583" s="13" t="str">
        <x:v>사용성 가이드라인</x:v>
      </x:c>
      <x:c r="F583" s="13" t="str">
        <x:v>08</x:v>
      </x:c>
      <x:c r="G583" s="13" t="n">
        <x:v>915</x:v>
      </x:c>
      <x:c r="H583" s="13" t="n">
        <x:v>915</x:v>
      </x:c>
      <x:c r="I583" s="13" t="str">
        <x:v>923</x:v>
      </x:c>
      <x:c r="J583" s="13" t="str">
        <x:v>실시간으로 검색어를 제안할 수 없는 경우, 검색 결과 화면에서 보조적인 도움 수단을 제공한다.</x:v>
      </x:c>
      <x:c r="K583" s="13" t="str">
        <x:v>UI-075</x:v>
      </x:c>
      <x:c r="L583" s="13" t="str">
        <x:v>추출 후 기본 구조 검토; 원문 적용수준·전체 맥락 재확인 필요</x:v>
      </x:c>
      <x:c r="M583" s="13" t="str">
        <x:v>미확인</x:v>
      </x:c>
    </x:row>
    <x:row r="584" ht="37.5" customHeight="1">
      <x:c r="A584" s="14" t="str">
        <x:v>KRDS-SEC-078-A-01</x:v>
      </x:c>
      <x:c r="B584" s="14" t="str">
        <x:v>서비스 패턴</x:v>
      </x:c>
      <x:c r="C584" s="14" t="str">
        <x:v>검색</x:v>
      </x:c>
      <x:c r="D584" s="14" t="str">
        <x:v>검색어 입력</x:v>
      </x:c>
      <x:c r="E584" s="14" t="str">
        <x:v>접근성 가이드라인</x:v>
      </x:c>
      <x:c r="F584" s="14" t="str">
        <x:v>01</x:v>
      </x:c>
      <x:c r="G584" s="14" t="n">
        <x:v>924</x:v>
      </x:c>
      <x:c r="H584" s="14" t="n">
        <x:v>924</x:v>
      </x:c>
      <x:c r="I584" s="14" t="str"/>
      <x:c r="J584" s="14" t="str">
        <x:v>검색어 입력/실행 관련 컨트롤 요소에 적절한 이름을 제공한다.</x:v>
      </x:c>
      <x:c r="K584" s="14" t="str">
        <x:v>UI-075</x:v>
      </x:c>
      <x:c r="L584" s="14" t="str">
        <x:v>추출 후 기본 구조 검토; 원문 적용수준·전체 맥락 재확인 필요</x:v>
      </x:c>
      <x:c r="M584" s="14" t="str">
        <x:v>미확인</x:v>
      </x:c>
    </x:row>
    <x:row r="585" ht="37.5" customHeight="1">
      <x:c r="A585" s="13" t="str">
        <x:v>KRDS-SEC-078-A-02</x:v>
      </x:c>
      <x:c r="B585" s="13" t="str">
        <x:v>서비스 패턴</x:v>
      </x:c>
      <x:c r="C585" s="13" t="str">
        <x:v>검색</x:v>
      </x:c>
      <x:c r="D585" s="13" t="str">
        <x:v>검색어 입력</x:v>
      </x:c>
      <x:c r="E585" s="13" t="str">
        <x:v>접근성 가이드라인</x:v>
      </x:c>
      <x:c r="F585" s="13" t="str">
        <x:v>02</x:v>
      </x:c>
      <x:c r="G585" s="13" t="n">
        <x:v>924</x:v>
      </x:c>
      <x:c r="H585" s="13" t="n">
        <x:v>924</x:v>
      </x:c>
      <x:c r="I585" s="13" t="str"/>
      <x:c r="J585" s="13" t="str">
        <x:v>검색어 입력/실행 관련 대화형 요소는 키보드로 접근과 조작이 가능하도록 한다.</x:v>
      </x:c>
      <x:c r="K585" s="13" t="str">
        <x:v>UI-075</x:v>
      </x:c>
      <x:c r="L585" s="13" t="str">
        <x:v>추출 후 기본 구조 검토; 원문 적용수준·전체 맥락 재확인 필요</x:v>
      </x:c>
      <x:c r="M585" s="13" t="str">
        <x:v>미확인</x:v>
      </x:c>
    </x:row>
    <x:row r="586" ht="37.5" customHeight="1">
      <x:c r="A586" s="14" t="str">
        <x:v>KRDS-SEC-078-A-03</x:v>
      </x:c>
      <x:c r="B586" s="14" t="str">
        <x:v>서비스 패턴</x:v>
      </x:c>
      <x:c r="C586" s="14" t="str">
        <x:v>검색</x:v>
      </x:c>
      <x:c r="D586" s="14" t="str">
        <x:v>검색어 입력</x:v>
      </x:c>
      <x:c r="E586" s="14" t="str">
        <x:v>접근성 가이드라인</x:v>
      </x:c>
      <x:c r="F586" s="14" t="str">
        <x:v>03</x:v>
      </x:c>
      <x:c r="G586" s="14" t="n">
        <x:v>924</x:v>
      </x:c>
      <x:c r="H586" s="14" t="n">
        <x:v>924</x:v>
      </x:c>
      <x:c r="I586" s="14" t="str"/>
      <x:c r="J586" s="14" t="str">
        <x:v>자동완성이나 추천 검색 정보에 보조 기술이 접근할 수 있도록 표현한다.</x:v>
      </x:c>
      <x:c r="K586" s="14" t="str">
        <x:v>UI-075</x:v>
      </x:c>
      <x:c r="L586" s="14" t="str">
        <x:v>추출 후 기본 구조 검토; 원문 적용수준·전체 맥락 재확인 필요</x:v>
      </x:c>
      <x:c r="M586" s="14" t="str">
        <x:v>미확인</x:v>
      </x:c>
    </x:row>
    <x:row r="587" ht="37.5" customHeight="1">
      <x:c r="A587" s="13" t="str">
        <x:v>KRDS-SEC-078-A-04</x:v>
      </x:c>
      <x:c r="B587" s="13" t="str">
        <x:v>서비스 패턴</x:v>
      </x:c>
      <x:c r="C587" s="13" t="str">
        <x:v>검색</x:v>
      </x:c>
      <x:c r="D587" s="13" t="str">
        <x:v>검색어 입력</x:v>
      </x:c>
      <x:c r="E587" s="13" t="str">
        <x:v>접근성 가이드라인</x:v>
      </x:c>
      <x:c r="F587" s="13" t="str">
        <x:v>04</x:v>
      </x:c>
      <x:c r="G587" s="13" t="n">
        <x:v>925</x:v>
      </x:c>
      <x:c r="H587" s="13" t="n">
        <x:v>925</x:v>
      </x:c>
      <x:c r="I587" s="13" t="str"/>
      <x:c r="J587" s="13" t="str">
        <x:v>실시간 검색어 입력 도움창의 출현 여부 및 추천 검색어를 스크린 리더가 탐지할 수 있도록 한다.</x:v>
      </x:c>
      <x:c r="K587" s="13" t="str">
        <x:v>UI-075</x:v>
      </x:c>
      <x:c r="L587" s="13" t="str">
        <x:v>추출 후 기본 구조 검토; 원문 적용수준·전체 맥락 재확인 필요</x:v>
      </x:c>
      <x:c r="M587" s="13" t="str">
        <x:v>미확인</x:v>
      </x:c>
    </x:row>
    <x:row r="588" ht="37.5" customHeight="1">
      <x:c r="A588" s="14" t="str">
        <x:v>KRDS-SEC-078-A-05</x:v>
      </x:c>
      <x:c r="B588" s="14" t="str">
        <x:v>서비스 패턴</x:v>
      </x:c>
      <x:c r="C588" s="14" t="str">
        <x:v>검색</x:v>
      </x:c>
      <x:c r="D588" s="14" t="str">
        <x:v>검색어 입력</x:v>
      </x:c>
      <x:c r="E588" s="14" t="str">
        <x:v>접근성 가이드라인</x:v>
      </x:c>
      <x:c r="F588" s="14" t="str">
        <x:v>05</x:v>
      </x:c>
      <x:c r="G588" s="14" t="n">
        <x:v>925</x:v>
      </x:c>
      <x:c r="H588" s="14" t="n">
        <x:v>925</x:v>
      </x:c>
      <x:c r="I588" s="14" t="str"/>
      <x:c r="J588" s="14" t="str">
        <x:v>시간 검색어 입력 도움창은 검색어 입력 필드의 다음 실 요소로 제공한다.</x:v>
      </x:c>
      <x:c r="K588" s="14" t="str">
        <x:v>UI-075</x:v>
      </x:c>
      <x:c r="L588" s="14" t="str">
        <x:v>추출 후 기본 구조 검토; 원문 적용수준·전체 맥락 재확인 필요</x:v>
      </x:c>
      <x:c r="M588" s="14" t="str">
        <x:v>미확인</x:v>
      </x:c>
    </x:row>
    <x:row r="589" ht="37.5" customHeight="1">
      <x:c r="A589" s="13" t="str">
        <x:v>KRDS-SEC-078-A-06</x:v>
      </x:c>
      <x:c r="B589" s="13" t="str">
        <x:v>서비스 패턴</x:v>
      </x:c>
      <x:c r="C589" s="13" t="str">
        <x:v>검색</x:v>
      </x:c>
      <x:c r="D589" s="13" t="str">
        <x:v>검색어 입력</x:v>
      </x:c>
      <x:c r="E589" s="13" t="str">
        <x:v>접근성 가이드라인</x:v>
      </x:c>
      <x:c r="F589" s="13" t="str">
        <x:v>06</x:v>
      </x:c>
      <x:c r="G589" s="13" t="n">
        <x:v>925</x:v>
      </x:c>
      <x:c r="H589" s="13" t="n">
        <x:v>925</x:v>
      </x:c>
      <x:c r="I589" s="13" t="str"/>
      <x:c r="J589" s="13" t="str">
        <x:v>자동완성이나 추천 검색어 목록을 계층화하여 제공한다.</x:v>
      </x:c>
      <x:c r="K589" s="13" t="str">
        <x:v>UI-075</x:v>
      </x:c>
      <x:c r="L589" s="13" t="str">
        <x:v>추출 후 기본 구조 검토; 원문 적용수준·전체 맥락 재확인 필요</x:v>
      </x:c>
      <x:c r="M589" s="13" t="str">
        <x:v>미확인</x:v>
      </x:c>
    </x:row>
    <x:row r="590" ht="37.5" customHeight="1">
      <x:c r="A590" s="14" t="str">
        <x:v>KRDS-SEC-079-U-01</x:v>
      </x:c>
      <x:c r="B590" s="14" t="str">
        <x:v>서비스 패턴</x:v>
      </x:c>
      <x:c r="C590" s="14" t="str">
        <x:v>검색</x:v>
      </x:c>
      <x:c r="D590" s="14" t="str">
        <x:v>검색 결과 확인</x:v>
      </x:c>
      <x:c r="E590" s="14" t="str">
        <x:v>사용성 가이드라인</x:v>
      </x:c>
      <x:c r="F590" s="14" t="str">
        <x:v>01</x:v>
      </x:c>
      <x:c r="G590" s="14" t="n">
        <x:v>931</x:v>
      </x:c>
      <x:c r="H590" s="14" t="n">
        <x:v>931</x:v>
      </x:c>
      <x:c r="I590" s="14" t="str">
        <x:v>932</x:v>
      </x:c>
      <x:c r="J590" s="14" t="str">
        <x:v>검색 결과가 표시되기 전에 로딩 상태에 대한 정보를 제공한다.</x:v>
      </x:c>
      <x:c r="K590" s="14" t="str">
        <x:v>UI-076</x:v>
      </x:c>
      <x:c r="L590" s="14" t="str">
        <x:v>추출 후 기본 구조 검토; 원문 적용수준·전체 맥락 재확인 필요</x:v>
      </x:c>
      <x:c r="M590" s="14" t="str">
        <x:v>미확인</x:v>
      </x:c>
    </x:row>
    <x:row r="591" ht="37.5" customHeight="1">
      <x:c r="A591" s="13" t="str">
        <x:v>KRDS-SEC-079-U-02</x:v>
      </x:c>
      <x:c r="B591" s="13" t="str">
        <x:v>서비스 패턴</x:v>
      </x:c>
      <x:c r="C591" s="13" t="str">
        <x:v>검색</x:v>
      </x:c>
      <x:c r="D591" s="13" t="str">
        <x:v>검색 결과 확인</x:v>
      </x:c>
      <x:c r="E591" s="13" t="str">
        <x:v>사용성 가이드라인</x:v>
      </x:c>
      <x:c r="F591" s="13" t="str">
        <x:v>02</x:v>
      </x:c>
      <x:c r="G591" s="13" t="n">
        <x:v>931</x:v>
      </x:c>
      <x:c r="H591" s="13" t="n">
        <x:v>931</x:v>
      </x:c>
      <x:c r="I591" s="13" t="str">
        <x:v>933</x:v>
      </x:c>
      <x:c r="J591" s="13" t="str">
        <x:v>검색 결과 화면에 검색어 입력 필드를 유지한다.</x:v>
      </x:c>
      <x:c r="K591" s="13" t="str">
        <x:v>UI-076</x:v>
      </x:c>
      <x:c r="L591" s="13" t="str">
        <x:v>추출 후 기본 구조 검토; 원문 적용수준·전체 맥락 재확인 필요</x:v>
      </x:c>
      <x:c r="M591" s="13" t="str">
        <x:v>미확인</x:v>
      </x:c>
    </x:row>
    <x:row r="592" ht="37.5" customHeight="1">
      <x:c r="A592" s="14" t="str">
        <x:v>KRDS-SEC-079-U-03</x:v>
      </x:c>
      <x:c r="B592" s="14" t="str">
        <x:v>서비스 패턴</x:v>
      </x:c>
      <x:c r="C592" s="14" t="str">
        <x:v>검색</x:v>
      </x:c>
      <x:c r="D592" s="14" t="str">
        <x:v>검색 결과 확인</x:v>
      </x:c>
      <x:c r="E592" s="14" t="str">
        <x:v>사용성 가이드라인</x:v>
      </x:c>
      <x:c r="F592" s="14" t="str">
        <x:v>03</x:v>
      </x:c>
      <x:c r="G592" s="14" t="n">
        <x:v>931</x:v>
      </x:c>
      <x:c r="H592" s="14" t="n">
        <x:v>931</x:v>
      </x:c>
      <x:c r="I592" s="14" t="str">
        <x:v>934</x:v>
      </x:c>
      <x:c r="J592" s="14" t="str">
        <x:v>검색 결과 화면에 여러 개의 검색어 입력 필드를 사용하지 않는다.</x:v>
      </x:c>
      <x:c r="K592" s="14" t="str">
        <x:v>UI-076</x:v>
      </x:c>
      <x:c r="L592" s="14" t="str">
        <x:v>추출 후 기본 구조 검토; 원문 적용수준·전체 맥락 재확인 필요</x:v>
      </x:c>
      <x:c r="M592" s="14" t="str">
        <x:v>미확인</x:v>
      </x:c>
    </x:row>
    <x:row r="593" ht="37.5" customHeight="1">
      <x:c r="A593" s="13" t="str">
        <x:v>KRDS-SEC-079-U-04</x:v>
      </x:c>
      <x:c r="B593" s="13" t="str">
        <x:v>서비스 패턴</x:v>
      </x:c>
      <x:c r="C593" s="13" t="str">
        <x:v>검색</x:v>
      </x:c>
      <x:c r="D593" s="13" t="str">
        <x:v>검색 결과 확인</x:v>
      </x:c>
      <x:c r="E593" s="13" t="str">
        <x:v>사용성 가이드라인</x:v>
      </x:c>
      <x:c r="F593" s="13" t="str">
        <x:v>04</x:v>
      </x:c>
      <x:c r="G593" s="13" t="n">
        <x:v>931</x:v>
      </x:c>
      <x:c r="H593" s="13" t="n">
        <x:v>931</x:v>
      </x:c>
      <x:c r="I593" s="13" t="str">
        <x:v>935</x:v>
      </x:c>
      <x:c r="J593" s="13" t="str">
        <x:v>사용자가 재검색을 시도하지 않는 한 검색어 입력 필드에 검색어를 유지한다.</x:v>
      </x:c>
      <x:c r="K593" s="13" t="str">
        <x:v>UI-076</x:v>
      </x:c>
      <x:c r="L593" s="13" t="str">
        <x:v>추출 후 기본 구조 검토; 원문 적용수준·전체 맥락 재확인 필요</x:v>
      </x:c>
      <x:c r="M593" s="13" t="str">
        <x:v>미확인</x:v>
      </x:c>
    </x:row>
    <x:row r="594" ht="37.5" customHeight="1">
      <x:c r="A594" s="14" t="str">
        <x:v>KRDS-SEC-079-U-05</x:v>
      </x:c>
      <x:c r="B594" s="14" t="str">
        <x:v>서비스 패턴</x:v>
      </x:c>
      <x:c r="C594" s="14" t="str">
        <x:v>검색</x:v>
      </x:c>
      <x:c r="D594" s="14" t="str">
        <x:v>검색 결과 확인</x:v>
      </x:c>
      <x:c r="E594" s="14" t="str">
        <x:v>사용성 가이드라인</x:v>
      </x:c>
      <x:c r="F594" s="14" t="str">
        <x:v>05</x:v>
      </x:c>
      <x:c r="G594" s="14" t="n">
        <x:v>931</x:v>
      </x:c>
      <x:c r="H594" s="14" t="n">
        <x:v>931</x:v>
      </x:c>
      <x:c r="I594" s="14" t="str">
        <x:v>936</x:v>
      </x:c>
      <x:c r="J594" s="14" t="str">
        <x:v>검색 결과 수를 표시한다.</x:v>
      </x:c>
      <x:c r="K594" s="14" t="str">
        <x:v>UI-076</x:v>
      </x:c>
      <x:c r="L594" s="14" t="str">
        <x:v>추출 후 기본 구조 검토; 원문 적용수준·전체 맥락 재확인 필요</x:v>
      </x:c>
      <x:c r="M594" s="14" t="str">
        <x:v>미확인</x:v>
      </x:c>
    </x:row>
    <x:row r="595" ht="37.5" customHeight="1">
      <x:c r="A595" s="13" t="str">
        <x:v>KRDS-SEC-079-U-06</x:v>
      </x:c>
      <x:c r="B595" s="13" t="str">
        <x:v>서비스 패턴</x:v>
      </x:c>
      <x:c r="C595" s="13" t="str">
        <x:v>검색</x:v>
      </x:c>
      <x:c r="D595" s="13" t="str">
        <x:v>검색 결과 확인</x:v>
      </x:c>
      <x:c r="E595" s="13" t="str">
        <x:v>사용성 가이드라인</x:v>
      </x:c>
      <x:c r="F595" s="13" t="str">
        <x:v>06</x:v>
      </x:c>
      <x:c r="G595" s="13" t="n">
        <x:v>931</x:v>
      </x:c>
      <x:c r="H595" s="13" t="n">
        <x:v>931</x:v>
      </x:c>
      <x:c r="I595" s="13" t="str">
        <x:v>937</x:v>
      </x:c>
      <x:c r="J595" s="13" t="str">
        <x:v>검색어와 관련된 결과가 반환되는지 확인한다.</x:v>
      </x:c>
      <x:c r="K595" s="13" t="str">
        <x:v>UI-076</x:v>
      </x:c>
      <x:c r="L595" s="13" t="str">
        <x:v>추출 후 기본 구조 검토; 원문 적용수준·전체 맥락 재확인 필요</x:v>
      </x:c>
      <x:c r="M595" s="13" t="str">
        <x:v>미확인</x:v>
      </x:c>
    </x:row>
    <x:row r="596" ht="37.5" customHeight="1">
      <x:c r="A596" s="14" t="str">
        <x:v>KRDS-SEC-079-U-07</x:v>
      </x:c>
      <x:c r="B596" s="14" t="str">
        <x:v>서비스 패턴</x:v>
      </x:c>
      <x:c r="C596" s="14" t="str">
        <x:v>검색</x:v>
      </x:c>
      <x:c r="D596" s="14" t="str">
        <x:v>검색 결과 확인</x:v>
      </x:c>
      <x:c r="E596" s="14" t="str">
        <x:v>사용성 가이드라인</x:v>
      </x:c>
      <x:c r="F596" s="14" t="str">
        <x:v>07</x:v>
      </x:c>
      <x:c r="G596" s="14" t="n">
        <x:v>931</x:v>
      </x:c>
      <x:c r="H596" s="14" t="n">
        <x:v>931</x:v>
      </x:c>
      <x:c r="I596" s="14" t="str">
        <x:v>938</x:v>
      </x:c>
      <x:c r="J596" s="14" t="str">
        <x:v>유사 검색어나 관련된 검색어에 대한 검색 결과를 함께 제공한다.</x:v>
      </x:c>
      <x:c r="K596" s="14" t="str">
        <x:v>UI-076</x:v>
      </x:c>
      <x:c r="L596" s="14" t="str">
        <x:v>추출 후 기본 구조 검토; 원문 적용수준·전체 맥락 재확인 필요</x:v>
      </x:c>
      <x:c r="M596" s="14" t="str">
        <x:v>미확인</x:v>
      </x:c>
    </x:row>
    <x:row r="597" ht="37.5" customHeight="1">
      <x:c r="A597" s="13" t="str">
        <x:v>KRDS-SEC-079-U-08</x:v>
      </x:c>
      <x:c r="B597" s="13" t="str">
        <x:v>서비스 패턴</x:v>
      </x:c>
      <x:c r="C597" s="13" t="str">
        <x:v>검색</x:v>
      </x:c>
      <x:c r="D597" s="13" t="str">
        <x:v>검색 결과 확인</x:v>
      </x:c>
      <x:c r="E597" s="13" t="str">
        <x:v>사용성 가이드라인</x:v>
      </x:c>
      <x:c r="F597" s="13" t="str">
        <x:v>08</x:v>
      </x:c>
      <x:c r="G597" s="13" t="n">
        <x:v>931</x:v>
      </x:c>
      <x:c r="H597" s="13" t="n">
        <x:v>931</x:v>
      </x:c>
      <x:c r="I597" s="13" t="str">
        <x:v>939</x:v>
      </x:c>
      <x:c r="J597" s="13" t="str">
        <x:v>초기 검색 결과 목록은 정확도 또는 관련도순으로 정렬하여 제공한다.</x:v>
      </x:c>
      <x:c r="K597" s="13" t="str">
        <x:v>UI-076</x:v>
      </x:c>
      <x:c r="L597" s="13" t="str">
        <x:v>추출 후 기본 구조 검토; 원문 적용수준·전체 맥락 재확인 필요</x:v>
      </x:c>
      <x:c r="M597" s="13" t="str">
        <x:v>미확인</x:v>
      </x:c>
    </x:row>
    <x:row r="598" ht="37.5" customHeight="1">
      <x:c r="A598" s="14" t="str">
        <x:v>KRDS-SEC-079-U-09</x:v>
      </x:c>
      <x:c r="B598" s="14" t="str">
        <x:v>서비스 패턴</x:v>
      </x:c>
      <x:c r="C598" s="14" t="str">
        <x:v>검색</x:v>
      </x:c>
      <x:c r="D598" s="14" t="str">
        <x:v>검색 결과 확인</x:v>
      </x:c>
      <x:c r="E598" s="14" t="str">
        <x:v>사용성 가이드라인</x:v>
      </x:c>
      <x:c r="F598" s="14" t="str">
        <x:v>09</x:v>
      </x:c>
      <x:c r="G598" s="14" t="n">
        <x:v>931</x:v>
      </x:c>
      <x:c r="H598" s="14" t="n">
        <x:v>931</x:v>
      </x:c>
      <x:c r="I598" s="14" t="str">
        <x:v>940</x:v>
      </x:c>
      <x:c r="J598" s="14" t="str">
        <x:v>검색 결과가 지나치게 많이 제공되는 경우 사용자에게 범위를 제한할 수 있는 방법에 대해 안내한다.</x:v>
      </x:c>
      <x:c r="K598" s="14" t="str">
        <x:v>UI-076</x:v>
      </x:c>
      <x:c r="L598" s="14" t="str">
        <x:v>추출 후 기본 구조 검토; 원문 적용수준·전체 맥락 재확인 필요</x:v>
      </x:c>
      <x:c r="M598" s="14" t="str">
        <x:v>미확인</x:v>
      </x:c>
    </x:row>
    <x:row r="599" ht="37.5" customHeight="1">
      <x:c r="A599" s="13" t="str">
        <x:v>KRDS-SEC-079-U-10</x:v>
      </x:c>
      <x:c r="B599" s="13" t="str">
        <x:v>서비스 패턴</x:v>
      </x:c>
      <x:c r="C599" s="13" t="str">
        <x:v>검색</x:v>
      </x:c>
      <x:c r="D599" s="13" t="str">
        <x:v>검색 결과 확인</x:v>
      </x:c>
      <x:c r="E599" s="13" t="str">
        <x:v>사용성 가이드라인</x:v>
      </x:c>
      <x:c r="F599" s="13" t="str">
        <x:v>10</x:v>
      </x:c>
      <x:c r="G599" s="13" t="n">
        <x:v>931</x:v>
      </x:c>
      <x:c r="H599" s="13" t="n">
        <x:v>931</x:v>
      </x:c>
      <x:c r="I599" s="13" t="str">
        <x:v>941</x:v>
      </x:c>
      <x:c r="J599" s="13" t="str">
        <x:v>검색 결과가 없는 경우, 결과를 명확하게 알리고 적절한 대안을 제공한다.</x:v>
      </x:c>
      <x:c r="K599" s="13" t="str">
        <x:v>UI-076</x:v>
      </x:c>
      <x:c r="L599" s="13" t="str">
        <x:v>추출 후 기본 구조 검토; 원문 적용수준·전체 맥락 재확인 필요</x:v>
      </x:c>
      <x:c r="M599" s="13" t="str">
        <x:v>미확인</x:v>
      </x:c>
    </x:row>
    <x:row r="600" ht="37.5" customHeight="1">
      <x:c r="A600" s="14" t="str">
        <x:v>KRDS-SEC-080-U-01</x:v>
      </x:c>
      <x:c r="B600" s="14" t="str">
        <x:v>서비스 패턴</x:v>
      </x:c>
      <x:c r="C600" s="14" t="str">
        <x:v>검색</x:v>
      </x:c>
      <x:c r="D600" s="14" t="str">
        <x:v>상세 검색</x:v>
      </x:c>
      <x:c r="E600" s="14" t="str">
        <x:v>사용성 가이드라인</x:v>
      </x:c>
      <x:c r="F600" s="14" t="str">
        <x:v>01</x:v>
      </x:c>
      <x:c r="G600" s="14" t="n">
        <x:v>947</x:v>
      </x:c>
      <x:c r="H600" s="14" t="n">
        <x:v>947</x:v>
      </x:c>
      <x:c r="I600" s="14" t="str">
        <x:v>948</x:v>
      </x:c>
      <x:c r="J600" s="14" t="str">
        <x:v>기본 정렬, 필터 컨트롤을 제공한다.</x:v>
      </x:c>
      <x:c r="K600" s="14" t="str">
        <x:v>UI-077, UI-120</x:v>
      </x:c>
      <x:c r="L600" s="14" t="str">
        <x:v>추출 후 기본 구조 검토; 원문 적용수준·전체 맥락 재확인 필요</x:v>
      </x:c>
      <x:c r="M600" s="14" t="str">
        <x:v>미확인</x:v>
      </x:c>
    </x:row>
    <x:row r="601" ht="37.5" customHeight="1">
      <x:c r="A601" s="13" t="str">
        <x:v>KRDS-SEC-080-U-02</x:v>
      </x:c>
      <x:c r="B601" s="13" t="str">
        <x:v>서비스 패턴</x:v>
      </x:c>
      <x:c r="C601" s="13" t="str">
        <x:v>검색</x:v>
      </x:c>
      <x:c r="D601" s="13" t="str">
        <x:v>상세 검색</x:v>
      </x:c>
      <x:c r="E601" s="13" t="str">
        <x:v>사용성 가이드라인</x:v>
      </x:c>
      <x:c r="F601" s="13" t="str">
        <x:v>02</x:v>
      </x:c>
      <x:c r="G601" s="13" t="n">
        <x:v>947</x:v>
      </x:c>
      <x:c r="H601" s="13" t="n">
        <x:v>947</x:v>
      </x:c>
      <x:c r="I601" s="13" t="str">
        <x:v>949</x:v>
      </x:c>
      <x:c r="J601" s="13" t="str">
        <x:v>기본 검색에서 정렬, 필터 컨트롤은 일정한 순서로 제공되어야 한다.</x:v>
      </x:c>
      <x:c r="K601" s="13" t="str">
        <x:v>UI-077, UI-120</x:v>
      </x:c>
      <x:c r="L601" s="13" t="str">
        <x:v>추출 후 기본 구조 검토; 원문 적용수준·전체 맥락 재확인 필요</x:v>
      </x:c>
      <x:c r="M601" s="13" t="str">
        <x:v>미확인</x:v>
      </x:c>
    </x:row>
    <x:row r="602" ht="37.5" customHeight="1">
      <x:c r="A602" s="14" t="str">
        <x:v>KRDS-SEC-080-U-03</x:v>
      </x:c>
      <x:c r="B602" s="14" t="str">
        <x:v>서비스 패턴</x:v>
      </x:c>
      <x:c r="C602" s="14" t="str">
        <x:v>검색</x:v>
      </x:c>
      <x:c r="D602" s="14" t="str">
        <x:v>상세 검색</x:v>
      </x:c>
      <x:c r="E602" s="14" t="str">
        <x:v>사용성 가이드라인</x:v>
      </x:c>
      <x:c r="F602" s="14" t="str">
        <x:v>03</x:v>
      </x:c>
      <x:c r="G602" s="14" t="n">
        <x:v>947</x:v>
      </x:c>
      <x:c r="H602" s="14" t="n">
        <x:v>947</x:v>
      </x:c>
      <x:c r="I602" s="14" t="str">
        <x:v>950</x:v>
      </x:c>
      <x:c r="J602" s="14" t="str">
        <x:v>스코프 필터를 사용하는 경우 결과 화면 상단에 설정된 범위를 명시적으로 표시한다.</x:v>
      </x:c>
      <x:c r="K602" s="14" t="str">
        <x:v>UI-077, UI-120</x:v>
      </x:c>
      <x:c r="L602" s="14" t="str">
        <x:v>추출 후 기본 구조 검토; 원문 적용수준·전체 맥락 재확인 필요</x:v>
      </x:c>
      <x:c r="M602" s="14" t="str">
        <x:v>미확인</x:v>
      </x:c>
    </x:row>
    <x:row r="603" ht="37.5" customHeight="1">
      <x:c r="A603" s="13" t="str">
        <x:v>KRDS-SEC-080-U-04</x:v>
      </x:c>
      <x:c r="B603" s="13" t="str">
        <x:v>서비스 패턴</x:v>
      </x:c>
      <x:c r="C603" s="13" t="str">
        <x:v>검색</x:v>
      </x:c>
      <x:c r="D603" s="13" t="str">
        <x:v>상세 검색</x:v>
      </x:c>
      <x:c r="E603" s="13" t="str">
        <x:v>사용성 가이드라인</x:v>
      </x:c>
      <x:c r="F603" s="13" t="str">
        <x:v>04</x:v>
      </x:c>
      <x:c r="G603" s="13" t="n">
        <x:v>947</x:v>
      </x:c>
      <x:c r="H603" s="13" t="n">
        <x:v>947</x:v>
      </x:c>
      <x:c r="I603" s="13" t="str">
        <x:v>951</x:v>
      </x:c>
      <x:c r="J603" s="13" t="str">
        <x:v>정렬, 필터 적용 결과는 가능한 한 사용자가 값을 선택하였을 때 적용한다.</x:v>
      </x:c>
      <x:c r="K603" s="13" t="str">
        <x:v>UI-077, UI-120</x:v>
      </x:c>
      <x:c r="L603" s="13" t="str">
        <x:v>추출 후 기본 구조 검토; 원문 적용수준·전체 맥락 재확인 필요</x:v>
      </x:c>
      <x:c r="M603" s="13" t="str">
        <x:v>미확인</x:v>
      </x:c>
    </x:row>
    <x:row r="604" ht="37.5" customHeight="1">
      <x:c r="A604" s="14" t="str">
        <x:v>KRDS-SEC-080-U-05</x:v>
      </x:c>
      <x:c r="B604" s="14" t="str">
        <x:v>서비스 패턴</x:v>
      </x:c>
      <x:c r="C604" s="14" t="str">
        <x:v>검색</x:v>
      </x:c>
      <x:c r="D604" s="14" t="str">
        <x:v>상세 검색</x:v>
      </x:c>
      <x:c r="E604" s="14" t="str">
        <x:v>사용성 가이드라인</x:v>
      </x:c>
      <x:c r="F604" s="14" t="str">
        <x:v>05</x:v>
      </x:c>
      <x:c r="G604" s="14" t="n">
        <x:v>947</x:v>
      </x:c>
      <x:c r="H604" s="14" t="n">
        <x:v>947</x:v>
      </x:c>
      <x:c r="I604" s="14" t="str">
        <x:v>952</x:v>
      </x:c>
      <x:c r="J604" s="14" t="str">
        <x:v>조건이 적용되었음을 확인할 수 있는 명확한 시각적 단서를 제공한다.</x:v>
      </x:c>
      <x:c r="K604" s="14" t="str">
        <x:v>UI-077, UI-120</x:v>
      </x:c>
      <x:c r="L604" s="14" t="str">
        <x:v>추출 후 기본 구조 검토; 원문 적용수준·전체 맥락 재확인 필요</x:v>
      </x:c>
      <x:c r="M604" s="14" t="str">
        <x:v>미확인</x:v>
      </x:c>
    </x:row>
    <x:row r="605" ht="37.5" customHeight="1">
      <x:c r="A605" s="13" t="str">
        <x:v>KRDS-SEC-080-A-01</x:v>
      </x:c>
      <x:c r="B605" s="13" t="str">
        <x:v>서비스 패턴</x:v>
      </x:c>
      <x:c r="C605" s="13" t="str">
        <x:v>검색</x:v>
      </x:c>
      <x:c r="D605" s="13" t="str">
        <x:v>상세 검색</x:v>
      </x:c>
      <x:c r="E605" s="13" t="str">
        <x:v>접근성 가이드라인</x:v>
      </x:c>
      <x:c r="F605" s="13" t="str">
        <x:v>01</x:v>
      </x:c>
      <x:c r="G605" s="13" t="n">
        <x:v>954</x:v>
      </x:c>
      <x:c r="H605" s="13" t="n">
        <x:v>954</x:v>
      </x:c>
      <x:c r="I605" s="13" t="str"/>
      <x:c r="J605" s="13" t="str">
        <x:v>조건이 적용되었음을 확인할 수 있는 명확한 프로그램적 단서를 제공한다.</x:v>
      </x:c>
      <x:c r="K605" s="13" t="str">
        <x:v>UI-077, UI-120</x:v>
      </x:c>
      <x:c r="L605" s="13" t="str">
        <x:v>추출 후 기본 구조 검토; 원문 적용수준·전체 맥락 재확인 필요</x:v>
      </x:c>
      <x:c r="M605" s="13" t="str">
        <x:v>미확인</x:v>
      </x:c>
    </x:row>
    <x:row r="606" ht="37.5" customHeight="1">
      <x:c r="A606" s="14" t="str">
        <x:v>KRDS-SEC-081-U-01</x:v>
      </x:c>
      <x:c r="B606" s="14" t="str">
        <x:v>서비스 패턴</x:v>
      </x:c>
      <x:c r="C606" s="14" t="str">
        <x:v>검색</x:v>
      </x:c>
      <x:c r="D606" s="14" t="str">
        <x:v>검색 결과 이용</x:v>
      </x:c>
      <x:c r="E606" s="14" t="str">
        <x:v>사용성 가이드라인</x:v>
      </x:c>
      <x:c r="F606" s="14" t="str">
        <x:v>01</x:v>
      </x:c>
      <x:c r="G606" s="14" t="n">
        <x:v>958</x:v>
      </x:c>
      <x:c r="H606" s="14" t="n">
        <x:v>958</x:v>
      </x:c>
      <x:c r="I606" s="14" t="str">
        <x:v>959</x:v>
      </x:c>
      <x:c r="J606" s="14" t="str">
        <x:v>사용자가 필요로 하는 주제별로 검색 결과가 제공되도록 설계한다.</x:v>
      </x:c>
      <x:c r="K606" s="14" t="str">
        <x:v>UI-078</x:v>
      </x:c>
      <x:c r="L606" s="14" t="str">
        <x:v>추출 후 기본 구조 검토; 원문 적용수준·전체 맥락 재확인 필요</x:v>
      </x:c>
      <x:c r="M606" s="14" t="str">
        <x:v>미확인</x:v>
      </x:c>
    </x:row>
    <x:row r="607" ht="37.5" customHeight="1">
      <x:c r="A607" s="13" t="str">
        <x:v>KRDS-SEC-081-U-02</x:v>
      </x:c>
      <x:c r="B607" s="13" t="str">
        <x:v>서비스 패턴</x:v>
      </x:c>
      <x:c r="C607" s="13" t="str">
        <x:v>검색</x:v>
      </x:c>
      <x:c r="D607" s="13" t="str">
        <x:v>검색 결과 이용</x:v>
      </x:c>
      <x:c r="E607" s="13" t="str">
        <x:v>사용성 가이드라인</x:v>
      </x:c>
      <x:c r="F607" s="13" t="str">
        <x:v>02</x:v>
      </x:c>
      <x:c r="G607" s="13" t="n">
        <x:v>958</x:v>
      </x:c>
      <x:c r="H607" s="13" t="n">
        <x:v>958</x:v>
      </x:c>
      <x:c r="I607" s="13" t="str">
        <x:v>960</x:v>
      </x:c>
      <x:c r="J607" s="13" t="str">
        <x:v>검색 주제 분류는 7개를 초과하지 않도록 한다.</x:v>
      </x:c>
      <x:c r="K607" s="13" t="str">
        <x:v>UI-078</x:v>
      </x:c>
      <x:c r="L607" s="13" t="str">
        <x:v>추출 후 기본 구조 검토; 원문 적용수준·전체 맥락 재확인 필요</x:v>
      </x:c>
      <x:c r="M607" s="13" t="str">
        <x:v>미확인</x:v>
      </x:c>
    </x:row>
    <x:row r="608" ht="37.5" customHeight="1">
      <x:c r="A608" s="14" t="str">
        <x:v>KRDS-SEC-081-U-03</x:v>
      </x:c>
      <x:c r="B608" s="14" t="str">
        <x:v>서비스 패턴</x:v>
      </x:c>
      <x:c r="C608" s="14" t="str">
        <x:v>검색</x:v>
      </x:c>
      <x:c r="D608" s="14" t="str">
        <x:v>검색 결과 이용</x:v>
      </x:c>
      <x:c r="E608" s="14" t="str">
        <x:v>사용성 가이드라인</x:v>
      </x:c>
      <x:c r="F608" s="14" t="str">
        <x:v>03</x:v>
      </x:c>
      <x:c r="G608" s="14" t="n">
        <x:v>958</x:v>
      </x:c>
      <x:c r="H608" s="14" t="n">
        <x:v>958</x:v>
      </x:c>
      <x:c r="I608" s="14" t="str">
        <x:v>961</x:v>
      </x:c>
      <x:c r="J608" s="14" t="str">
        <x:v>주제별 탐색 탭을 사용하는 경우 전체 목록이 가장 첫 번째 탭으로 제공되어야 한다.</x:v>
      </x:c>
      <x:c r="K608" s="14" t="str">
        <x:v>UI-078</x:v>
      </x:c>
      <x:c r="L608" s="14" t="str">
        <x:v>추출 후 기본 구조 검토; 원문 적용수준·전체 맥락 재확인 필요</x:v>
      </x:c>
      <x:c r="M608" s="14" t="str">
        <x:v>미확인</x:v>
      </x:c>
    </x:row>
    <x:row r="609" ht="37.5" customHeight="1">
      <x:c r="A609" s="13" t="str">
        <x:v>KRDS-SEC-081-U-04</x:v>
      </x:c>
      <x:c r="B609" s="13" t="str">
        <x:v>서비스 패턴</x:v>
      </x:c>
      <x:c r="C609" s="13" t="str">
        <x:v>검색</x:v>
      </x:c>
      <x:c r="D609" s="13" t="str">
        <x:v>검색 결과 이용</x:v>
      </x:c>
      <x:c r="E609" s="13" t="str">
        <x:v>사용성 가이드라인</x:v>
      </x:c>
      <x:c r="F609" s="13" t="str">
        <x:v>04</x:v>
      </x:c>
      <x:c r="G609" s="13" t="n">
        <x:v>958</x:v>
      </x:c>
      <x:c r="H609" s="13" t="n">
        <x:v>958</x:v>
      </x:c>
      <x:c r="I609" s="13" t="str">
        <x:v>962</x:v>
      </x:c>
      <x:c r="J609" s="13" t="str">
        <x:v>전체 결과 목록은 주제별 섹션 구분 없이 결과의 정확도나 관련도 순으로 정렬한다.</x:v>
      </x:c>
      <x:c r="K609" s="13" t="str">
        <x:v>UI-078</x:v>
      </x:c>
      <x:c r="L609" s="13" t="str">
        <x:v>추출 후 기본 구조 검토; 원문 적용수준·전체 맥락 재확인 필요</x:v>
      </x:c>
      <x:c r="M609" s="13" t="str">
        <x:v>미확인</x:v>
      </x:c>
    </x:row>
    <x:row r="610" ht="37.5" customHeight="1">
      <x:c r="A610" s="14" t="str">
        <x:v>KRDS-SEC-081-U-05</x:v>
      </x:c>
      <x:c r="B610" s="14" t="str">
        <x:v>서비스 패턴</x:v>
      </x:c>
      <x:c r="C610" s="14" t="str">
        <x:v>검색</x:v>
      </x:c>
      <x:c r="D610" s="14" t="str">
        <x:v>검색 결과 이용</x:v>
      </x:c>
      <x:c r="E610" s="14" t="str">
        <x:v>사용성 가이드라인</x:v>
      </x:c>
      <x:c r="F610" s="14" t="str">
        <x:v>05</x:v>
      </x:c>
      <x:c r="G610" s="14" t="n">
        <x:v>958</x:v>
      </x:c>
      <x:c r="H610" s="14" t="n">
        <x:v>958</x:v>
      </x:c>
      <x:c r="I610" s="14" t="str">
        <x:v>963</x:v>
      </x:c>
      <x:c r="J610" s="14" t="str">
        <x:v>제목과 설명은 명확하고 간결하게 제공한다.</x:v>
      </x:c>
      <x:c r="K610" s="14" t="str">
        <x:v>UI-078</x:v>
      </x:c>
      <x:c r="L610" s="14" t="str">
        <x:v>추출 후 기본 구조 검토; 원문 적용수준·전체 맥락 재확인 필요</x:v>
      </x:c>
      <x:c r="M610" s="14" t="str">
        <x:v>미확인</x:v>
      </x:c>
    </x:row>
    <x:row r="611" ht="37.5" customHeight="1">
      <x:c r="A611" s="13" t="str">
        <x:v>KRDS-SEC-081-U-06</x:v>
      </x:c>
      <x:c r="B611" s="13" t="str">
        <x:v>서비스 패턴</x:v>
      </x:c>
      <x:c r="C611" s="13" t="str">
        <x:v>검색</x:v>
      </x:c>
      <x:c r="D611" s="13" t="str">
        <x:v>검색 결과 이용</x:v>
      </x:c>
      <x:c r="E611" s="13" t="str">
        <x:v>사용성 가이드라인</x:v>
      </x:c>
      <x:c r="F611" s="13" t="str">
        <x:v>06</x:v>
      </x:c>
      <x:c r="G611" s="13" t="n">
        <x:v>958</x:v>
      </x:c>
      <x:c r="H611" s="13" t="n">
        <x:v>958</x:v>
      </x:c>
      <x:c r="I611" s="13" t="str">
        <x:v>964</x:v>
      </x:c>
      <x:c r="J611" s="13" t="str">
        <x:v>항목에 검색 결과 범주 정보가 명확하게 드러나도록 표현한다.</x:v>
      </x:c>
      <x:c r="K611" s="13" t="str">
        <x:v>UI-078</x:v>
      </x:c>
      <x:c r="L611" s="13" t="str">
        <x:v>추출 후 기본 구조 검토; 원문 적용수준·전체 맥락 재확인 필요</x:v>
      </x:c>
      <x:c r="M611" s="13" t="str">
        <x:v>미확인</x:v>
      </x:c>
    </x:row>
    <x:row r="612" ht="37.5" customHeight="1">
      <x:c r="A612" s="14" t="str">
        <x:v>KRDS-SEC-081-U-07</x:v>
      </x:c>
      <x:c r="B612" s="14" t="str">
        <x:v>서비스 패턴</x:v>
      </x:c>
      <x:c r="C612" s="14" t="str">
        <x:v>검색</x:v>
      </x:c>
      <x:c r="D612" s="14" t="str">
        <x:v>검색 결과 이용</x:v>
      </x:c>
      <x:c r="E612" s="14" t="str">
        <x:v>사용성 가이드라인</x:v>
      </x:c>
      <x:c r="F612" s="14" t="str">
        <x:v>07</x:v>
      </x:c>
      <x:c r="G612" s="14" t="n">
        <x:v>958</x:v>
      </x:c>
      <x:c r="H612" s="14" t="n">
        <x:v>958</x:v>
      </x:c>
      <x:c r="I612" s="14" t="str">
        <x:v>965</x:v>
      </x:c>
      <x:c r="J612" s="14" t="str">
        <x:v>검색어와 일치하는 항목을 강조 표시한다.</x:v>
      </x:c>
      <x:c r="K612" s="14" t="str">
        <x:v>UI-078</x:v>
      </x:c>
      <x:c r="L612" s="14" t="str">
        <x:v>추출 후 기본 구조 검토; 원문 적용수준·전체 맥락 재확인 필요</x:v>
      </x:c>
      <x:c r="M612" s="14" t="str">
        <x:v>미확인</x:v>
      </x:c>
    </x:row>
    <x:row r="613" ht="37.5" customHeight="1">
      <x:c r="A613" s="13" t="str">
        <x:v>KRDS-SEC-081-U-08</x:v>
      </x:c>
      <x:c r="B613" s="13" t="str">
        <x:v>서비스 패턴</x:v>
      </x:c>
      <x:c r="C613" s="13" t="str">
        <x:v>검색</x:v>
      </x:c>
      <x:c r="D613" s="13" t="str">
        <x:v>검색 결과 이용</x:v>
      </x:c>
      <x:c r="E613" s="13" t="str">
        <x:v>사용성 가이드라인</x:v>
      </x:c>
      <x:c r="F613" s="13" t="str">
        <x:v>08</x:v>
      </x:c>
      <x:c r="G613" s="13" t="n">
        <x:v>958</x:v>
      </x:c>
      <x:c r="H613" s="13" t="n">
        <x:v>958</x:v>
      </x:c>
      <x:c r="I613" s="13" t="str">
        <x:v>966</x:v>
      </x:c>
      <x:c r="J613" s="13" t="str">
        <x:v>기본 검색 결과 목록에 표시되는 항목의 수를 10개 이상으로 제공한다.</x:v>
      </x:c>
      <x:c r="K613" s="13" t="str">
        <x:v>UI-078</x:v>
      </x:c>
      <x:c r="L613" s="13" t="str">
        <x:v>추출 후 기본 구조 검토; 원문 적용수준·전체 맥락 재확인 필요</x:v>
      </x:c>
      <x:c r="M613" s="13" t="str">
        <x:v>미확인</x:v>
      </x:c>
    </x:row>
    <x:row r="614" ht="37.5" customHeight="1">
      <x:c r="A614" s="14" t="str">
        <x:v>KRDS-SEC-082-U-01</x:v>
      </x:c>
      <x:c r="B614" s="14" t="str">
        <x:v>서비스 패턴</x:v>
      </x:c>
      <x:c r="C614" s="14" t="str">
        <x:v>검색</x:v>
      </x:c>
      <x:c r="D614" s="14" t="str">
        <x:v>재검색</x:v>
      </x:c>
      <x:c r="E614" s="14" t="str">
        <x:v>사용성 가이드라인</x:v>
      </x:c>
      <x:c r="F614" s="14" t="str">
        <x:v>01</x:v>
      </x:c>
      <x:c r="G614" s="14" t="n">
        <x:v>969</x:v>
      </x:c>
      <x:c r="H614" s="14" t="n">
        <x:v>969</x:v>
      </x:c>
      <x:c r="I614" s="14" t="str">
        <x:v>970</x:v>
      </x:c>
      <x:c r="J614" s="14" t="str">
        <x:v>상세 검색 컨트롤을 숨기지 않는다.</x:v>
      </x:c>
      <x:c r="K614" s="14" t="str">
        <x:v>UI-079</x:v>
      </x:c>
      <x:c r="L614" s="14" t="str">
        <x:v>추출 후 기본 구조 검토; 원문 적용수준·전체 맥락 재확인 필요</x:v>
      </x:c>
      <x:c r="M614" s="14" t="str">
        <x:v>미확인</x:v>
      </x:c>
    </x:row>
    <x:row r="615" ht="37.5" customHeight="1">
      <x:c r="A615" s="13" t="str">
        <x:v>KRDS-SEC-082-U-02</x:v>
      </x:c>
      <x:c r="B615" s="13" t="str">
        <x:v>서비스 패턴</x:v>
      </x:c>
      <x:c r="C615" s="13" t="str">
        <x:v>검색</x:v>
      </x:c>
      <x:c r="D615" s="13" t="str">
        <x:v>재검색</x:v>
      </x:c>
      <x:c r="E615" s="13" t="str">
        <x:v>사용성 가이드라인</x:v>
      </x:c>
      <x:c r="F615" s="13" t="str">
        <x:v>02</x:v>
      </x:c>
      <x:c r="G615" s="13" t="n">
        <x:v>969</x:v>
      </x:c>
      <x:c r="H615" s="13" t="n">
        <x:v>969</x:v>
      </x:c>
      <x:c r="I615" s="13" t="str">
        <x:v>971</x:v>
      </x:c>
      <x:c r="J615" s="13" t="str">
        <x:v>사용자가 설정한 상세 검색 조건을 유지한다.</x:v>
      </x:c>
      <x:c r="K615" s="13" t="str">
        <x:v>UI-079</x:v>
      </x:c>
      <x:c r="L615" s="13" t="str">
        <x:v>추출 후 기본 구조 검토; 원문 적용수준·전체 맥락 재확인 필요</x:v>
      </x:c>
      <x:c r="M615" s="13" t="str">
        <x:v>미확인</x:v>
      </x:c>
    </x:row>
    <x:row r="616" ht="37.5" customHeight="1">
      <x:c r="A616" s="14" t="str">
        <x:v>KRDS-SEC-082-U-03</x:v>
      </x:c>
      <x:c r="B616" s="14" t="str">
        <x:v>서비스 패턴</x:v>
      </x:c>
      <x:c r="C616" s="14" t="str">
        <x:v>검색</x:v>
      </x:c>
      <x:c r="D616" s="14" t="str">
        <x:v>재검색</x:v>
      </x:c>
      <x:c r="E616" s="14" t="str">
        <x:v>사용성 가이드라인</x:v>
      </x:c>
      <x:c r="F616" s="14" t="str">
        <x:v>03</x:v>
      </x:c>
      <x:c r="G616" s="14" t="n">
        <x:v>969</x:v>
      </x:c>
      <x:c r="H616" s="14" t="n">
        <x:v>969</x:v>
      </x:c>
      <x:c r="I616" s="14" t="str">
        <x:v>971</x:v>
      </x:c>
      <x:c r="J616" s="14" t="str">
        <x:v>상세 검색 조건의 적용을 일괄적으로 해제할 수 있는 수단을 제공하고 직관적으로 인지할 수 있도록 표현한다.</x:v>
      </x:c>
      <x:c r="K616" s="14" t="str">
        <x:v>UI-079</x:v>
      </x:c>
      <x:c r="L616" s="14" t="str">
        <x:v>추출 후 기본 구조 검토; 원문 적용수준·전체 맥락 재확인 필요</x:v>
      </x:c>
      <x:c r="M616" s="14" t="str">
        <x:v>미확인</x:v>
      </x:c>
    </x:row>
    <x:row r="617" ht="37.5" customHeight="1">
      <x:c r="A617" s="13" t="str">
        <x:v>KRDS-SEC-083-U-01</x:v>
      </x:c>
      <x:c r="B617" s="13" t="str">
        <x:v>서비스 패턴</x:v>
      </x:c>
      <x:c r="C617" s="13" t="str">
        <x:v>검색</x:v>
      </x:c>
      <x:c r="D617" s="13" t="str">
        <x:v>검색 종료</x:v>
      </x:c>
      <x:c r="E617" s="13" t="str">
        <x:v>사용성 가이드라인</x:v>
      </x:c>
      <x:c r="F617" s="13" t="str">
        <x:v>01</x:v>
      </x:c>
      <x:c r="G617" s="13" t="n">
        <x:v>973</x:v>
      </x:c>
      <x:c r="H617" s="13" t="n">
        <x:v>973</x:v>
      </x:c>
      <x:c r="I617" s="13" t="str">
        <x:v>974</x:v>
      </x:c>
      <x:c r="J617" s="13" t="str">
        <x:v>검색 과업 맥락에서 벗어나 다른 화면 또는 다른 탐색 수단에 빠르게 접근할 수 있도록 해야 한다.</x:v>
      </x:c>
      <x:c r="K617" s="13" t="str">
        <x:v>UI-080</x:v>
      </x:c>
      <x:c r="L617" s="13" t="str">
        <x:v>추출 후 기본 구조 검토; 원문 적용수준·전체 맥락 재확인 필요</x:v>
      </x:c>
      <x:c r="M617" s="13" t="str">
        <x:v>미확인</x:v>
      </x:c>
    </x:row>
    <x:row r="618" ht="37.5" customHeight="1">
      <x:c r="A618" s="14" t="str">
        <x:v>KRDS-SEC-085-U-01</x:v>
      </x:c>
      <x:c r="B618" s="14" t="str">
        <x:v>서비스 패턴</x:v>
      </x:c>
      <x:c r="C618" s="14" t="str">
        <x:v>로그인</x:v>
      </x:c>
      <x:c r="D618" s="14" t="str">
        <x:v>로그인 기능 찾기</x:v>
      </x:c>
      <x:c r="E618" s="14" t="str">
        <x:v>사용성 가이드라인</x:v>
      </x:c>
      <x:c r="F618" s="14" t="str">
        <x:v>01</x:v>
      </x:c>
      <x:c r="G618" s="14" t="n">
        <x:v>981</x:v>
      </x:c>
      <x:c r="H618" s="14" t="n">
        <x:v>981</x:v>
      </x:c>
      <x:c r="I618" s="14" t="str">
        <x:v>982</x:v>
      </x:c>
      <x:c r="J618" s="14" t="str">
        <x:v>로그인 링크는 모든 화면에서 일관된 위치에 주목도 있게 배치한다.</x:v>
      </x:c>
      <x:c r="K618" s="14" t="str">
        <x:v>UI-081</x:v>
      </x:c>
      <x:c r="L618" s="14" t="str">
        <x:v>추출 후 기본 구조 검토; 원문 적용수준·전체 맥락 재확인 필요</x:v>
      </x:c>
      <x:c r="M618" s="14" t="str">
        <x:v>미확인</x:v>
      </x:c>
    </x:row>
    <x:row r="619" ht="37.5" customHeight="1">
      <x:c r="A619" s="13" t="str">
        <x:v>KRDS-SEC-085-U-02</x:v>
      </x:c>
      <x:c r="B619" s="13" t="str">
        <x:v>서비스 패턴</x:v>
      </x:c>
      <x:c r="C619" s="13" t="str">
        <x:v>로그인</x:v>
      </x:c>
      <x:c r="D619" s="13" t="str">
        <x:v>로그인 기능 찾기</x:v>
      </x:c>
      <x:c r="E619" s="13" t="str">
        <x:v>사용성 가이드라인</x:v>
      </x:c>
      <x:c r="F619" s="13" t="str">
        <x:v>02</x:v>
      </x:c>
      <x:c r="G619" s="13" t="n">
        <x:v>981</x:v>
      </x:c>
      <x:c r="H619" s="13" t="n">
        <x:v>981</x:v>
      </x:c>
      <x:c r="I619" s="13" t="str">
        <x:v>983</x:v>
      </x:c>
      <x:c r="J619" s="13" t="str">
        <x:v>헤더에서 제공되는 로그인 링크는 사용자 아이콘과 레이블로 구성한다.</x:v>
      </x:c>
      <x:c r="K619" s="13" t="str">
        <x:v>UI-081</x:v>
      </x:c>
      <x:c r="L619" s="13" t="str">
        <x:v>추출 후 기본 구조 검토; 원문 적용수준·전체 맥락 재확인 필요</x:v>
      </x:c>
      <x:c r="M619" s="13" t="str">
        <x:v>미확인</x:v>
      </x:c>
    </x:row>
    <x:row r="620" ht="37.5" customHeight="1">
      <x:c r="A620" s="14" t="str">
        <x:v>KRDS-SEC-085-U-03</x:v>
      </x:c>
      <x:c r="B620" s="14" t="str">
        <x:v>서비스 패턴</x:v>
      </x:c>
      <x:c r="C620" s="14" t="str">
        <x:v>로그인</x:v>
      </x:c>
      <x:c r="D620" s="14" t="str">
        <x:v>로그인 기능 찾기</x:v>
      </x:c>
      <x:c r="E620" s="14" t="str">
        <x:v>사용성 가이드라인</x:v>
      </x:c>
      <x:c r="F620" s="14" t="str">
        <x:v>03</x:v>
      </x:c>
      <x:c r="G620" s="14" t="n">
        <x:v>981</x:v>
      </x:c>
      <x:c r="H620" s="14" t="n">
        <x:v>981</x:v>
      </x:c>
      <x:c r="I620" s="14" t="str">
        <x:v>984</x:v>
      </x:c>
      <x:c r="J620" s="14" t="str">
        <x:v>로그인 링크는 항상 '로그인' 화면으로 연결되어야 한다.</x:v>
      </x:c>
      <x:c r="K620" s="14" t="str">
        <x:v>UI-081</x:v>
      </x:c>
      <x:c r="L620" s="14" t="str">
        <x:v>추출 후 기본 구조 검토; 원문 적용수준·전체 맥락 재확인 필요</x:v>
      </x:c>
      <x:c r="M620" s="14" t="str">
        <x:v>미확인</x:v>
      </x:c>
    </x:row>
    <x:row r="621" ht="37.5" customHeight="1">
      <x:c r="A621" s="13" t="str">
        <x:v>KRDS-SEC-085-P-01</x:v>
      </x:c>
      <x:c r="B621" s="13" t="str">
        <x:v>서비스 패턴</x:v>
      </x:c>
      <x:c r="C621" s="13" t="str">
        <x:v>로그인</x:v>
      </x:c>
      <x:c r="D621" s="13" t="str">
        <x:v>로그인 기능 찾기</x:v>
      </x:c>
      <x:c r="E621" s="13" t="str">
        <x:v>플랫폼에 대한 고려 사항</x:v>
      </x:c>
      <x:c r="F621" s="13" t="str">
        <x:v>01</x:v>
      </x:c>
      <x:c r="G621" s="13" t="n">
        <x:v>985</x:v>
      </x:c>
      <x:c r="H621" s="13" t="n">
        <x:v>985</x:v>
      </x:c>
      <x:c r="I621" s="13" t="str"/>
      <x:c r="J621" s="13" t="str">
        <x:v>화면 너비가 충분하지 않은 경우에도 로그인 링크를 직관적으로 인지할 수 있는 형태로 표현한다.</x:v>
      </x:c>
      <x:c r="K621" s="13" t="str">
        <x:v>UI-081</x:v>
      </x:c>
      <x:c r="L621" s="13" t="str">
        <x:v>추출 후 기본 구조 검토; 원문 적용수준·전체 맥락 재확인 필요</x:v>
      </x:c>
      <x:c r="M621" s="13" t="str">
        <x:v>미확인</x:v>
      </x:c>
    </x:row>
    <x:row r="622" ht="37.5" customHeight="1">
      <x:c r="A622" s="14" t="str">
        <x:v>KRDS-SEC-085-A-01</x:v>
      </x:c>
      <x:c r="B622" s="14" t="str">
        <x:v>서비스 패턴</x:v>
      </x:c>
      <x:c r="C622" s="14" t="str">
        <x:v>로그인</x:v>
      </x:c>
      <x:c r="D622" s="14" t="str">
        <x:v>로그인 기능 찾기</x:v>
      </x:c>
      <x:c r="E622" s="14" t="str">
        <x:v>접근성 가이드라인</x:v>
      </x:c>
      <x:c r="F622" s="14" t="str">
        <x:v>01</x:v>
      </x:c>
      <x:c r="G622" s="14" t="n">
        <x:v>986</x:v>
      </x:c>
      <x:c r="H622" s="14" t="n">
        <x:v>986</x:v>
      </x:c>
      <x:c r="I622" s="14" t="str"/>
      <x:c r="J622" s="14" t="str">
        <x:v>로그인 링크는 스크린 리더에서 링크로 인지될 수 있도록 한다.</x:v>
      </x:c>
      <x:c r="K622" s="14" t="str">
        <x:v>UI-081</x:v>
      </x:c>
      <x:c r="L622" s="14" t="str">
        <x:v>추출 후 기본 구조 검토; 원문 적용수준·전체 맥락 재확인 필요</x:v>
      </x:c>
      <x:c r="M622" s="14" t="str">
        <x:v>미확인</x:v>
      </x:c>
    </x:row>
    <x:row r="623" ht="37.5" customHeight="1">
      <x:c r="A623" s="13" t="str">
        <x:v>KRDS-SEC-086-U-01</x:v>
      </x:c>
      <x:c r="B623" s="13" t="str">
        <x:v>서비스 패턴</x:v>
      </x:c>
      <x:c r="C623" s="13" t="str">
        <x:v>로그인</x:v>
      </x:c>
      <x:c r="D623" s="13" t="str">
        <x:v>로그인 안내</x:v>
      </x:c>
      <x:c r="E623" s="13" t="str">
        <x:v>사용성 가이드라인</x:v>
      </x:c>
      <x:c r="F623" s="13" t="str">
        <x:v>01</x:v>
      </x:c>
      <x:c r="G623" s="13" t="n">
        <x:v>990</x:v>
      </x:c>
      <x:c r="H623" s="13" t="n">
        <x:v>990</x:v>
      </x:c>
      <x:c r="I623" s="13" t="str">
        <x:v>991</x:v>
      </x:c>
      <x:c r="J623" s="13" t="str">
        <x:v>로그인에 대한 안내는 모달로 제공하여 사용자의 과업 맥락이 유지될 수 있도록 한다.</x:v>
      </x:c>
      <x:c r="K623" s="13" t="str">
        <x:v>UI-082</x:v>
      </x:c>
      <x:c r="L623" s="13" t="str">
        <x:v>추출 후 기본 구조 검토; 원문 적용수준·전체 맥락 재확인 필요</x:v>
      </x:c>
      <x:c r="M623" s="13" t="str">
        <x:v>미확인</x:v>
      </x:c>
    </x:row>
    <x:row r="624" ht="37.5" customHeight="1">
      <x:c r="A624" s="14" t="str">
        <x:v>KRDS-SEC-086-U-02</x:v>
      </x:c>
      <x:c r="B624" s="14" t="str">
        <x:v>서비스 패턴</x:v>
      </x:c>
      <x:c r="C624" s="14" t="str">
        <x:v>로그인</x:v>
      </x:c>
      <x:c r="D624" s="14" t="str">
        <x:v>로그인 안내</x:v>
      </x:c>
      <x:c r="E624" s="14" t="str">
        <x:v>사용성 가이드라인</x:v>
      </x:c>
      <x:c r="F624" s="14" t="str">
        <x:v>02</x:v>
      </x:c>
      <x:c r="G624" s="14" t="n">
        <x:v>990</x:v>
      </x:c>
      <x:c r="H624" s="14" t="n">
        <x:v>990</x:v>
      </x:c>
      <x:c r="I624" s="14" t="str">
        <x:v>993</x:v>
      </x:c>
      <x:c r="J624" s="14" t="str">
        <x:v>로그인은 꼭 필요한 상황에서 유도한다.</x:v>
      </x:c>
      <x:c r="K624" s="14" t="str">
        <x:v>UI-082</x:v>
      </x:c>
      <x:c r="L624" s="14" t="str">
        <x:v>추출 후 기본 구조 검토; 원문 적용수준·전체 맥락 재확인 필요</x:v>
      </x:c>
      <x:c r="M624" s="14" t="str">
        <x:v>미확인</x:v>
      </x:c>
    </x:row>
    <x:row r="625" ht="37.5" customHeight="1">
      <x:c r="A625" s="13" t="str">
        <x:v>KRDS-SEC-086-U-03</x:v>
      </x:c>
      <x:c r="B625" s="13" t="str">
        <x:v>서비스 패턴</x:v>
      </x:c>
      <x:c r="C625" s="13" t="str">
        <x:v>로그인</x:v>
      </x:c>
      <x:c r="D625" s="13" t="str">
        <x:v>로그인 안내</x:v>
      </x:c>
      <x:c r="E625" s="13" t="str">
        <x:v>사용성 가이드라인</x:v>
      </x:c>
      <x:c r="F625" s="13" t="str">
        <x:v>03</x:v>
      </x:c>
      <x:c r="G625" s="13" t="n">
        <x:v>990</x:v>
      </x:c>
      <x:c r="H625" s="13" t="n">
        <x:v>990</x:v>
      </x:c>
      <x:c r="I625" s="13" t="str">
        <x:v>994</x:v>
      </x:c>
      <x:c r="J625" s="13" t="str">
        <x:v>로그인을 제안하는 경우 모달 본문에서 로그인을 통해 얻을 수 있는 이점에 대해 명확한 설명을 제공해야 한다.</x:v>
      </x:c>
      <x:c r="K625" s="13" t="str">
        <x:v>UI-082</x:v>
      </x:c>
      <x:c r="L625" s="13" t="str">
        <x:v>추출 후 기본 구조 검토; 원문 적용수준·전체 맥락 재확인 필요</x:v>
      </x:c>
      <x:c r="M625" s="13" t="str">
        <x:v>미확인</x:v>
      </x:c>
    </x:row>
    <x:row r="626" ht="37.5" customHeight="1">
      <x:c r="A626" s="14" t="str">
        <x:v>KRDS-SEC-086-U-04</x:v>
      </x:c>
      <x:c r="B626" s="14" t="str">
        <x:v>서비스 패턴</x:v>
      </x:c>
      <x:c r="C626" s="14" t="str">
        <x:v>로그인</x:v>
      </x:c>
      <x:c r="D626" s="14" t="str">
        <x:v>로그인 안내</x:v>
      </x:c>
      <x:c r="E626" s="14" t="str">
        <x:v>사용성 가이드라인</x:v>
      </x:c>
      <x:c r="F626" s="14" t="str">
        <x:v>04</x:v>
      </x:c>
      <x:c r="G626" s="14" t="n">
        <x:v>990</x:v>
      </x:c>
      <x:c r="H626" s="14" t="n">
        <x:v>990</x:v>
      </x:c>
      <x:c r="I626" s="14" t="str">
        <x:v>995</x:v>
      </x:c>
      <x:c r="J626" s="14" t="str">
        <x:v>사용자가 이용 절차를 단축할 수 있는 로그인 방식을 추천한다.</x:v>
      </x:c>
      <x:c r="K626" s="14" t="str">
        <x:v>UI-082</x:v>
      </x:c>
      <x:c r="L626" s="14" t="str">
        <x:v>추출 후 기본 구조 검토; 원문 적용수준·전체 맥락 재확인 필요</x:v>
      </x:c>
      <x:c r="M626" s="14" t="str">
        <x:v>미확인</x:v>
      </x:c>
    </x:row>
    <x:row r="627" ht="37.5" customHeight="1">
      <x:c r="A627" s="13" t="str">
        <x:v>KRDS-SEC-086-U-05</x:v>
      </x:c>
      <x:c r="B627" s="13" t="str">
        <x:v>서비스 패턴</x:v>
      </x:c>
      <x:c r="C627" s="13" t="str">
        <x:v>로그인</x:v>
      </x:c>
      <x:c r="D627" s="13" t="str">
        <x:v>로그인 안내</x:v>
      </x:c>
      <x:c r="E627" s="13" t="str">
        <x:v>사용성 가이드라인</x:v>
      </x:c>
      <x:c r="F627" s="13" t="str">
        <x:v>05</x:v>
      </x:c>
      <x:c r="G627" s="13" t="n">
        <x:v>990</x:v>
      </x:c>
      <x:c r="H627" s="13" t="n">
        <x:v>990</x:v>
      </x:c>
      <x:c r="I627" s="13" t="str">
        <x:v>996</x:v>
      </x:c>
      <x:c r="J627" s="13" t="str">
        <x:v>로그인 안내 모달에는 '로그인 안 함' 옵션을 제공하여 원하지 않는 이동 동작이 발생하지 않도록 한다.</x:v>
      </x:c>
      <x:c r="K627" s="13" t="str">
        <x:v>UI-082</x:v>
      </x:c>
      <x:c r="L627" s="13" t="str">
        <x:v>추출 후 기본 구조 검토; 원문 적용수준·전체 맥락 재확인 필요</x:v>
      </x:c>
      <x:c r="M627" s="13" t="str">
        <x:v>미확인</x:v>
      </x:c>
    </x:row>
    <x:row r="628" ht="37.5" customHeight="1">
      <x:c r="A628" s="14" t="str">
        <x:v>KRDS-SEC-087-U-01</x:v>
      </x:c>
      <x:c r="B628" s="14" t="str">
        <x:v>서비스 패턴</x:v>
      </x:c>
      <x:c r="C628" s="14" t="str">
        <x:v>로그인</x:v>
      </x:c>
      <x:c r="D628" s="14" t="str">
        <x:v>로그인 방식 확인·선택</x:v>
      </x:c>
      <x:c r="E628" s="14" t="str">
        <x:v>사용성 가이드라인</x:v>
      </x:c>
      <x:c r="F628" s="14" t="str">
        <x:v>01</x:v>
      </x:c>
      <x:c r="G628" s="14" t="n">
        <x:v>1004</x:v>
      </x:c>
      <x:c r="H628" s="14" t="n">
        <x:v>1004</x:v>
      </x:c>
      <x:c r="I628" s="14" t="str">
        <x:v>1005</x:v>
      </x:c>
      <x:c r="J628" s="14" t="str">
        <x:v>빈번하게 사용되는 로그인 방식에 우선적으로 접근할 수 있는 수단을 제공한다.</x:v>
      </x:c>
      <x:c r="K628" s="14" t="str">
        <x:v>UI-083, UI-121, UI-128</x:v>
      </x:c>
      <x:c r="L628" s="14" t="str">
        <x:v>추출 후 기본 구조 검토; 원문 적용수준·전체 맥락 재확인 필요</x:v>
      </x:c>
      <x:c r="M628" s="14" t="str">
        <x:v>미확인</x:v>
      </x:c>
    </x:row>
    <x:row r="629" ht="37.5" customHeight="1">
      <x:c r="A629" s="13" t="str">
        <x:v>KRDS-SEC-087-U-02</x:v>
      </x:c>
      <x:c r="B629" s="13" t="str">
        <x:v>서비스 패턴</x:v>
      </x:c>
      <x:c r="C629" s="13" t="str">
        <x:v>로그인</x:v>
      </x:c>
      <x:c r="D629" s="13" t="str">
        <x:v>로그인 방식 확인·선택</x:v>
      </x:c>
      <x:c r="E629" s="13" t="str">
        <x:v>사용성 가이드라인</x:v>
      </x:c>
      <x:c r="F629" s="13" t="str">
        <x:v>02</x:v>
      </x:c>
      <x:c r="G629" s="13" t="n">
        <x:v>1004</x:v>
      </x:c>
      <x:c r="H629" s="13" t="n">
        <x:v>1004</x:v>
      </x:c>
      <x:c r="I629" s="13" t="str">
        <x:v>1006</x:v>
      </x:c>
      <x:c r="J629" s="13" t="str">
        <x:v>동일한 수준의 로그인 방식을 탭으로 구분하여 선택하게 하지 않는다.</x:v>
      </x:c>
      <x:c r="K629" s="13" t="str">
        <x:v>UI-083, UI-121, UI-128</x:v>
      </x:c>
      <x:c r="L629" s="13" t="str">
        <x:v>추출 후 기본 구조 검토; 원문 적용수준·전체 맥락 재확인 필요</x:v>
      </x:c>
      <x:c r="M629" s="13" t="str">
        <x:v>미확인</x:v>
      </x:c>
    </x:row>
    <x:row r="630" ht="37.5" customHeight="1">
      <x:c r="A630" s="14" t="str">
        <x:v>KRDS-SEC-087-U-03</x:v>
      </x:c>
      <x:c r="B630" s="14" t="str">
        <x:v>서비스 패턴</x:v>
      </x:c>
      <x:c r="C630" s="14" t="str">
        <x:v>로그인</x:v>
      </x:c>
      <x:c r="D630" s="14" t="str">
        <x:v>로그인 방식 확인·선택</x:v>
      </x:c>
      <x:c r="E630" s="14" t="str">
        <x:v>사용성 가이드라인</x:v>
      </x:c>
      <x:c r="F630" s="14" t="str">
        <x:v>03</x:v>
      </x:c>
      <x:c r="G630" s="14" t="n">
        <x:v>1004</x:v>
      </x:c>
      <x:c r="H630" s="14" t="n">
        <x:v>1004</x:v>
      </x:c>
      <x:c r="I630" s="14" t="str">
        <x:v>1007</x:v>
      </x:c>
      <x:c r="J630" s="14" t="str">
        <x:v>다양한 로그인 방식에 대한 분류 체계에 사용자의 관점과 언어를 반영한다.</x:v>
      </x:c>
      <x:c r="K630" s="14" t="str">
        <x:v>UI-083, UI-121, UI-128</x:v>
      </x:c>
      <x:c r="L630" s="14" t="str">
        <x:v>추출 후 기본 구조 검토; 원문 적용수준·전체 맥락 재확인 필요</x:v>
      </x:c>
      <x:c r="M630" s="14" t="str">
        <x:v>미확인</x:v>
      </x:c>
    </x:row>
    <x:row r="631" ht="37.5" customHeight="1">
      <x:c r="A631" s="13" t="str">
        <x:v>KRDS-SEC-087-U-04</x:v>
      </x:c>
      <x:c r="B631" s="13" t="str">
        <x:v>서비스 패턴</x:v>
      </x:c>
      <x:c r="C631" s="13" t="str">
        <x:v>로그인</x:v>
      </x:c>
      <x:c r="D631" s="13" t="str">
        <x:v>로그인 방식 확인·선택</x:v>
      </x:c>
      <x:c r="E631" s="13" t="str">
        <x:v>사용성 가이드라인</x:v>
      </x:c>
      <x:c r="F631" s="13" t="str">
        <x:v>04</x:v>
      </x:c>
      <x:c r="G631" s="13" t="n">
        <x:v>1004</x:v>
      </x:c>
      <x:c r="H631" s="13" t="n">
        <x:v>1004</x:v>
      </x:c>
      <x:c r="I631" s="13" t="str">
        <x:v>1008</x:v>
      </x:c>
      <x:c r="J631" s="13" t="str">
        <x:v>로그인 방식에 따라 서비스 이용 절차가 달라지는 경우, 사전에 안내를 제공한다.</x:v>
      </x:c>
      <x:c r="K631" s="13" t="str">
        <x:v>UI-083, UI-121, UI-128</x:v>
      </x:c>
      <x:c r="L631" s="13" t="str">
        <x:v>추출 후 기본 구조 검토; 원문 적용수준·전체 맥락 재확인 필요</x:v>
      </x:c>
      <x:c r="M631" s="13" t="str">
        <x:v>미확인</x:v>
      </x:c>
    </x:row>
    <x:row r="632" ht="37.5" customHeight="1">
      <x:c r="A632" s="14" t="str">
        <x:v>KRDS-SEC-087-U-05</x:v>
      </x:c>
      <x:c r="B632" s="14" t="str">
        <x:v>서비스 패턴</x:v>
      </x:c>
      <x:c r="C632" s="14" t="str">
        <x:v>로그인</x:v>
      </x:c>
      <x:c r="D632" s="14" t="str">
        <x:v>로그인 방식 확인·선택</x:v>
      </x:c>
      <x:c r="E632" s="14" t="str">
        <x:v>사용성 가이드라인</x:v>
      </x:c>
      <x:c r="F632" s="14" t="str">
        <x:v>05</x:v>
      </x:c>
      <x:c r="G632" s="14" t="n">
        <x:v>1004</x:v>
      </x:c>
      <x:c r="H632" s="14" t="n">
        <x:v>1004</x:v>
      </x:c>
      <x:c r="I632" s="14" t="str">
        <x:v>1009</x:v>
      </x:c>
      <x:c r="J632" s="14" t="str">
        <x:v>로그인 방식과 입력 항목에 대한 직관적인 안내를 제공한다.</x:v>
      </x:c>
      <x:c r="K632" s="14" t="str">
        <x:v>UI-083, UI-121, UI-128</x:v>
      </x:c>
      <x:c r="L632" s="14" t="str">
        <x:v>추출 후 기본 구조 검토; 원문 적용수준·전체 맥락 재확인 필요</x:v>
      </x:c>
      <x:c r="M632" s="14" t="str">
        <x:v>미확인</x:v>
      </x:c>
    </x:row>
    <x:row r="633" ht="37.5" customHeight="1">
      <x:c r="A633" s="13" t="str">
        <x:v>KRDS-SEC-087-U-06</x:v>
      </x:c>
      <x:c r="B633" s="13" t="str">
        <x:v>서비스 패턴</x:v>
      </x:c>
      <x:c r="C633" s="13" t="str">
        <x:v>로그인</x:v>
      </x:c>
      <x:c r="D633" s="13" t="str">
        <x:v>로그인 방식 확인·선택</x:v>
      </x:c>
      <x:c r="E633" s="13" t="str">
        <x:v>사용성 가이드라인</x:v>
      </x:c>
      <x:c r="F633" s="13" t="str">
        <x:v>06</x:v>
      </x:c>
      <x:c r="G633" s="13" t="n">
        <x:v>1004</x:v>
      </x:c>
      <x:c r="H633" s="13" t="n">
        <x:v>1004</x:v>
      </x:c>
      <x:c r="I633" s="13" t="str">
        <x:v>1010</x:v>
      </x:c>
      <x:c r="J633" s="13" t="str">
        <x:v>도움말 정보, 매뉴얼 링크를 제공한다.</x:v>
      </x:c>
      <x:c r="K633" s="13" t="str">
        <x:v>UI-083, UI-121, UI-128</x:v>
      </x:c>
      <x:c r="L633" s="13" t="str">
        <x:v>추출 후 기본 구조 검토; 원문 적용수준·전체 맥락 재확인 필요</x:v>
      </x:c>
      <x:c r="M633" s="13" t="str">
        <x:v>미확인</x:v>
      </x:c>
    </x:row>
    <x:row r="634" ht="37.5" customHeight="1">
      <x:c r="A634" s="14" t="str">
        <x:v>KRDS-SEC-087-U-07</x:v>
      </x:c>
      <x:c r="B634" s="14" t="str">
        <x:v>서비스 패턴</x:v>
      </x:c>
      <x:c r="C634" s="14" t="str">
        <x:v>로그인</x:v>
      </x:c>
      <x:c r="D634" s="14" t="str">
        <x:v>로그인 방식 확인·선택</x:v>
      </x:c>
      <x:c r="E634" s="14" t="str">
        <x:v>사용성 가이드라인</x:v>
      </x:c>
      <x:c r="F634" s="14" t="str">
        <x:v>07</x:v>
      </x:c>
      <x:c r="G634" s="14" t="n">
        <x:v>1004</x:v>
      </x:c>
      <x:c r="H634" s="14" t="n">
        <x:v>1004</x:v>
      </x:c>
      <x:c r="I634" s="14" t="str">
        <x:v>1011</x:v>
      </x:c>
      <x:c r="J634" s="14" t="str">
        <x:v>도움말 정보는 사용자의 다양한 이용 환경을 고려하여 작성한다.</x:v>
      </x:c>
      <x:c r="K634" s="14" t="str">
        <x:v>UI-083, UI-121, UI-128</x:v>
      </x:c>
      <x:c r="L634" s="14" t="str">
        <x:v>추출 후 기본 구조 검토; 원문 적용수준·전체 맥락 재확인 필요</x:v>
      </x:c>
      <x:c r="M634" s="14" t="str">
        <x:v>미확인</x:v>
      </x:c>
    </x:row>
    <x:row r="635" ht="37.5" customHeight="1">
      <x:c r="A635" s="13" t="str">
        <x:v>KRDS-SEC-087-A-01</x:v>
      </x:c>
      <x:c r="B635" s="13" t="str">
        <x:v>서비스 패턴</x:v>
      </x:c>
      <x:c r="C635" s="13" t="str">
        <x:v>로그인</x:v>
      </x:c>
      <x:c r="D635" s="13" t="str">
        <x:v>로그인 방식 확인·선택</x:v>
      </x:c>
      <x:c r="E635" s="13" t="str">
        <x:v>접근성 가이드라인</x:v>
      </x:c>
      <x:c r="F635" s="13" t="str">
        <x:v>01</x:v>
      </x:c>
      <x:c r="G635" s="13" t="n">
        <x:v>1012</x:v>
      </x:c>
      <x:c r="H635" s="13" t="n">
        <x:v>1012</x:v>
      </x:c>
      <x:c r="I635" s="13" t="str"/>
      <x:c r="J635" s="13" t="str">
        <x:v>인지 기능 테스트에 의존하지 않는 인증 방식을 제공한다.</x:v>
      </x:c>
      <x:c r="K635" s="13" t="str">
        <x:v>UI-083, UI-121, UI-128</x:v>
      </x:c>
      <x:c r="L635" s="13" t="str">
        <x:v>추출 후 기본 구조 검토; 원문 적용수준·전체 맥락 재확인 필요</x:v>
      </x:c>
      <x:c r="M635" s="13" t="str">
        <x:v>미확인</x:v>
      </x:c>
    </x:row>
    <x:row r="636" ht="37.5" customHeight="1">
      <x:c r="A636" s="14" t="str">
        <x:v>KRDS-SEC-088-U-01</x:v>
      </x:c>
      <x:c r="B636" s="14" t="str">
        <x:v>서비스 패턴</x:v>
      </x:c>
      <x:c r="C636" s="14" t="str">
        <x:v>로그인</x:v>
      </x:c>
      <x:c r="D636" s="14" t="str">
        <x:v>로그인 정보 입력</x:v>
      </x:c>
      <x:c r="E636" s="14" t="str">
        <x:v>사용성 가이드라인</x:v>
      </x:c>
      <x:c r="F636" s="14" t="str">
        <x:v>01</x:v>
      </x:c>
      <x:c r="G636" s="14" t="n">
        <x:v>1016</x:v>
      </x:c>
      <x:c r="H636" s="14" t="n">
        <x:v>1016</x:v>
      </x:c>
      <x:c r="I636" s="14" t="str">
        <x:v>1017</x:v>
      </x:c>
      <x:c r="J636" s="14" t="str">
        <x:v>아이디 형식에 대한 단서를 사전에 제공한다.</x:v>
      </x:c>
      <x:c r="K636" s="14" t="str">
        <x:v>UI-084, UI-122</x:v>
      </x:c>
      <x:c r="L636" s="14" t="str">
        <x:v>추출 후 기본 구조 검토; 원문 적용수준·전체 맥락 재확인 필요</x:v>
      </x:c>
      <x:c r="M636" s="14" t="str">
        <x:v>미확인</x:v>
      </x:c>
    </x:row>
    <x:row r="637" ht="37.5" customHeight="1">
      <x:c r="A637" s="13" t="str">
        <x:v>KRDS-SEC-088-U-02</x:v>
      </x:c>
      <x:c r="B637" s="13" t="str">
        <x:v>서비스 패턴</x:v>
      </x:c>
      <x:c r="C637" s="13" t="str">
        <x:v>로그인</x:v>
      </x:c>
      <x:c r="D637" s="13" t="str">
        <x:v>로그인 정보 입력</x:v>
      </x:c>
      <x:c r="E637" s="13" t="str">
        <x:v>사용성 가이드라인</x:v>
      </x:c>
      <x:c r="F637" s="13" t="str">
        <x:v>02</x:v>
      </x:c>
      <x:c r="G637" s="13" t="n">
        <x:v>1016</x:v>
      </x:c>
      <x:c r="H637" s="13" t="n">
        <x:v>1016</x:v>
      </x:c>
      <x:c r="I637" s="13" t="str">
        <x:v>1018</x:v>
      </x:c>
      <x:c r="J637" s="13" t="str">
        <x:v>비밀번호를 표시할 수 있는 옵션을 제공한다.</x:v>
      </x:c>
      <x:c r="K637" s="13" t="str">
        <x:v>UI-084, UI-122</x:v>
      </x:c>
      <x:c r="L637" s="13" t="str">
        <x:v>추출 후 기본 구조 검토; 원문 적용수준·전체 맥락 재확인 필요</x:v>
      </x:c>
      <x:c r="M637" s="13" t="str">
        <x:v>미확인</x:v>
      </x:c>
    </x:row>
    <x:row r="638" ht="37.5" customHeight="1">
      <x:c r="A638" s="14" t="str">
        <x:v>KRDS-SEC-088-U-03</x:v>
      </x:c>
      <x:c r="B638" s="14" t="str">
        <x:v>서비스 패턴</x:v>
      </x:c>
      <x:c r="C638" s="14" t="str">
        <x:v>로그인</x:v>
      </x:c>
      <x:c r="D638" s="14" t="str">
        <x:v>로그인 정보 입력</x:v>
      </x:c>
      <x:c r="E638" s="14" t="str">
        <x:v>사용성 가이드라인</x:v>
      </x:c>
      <x:c r="F638" s="14" t="str">
        <x:v>03</x:v>
      </x:c>
      <x:c r="G638" s="14" t="n">
        <x:v>1016</x:v>
      </x:c>
      <x:c r="H638" s="14" t="n">
        <x:v>1016</x:v>
      </x:c>
      <x:c r="I638" s="14" t="str">
        <x:v>1019</x:v>
      </x:c>
      <x:c r="J638" s="14" t="str">
        <x:v>복사/붙여넣기를 제한하지 않는다.</x:v>
      </x:c>
      <x:c r="K638" s="14" t="str">
        <x:v>UI-084, UI-122</x:v>
      </x:c>
      <x:c r="L638" s="14" t="str">
        <x:v>추출 후 기본 구조 검토; 원문 적용수준·전체 맥락 재확인 필요</x:v>
      </x:c>
      <x:c r="M638" s="14" t="str">
        <x:v>미확인</x:v>
      </x:c>
    </x:row>
    <x:row r="639" ht="37.5" customHeight="1">
      <x:c r="A639" s="13" t="str">
        <x:v>KRDS-SEC-088-U-04</x:v>
      </x:c>
      <x:c r="B639" s="13" t="str">
        <x:v>서비스 패턴</x:v>
      </x:c>
      <x:c r="C639" s="13" t="str">
        <x:v>로그인</x:v>
      </x:c>
      <x:c r="D639" s="13" t="str">
        <x:v>로그인 정보 입력</x:v>
      </x:c>
      <x:c r="E639" s="13" t="str">
        <x:v>사용성 가이드라인</x:v>
      </x:c>
      <x:c r="F639" s="13" t="str">
        <x:v>04</x:v>
      </x:c>
      <x:c r="G639" s="13" t="n">
        <x:v>1016</x:v>
      </x:c>
      <x:c r="H639" s="13" t="n">
        <x:v>1016</x:v>
      </x:c>
      <x:c r="I639" s="13" t="str">
        <x:v>1020</x:v>
      </x:c>
      <x:c r="J639" s="13" t="str">
        <x:v>로그인 정보를 저장할 수 있는 옵션을 제공한다.</x:v>
      </x:c>
      <x:c r="K639" s="13" t="str">
        <x:v>UI-084, UI-122</x:v>
      </x:c>
      <x:c r="L639" s="13" t="str">
        <x:v>추출 후 기본 구조 검토; 원문 적용수준·전체 맥락 재확인 필요</x:v>
      </x:c>
      <x:c r="M639" s="13" t="str">
        <x:v>미확인</x:v>
      </x:c>
    </x:row>
    <x:row r="640" ht="37.5" customHeight="1">
      <x:c r="A640" s="14" t="str">
        <x:v>KRDS-SEC-088-U-05</x:v>
      </x:c>
      <x:c r="B640" s="14" t="str">
        <x:v>서비스 패턴</x:v>
      </x:c>
      <x:c r="C640" s="14" t="str">
        <x:v>로그인</x:v>
      </x:c>
      <x:c r="D640" s="14" t="str">
        <x:v>로그인 정보 입력</x:v>
      </x:c>
      <x:c r="E640" s="14" t="str">
        <x:v>사용성 가이드라인</x:v>
      </x:c>
      <x:c r="F640" s="14" t="str">
        <x:v>05</x:v>
      </x:c>
      <x:c r="G640" s="14" t="n">
        <x:v>1016</x:v>
      </x:c>
      <x:c r="H640" s="14" t="n">
        <x:v>1016</x:v>
      </x:c>
      <x:c r="I640" s="14" t="str">
        <x:v>1021</x:v>
      </x:c>
      <x:c r="J640" s="14" t="str">
        <x:v>아이디/비밀번호 찾기 링크를 제공한다.</x:v>
      </x:c>
      <x:c r="K640" s="14" t="str">
        <x:v>UI-084, UI-122</x:v>
      </x:c>
      <x:c r="L640" s="14" t="str">
        <x:v>추출 후 기본 구조 검토; 원문 적용수준·전체 맥락 재확인 필요</x:v>
      </x:c>
      <x:c r="M640" s="14" t="str">
        <x:v>미확인</x:v>
      </x:c>
    </x:row>
    <x:row r="641" ht="37.5" customHeight="1">
      <x:c r="A641" s="13" t="str">
        <x:v>KRDS-SEC-088-U-06</x:v>
      </x:c>
      <x:c r="B641" s="13" t="str">
        <x:v>서비스 패턴</x:v>
      </x:c>
      <x:c r="C641" s="13" t="str">
        <x:v>로그인</x:v>
      </x:c>
      <x:c r="D641" s="13" t="str">
        <x:v>로그인 정보 입력</x:v>
      </x:c>
      <x:c r="E641" s="13" t="str">
        <x:v>사용성 가이드라인</x:v>
      </x:c>
      <x:c r="F641" s="13" t="str">
        <x:v>06</x:v>
      </x:c>
      <x:c r="G641" s="13" t="n">
        <x:v>1016</x:v>
      </x:c>
      <x:c r="H641" s="13" t="n">
        <x:v>1016</x:v>
      </x:c>
      <x:c r="I641" s="13" t="str">
        <x:v>1022</x:v>
      </x:c>
      <x:c r="J641" s="13" t="str">
        <x:v>오류 메시지는 명확하고 간결하게 제공한다.</x:v>
      </x:c>
      <x:c r="K641" s="13" t="str">
        <x:v>UI-084, UI-122</x:v>
      </x:c>
      <x:c r="L641" s="13" t="str">
        <x:v>추출 후 기본 구조 검토; 원문 적용수준·전체 맥락 재확인 필요</x:v>
      </x:c>
      <x:c r="M641" s="13" t="str">
        <x:v>미확인</x:v>
      </x:c>
    </x:row>
    <x:row r="642" ht="37.5" customHeight="1">
      <x:c r="A642" s="14" t="str">
        <x:v>KRDS-SEC-088-A-01</x:v>
      </x:c>
      <x:c r="B642" s="14" t="str">
        <x:v>서비스 패턴</x:v>
      </x:c>
      <x:c r="C642" s="14" t="str">
        <x:v>로그인</x:v>
      </x:c>
      <x:c r="D642" s="14" t="str">
        <x:v>로그인 정보 입력</x:v>
      </x:c>
      <x:c r="E642" s="14" t="str">
        <x:v>접근성 가이드라인</x:v>
      </x:c>
      <x:c r="F642" s="14" t="str">
        <x:v>01</x:v>
      </x:c>
      <x:c r="G642" s="14" t="n">
        <x:v>1024</x:v>
      </x:c>
      <x:c r="H642" s="14" t="n">
        <x:v>1024</x:v>
      </x:c>
      <x:c r="I642" s="14" t="str"/>
      <x:c r="J642" s="14" t="str">
        <x:v>초점이 논리적인 순서로 이동할 수 있도록 제공한다.</x:v>
      </x:c>
      <x:c r="K642" s="14" t="str">
        <x:v>UI-084, UI-122</x:v>
      </x:c>
      <x:c r="L642" s="14" t="str">
        <x:v>추출 후 기본 구조 검토; 원문 적용수준·전체 맥락 재확인 필요</x:v>
      </x:c>
      <x:c r="M642" s="14" t="str">
        <x:v>미확인</x:v>
      </x:c>
    </x:row>
    <x:row r="643" ht="37.5" customHeight="1">
      <x:c r="A643" s="13" t="str">
        <x:v>KRDS-SEC-088-A-02</x:v>
      </x:c>
      <x:c r="B643" s="13" t="str">
        <x:v>서비스 패턴</x:v>
      </x:c>
      <x:c r="C643" s="13" t="str">
        <x:v>로그인</x:v>
      </x:c>
      <x:c r="D643" s="13" t="str">
        <x:v>로그인 정보 입력</x:v>
      </x:c>
      <x:c r="E643" s="13" t="str">
        <x:v>접근성 가이드라인</x:v>
      </x:c>
      <x:c r="F643" s="13" t="str">
        <x:v>02</x:v>
      </x:c>
      <x:c r="G643" s="13" t="n">
        <x:v>1024</x:v>
      </x:c>
      <x:c r="H643" s="13" t="n">
        <x:v>1024</x:v>
      </x:c>
      <x:c r="I643" s="13" t="str"/>
      <x:c r="J643" s="13" t="str">
        <x:v>입력 필드에 자동 완성 속성을 설정한다.</x:v>
      </x:c>
      <x:c r="K643" s="13" t="str">
        <x:v>UI-084, UI-122</x:v>
      </x:c>
      <x:c r="L643" s="13" t="str">
        <x:v>추출 후 기본 구조 검토; 원문 적용수준·전체 맥락 재확인 필요</x:v>
      </x:c>
      <x:c r="M643" s="13" t="str">
        <x:v>미확인</x:v>
      </x:c>
    </x:row>
    <x:row r="644" ht="37.5" customHeight="1">
      <x:c r="A644" s="14" t="str">
        <x:v>KRDS-SEC-089-U-01</x:v>
      </x:c>
      <x:c r="B644" s="14" t="str">
        <x:v>서비스 패턴</x:v>
      </x:c>
      <x:c r="C644" s="14" t="str">
        <x:v>로그인</x:v>
      </x:c>
      <x:c r="D644" s="14" t="str">
        <x:v>로그인 완료</x:v>
      </x:c>
      <x:c r="E644" s="14" t="str">
        <x:v>사용성 가이드라인</x:v>
      </x:c>
      <x:c r="F644" s="14" t="str">
        <x:v>01</x:v>
      </x:c>
      <x:c r="G644" s="14" t="n">
        <x:v>1028</x:v>
      </x:c>
      <x:c r="H644" s="14" t="n">
        <x:v>1028</x:v>
      </x:c>
      <x:c r="I644" s="14" t="str">
        <x:v>1029</x:v>
      </x:c>
      <x:c r="J644" s="14" t="str">
        <x:v>로그인이 완료된 후, 로그인 상황에 적합한 화면으로 이동해야 한다.</x:v>
      </x:c>
      <x:c r="K644" s="14" t="str">
        <x:v>UI-085</x:v>
      </x:c>
      <x:c r="L644" s="14" t="str">
        <x:v>추출 후 기본 구조 검토; 원문 적용수준·전체 맥락 재확인 필요</x:v>
      </x:c>
      <x:c r="M644" s="14" t="str">
        <x:v>미확인</x:v>
      </x:c>
    </x:row>
    <x:row r="645" ht="37.5" customHeight="1">
      <x:c r="A645" s="13" t="str">
        <x:v>KRDS-SEC-089-U-02</x:v>
      </x:c>
      <x:c r="B645" s="13" t="str">
        <x:v>서비스 패턴</x:v>
      </x:c>
      <x:c r="C645" s="13" t="str">
        <x:v>로그인</x:v>
      </x:c>
      <x:c r="D645" s="13" t="str">
        <x:v>로그인 완료</x:v>
      </x:c>
      <x:c r="E645" s="13" t="str">
        <x:v>사용성 가이드라인</x:v>
      </x:c>
      <x:c r="F645" s="13" t="str">
        <x:v>02</x:v>
      </x:c>
      <x:c r="G645" s="13" t="n">
        <x:v>1028</x:v>
      </x:c>
      <x:c r="H645" s="13" t="n">
        <x:v>1028</x:v>
      </x:c>
      <x:c r="I645" s="13" t="str">
        <x:v>1032</x:v>
      </x:c>
      <x:c r="J645" s="13" t="str">
        <x:v>로그인 상태로 전환되었음을 명확하게 표현한다.</x:v>
      </x:c>
      <x:c r="K645" s="13" t="str">
        <x:v>UI-085</x:v>
      </x:c>
      <x:c r="L645" s="13" t="str">
        <x:v>추출 후 기본 구조 검토; 원문 적용수준·전체 맥락 재확인 필요</x:v>
      </x:c>
      <x:c r="M645" s="13" t="str">
        <x:v>미확인</x:v>
      </x:c>
    </x:row>
    <x:row r="646" ht="37.5" customHeight="1">
      <x:c r="A646" s="14" t="str">
        <x:v>KRDS-SEC-089-A-01</x:v>
      </x:c>
      <x:c r="B646" s="14" t="str">
        <x:v>서비스 패턴</x:v>
      </x:c>
      <x:c r="C646" s="14" t="str">
        <x:v>로그인</x:v>
      </x:c>
      <x:c r="D646" s="14" t="str">
        <x:v>로그인 완료</x:v>
      </x:c>
      <x:c r="E646" s="14" t="str">
        <x:v>접근성 가이드라인</x:v>
      </x:c>
      <x:c r="F646" s="14" t="str">
        <x:v>01</x:v>
      </x:c>
      <x:c r="G646" s="14" t="n">
        <x:v>1033</x:v>
      </x:c>
      <x:c r="H646" s="14" t="n">
        <x:v>1033</x:v>
      </x:c>
      <x:c r="I646" s="14" t="str"/>
      <x:c r="J646" s="14" t="str">
        <x:v>로그인 완료 후 화면이 로딩되었을 때 초점은 문서 가장 처음부터 접근되도록 한다.</x:v>
      </x:c>
      <x:c r="K646" s="14" t="str">
        <x:v>UI-085</x:v>
      </x:c>
      <x:c r="L646" s="14" t="str">
        <x:v>추출 후 기본 구조 검토; 원문 적용수준·전체 맥락 재확인 필요</x:v>
      </x:c>
      <x:c r="M646" s="14" t="str">
        <x:v>미확인</x:v>
      </x:c>
    </x:row>
    <x:row r="647" ht="37.5" customHeight="1">
      <x:c r="A647" s="13" t="str">
        <x:v>KRDS-SEC-090-U-01</x:v>
      </x:c>
      <x:c r="B647" s="13" t="str">
        <x:v>서비스 패턴</x:v>
      </x:c>
      <x:c r="C647" s="13" t="str">
        <x:v>로그인</x:v>
      </x:c>
      <x:c r="D647" s="13" t="str">
        <x:v>서비스 이용</x:v>
      </x:c>
      <x:c r="E647" s="13" t="str">
        <x:v>사용성 가이드라인</x:v>
      </x:c>
      <x:c r="F647" s="13" t="str">
        <x:v>01</x:v>
      </x:c>
      <x:c r="G647" s="13" t="n">
        <x:v>1036</x:v>
      </x:c>
      <x:c r="H647" s="13" t="n">
        <x:v>1036</x:v>
      </x:c>
      <x:c r="I647" s="13" t="str">
        <x:v>1037</x:v>
      </x:c>
      <x:c r="J647" s="13" t="str">
        <x:v>사용자에게 로그인 세션이 만료되기 전에 유지 시간에 제한이 있음을 안내한다.</x:v>
      </x:c>
      <x:c r="K647" s="13" t="str">
        <x:v>UI-086, UI-123</x:v>
      </x:c>
      <x:c r="L647" s="13" t="str">
        <x:v>추출 후 기본 구조 검토; 원문 적용수준·전체 맥락 재확인 필요</x:v>
      </x:c>
      <x:c r="M647" s="13" t="str">
        <x:v>미확인</x:v>
      </x:c>
    </x:row>
    <x:row r="648" ht="37.5" customHeight="1">
      <x:c r="A648" s="14" t="str">
        <x:v>KRDS-SEC-090-U-02</x:v>
      </x:c>
      <x:c r="B648" s="14" t="str">
        <x:v>서비스 패턴</x:v>
      </x:c>
      <x:c r="C648" s="14" t="str">
        <x:v>로그인</x:v>
      </x:c>
      <x:c r="D648" s="14" t="str">
        <x:v>서비스 이용</x:v>
      </x:c>
      <x:c r="E648" s="14" t="str">
        <x:v>사용성 가이드라인</x:v>
      </x:c>
      <x:c r="F648" s="14" t="str">
        <x:v>02</x:v>
      </x:c>
      <x:c r="G648" s="14" t="n">
        <x:v>1036</x:v>
      </x:c>
      <x:c r="H648" s="14" t="n">
        <x:v>1036</x:v>
      </x:c>
      <x:c r="I648" s="14" t="str">
        <x:v>1038</x:v>
      </x:c>
      <x:c r="J648" s="14" t="str">
        <x:v>로그인 세션 시간 만료에 대한 안내는 모달로 제공하여 사용자의 과업 맥락이 유지될 수 있도록 한다.</x:v>
      </x:c>
      <x:c r="K648" s="14" t="str">
        <x:v>UI-086, UI-123</x:v>
      </x:c>
      <x:c r="L648" s="14" t="str">
        <x:v>추출 후 기본 구조 검토; 원문 적용수준·전체 맥락 재확인 필요</x:v>
      </x:c>
      <x:c r="M648" s="14" t="str">
        <x:v>미확인</x:v>
      </x:c>
    </x:row>
    <x:row r="649" ht="37.5" customHeight="1">
      <x:c r="A649" s="13" t="str">
        <x:v>KRDS-SEC-090-U-03</x:v>
      </x:c>
      <x:c r="B649" s="13" t="str">
        <x:v>서비스 패턴</x:v>
      </x:c>
      <x:c r="C649" s="13" t="str">
        <x:v>로그인</x:v>
      </x:c>
      <x:c r="D649" s="13" t="str">
        <x:v>서비스 이용</x:v>
      </x:c>
      <x:c r="E649" s="13" t="str">
        <x:v>사용성 가이드라인</x:v>
      </x:c>
      <x:c r="F649" s="13" t="str">
        <x:v>03</x:v>
      </x:c>
      <x:c r="G649" s="13" t="n">
        <x:v>1036</x:v>
      </x:c>
      <x:c r="H649" s="13" t="n">
        <x:v>1036</x:v>
      </x:c>
      <x:c r="I649" s="13" t="str">
        <x:v>1039</x:v>
      </x:c>
      <x:c r="J649" s="13" t="str">
        <x:v>로그인 세션 시간 만료에 대한 안내는 세션이 만료되기 최소 20초 전에 제공한다.</x:v>
      </x:c>
      <x:c r="K649" s="13" t="str">
        <x:v>UI-086, UI-123</x:v>
      </x:c>
      <x:c r="L649" s="13" t="str">
        <x:v>추출 후 기본 구조 검토; 원문 적용수준·전체 맥락 재확인 필요</x:v>
      </x:c>
      <x:c r="M649" s="13" t="str">
        <x:v>미확인</x:v>
      </x:c>
    </x:row>
    <x:row r="650" ht="37.5" customHeight="1">
      <x:c r="A650" s="14" t="str">
        <x:v>KRDS-SEC-090-U-04</x:v>
      </x:c>
      <x:c r="B650" s="14" t="str">
        <x:v>서비스 패턴</x:v>
      </x:c>
      <x:c r="C650" s="14" t="str">
        <x:v>로그인</x:v>
      </x:c>
      <x:c r="D650" s="14" t="str">
        <x:v>서비스 이용</x:v>
      </x:c>
      <x:c r="E650" s="14" t="str">
        <x:v>사용성 가이드라인</x:v>
      </x:c>
      <x:c r="F650" s="14" t="str">
        <x:v>04</x:v>
      </x:c>
      <x:c r="G650" s="14" t="n">
        <x:v>1036</x:v>
      </x:c>
      <x:c r="H650" s="14" t="n">
        <x:v>1036</x:v>
      </x:c>
      <x:c r="I650" s="14" t="str">
        <x:v>1040</x:v>
      </x:c>
      <x:c r="J650" s="14" t="str">
        <x:v>로그인 만료 안내 모달에 시간 연장하기 버튼과 로그아웃하기 버튼을 제공한다.</x:v>
      </x:c>
      <x:c r="K650" s="14" t="str">
        <x:v>UI-086, UI-123</x:v>
      </x:c>
      <x:c r="L650" s="14" t="str">
        <x:v>추출 후 기본 구조 검토; 원문 적용수준·전체 맥락 재확인 필요</x:v>
      </x:c>
      <x:c r="M650" s="14" t="str">
        <x:v>미확인</x:v>
      </x:c>
    </x:row>
    <x:row r="651" ht="37.5" customHeight="1">
      <x:c r="A651" s="13" t="str">
        <x:v>KRDS-SEC-090-A-01</x:v>
      </x:c>
      <x:c r="B651" s="13" t="str">
        <x:v>서비스 패턴</x:v>
      </x:c>
      <x:c r="C651" s="13" t="str">
        <x:v>로그인</x:v>
      </x:c>
      <x:c r="D651" s="13" t="str">
        <x:v>서비스 이용</x:v>
      </x:c>
      <x:c r="E651" s="13" t="str">
        <x:v>접근성 가이드라인</x:v>
      </x:c>
      <x:c r="F651" s="13" t="str">
        <x:v>01</x:v>
      </x:c>
      <x:c r="G651" s="13" t="n">
        <x:v>1041</x:v>
      </x:c>
      <x:c r="H651" s="13" t="n">
        <x:v>1041</x:v>
      </x:c>
      <x:c r="I651" s="13" t="str"/>
      <x:c r="J651" s="13" t="str">
        <x:v>로그인 만료 안내 모달이 활성화된 상태에서 아무 키나 눌렀을 때 연장 가능하도록 한다.</x:v>
      </x:c>
      <x:c r="K651" s="13" t="str">
        <x:v>UI-086, UI-123</x:v>
      </x:c>
      <x:c r="L651" s="13" t="str">
        <x:v>추출 후 기본 구조 검토; 원문 적용수준·전체 맥락 재확인 필요</x:v>
      </x:c>
      <x:c r="M651" s="13" t="str">
        <x:v>미확인</x:v>
      </x:c>
    </x:row>
    <x:row r="652" ht="37.5" customHeight="1">
      <x:c r="A652" s="14" t="str">
        <x:v>KRDS-SEC-090-A-02</x:v>
      </x:c>
      <x:c r="B652" s="14" t="str">
        <x:v>서비스 패턴</x:v>
      </x:c>
      <x:c r="C652" s="14" t="str">
        <x:v>로그인</x:v>
      </x:c>
      <x:c r="D652" s="14" t="str">
        <x:v>서비스 이용</x:v>
      </x:c>
      <x:c r="E652" s="14" t="str">
        <x:v>접근성 가이드라인</x:v>
      </x:c>
      <x:c r="F652" s="14" t="str">
        <x:v>02</x:v>
      </x:c>
      <x:c r="G652" s="14" t="n">
        <x:v>1041</x:v>
      </x:c>
      <x:c r="H652" s="14" t="n">
        <x:v>1041</x:v>
      </x:c>
      <x:c r="I652" s="14" t="str"/>
      <x:c r="J652" s="14" t="str">
        <x:v>시간 연장은 최소 10회 이상 수행할 수 있도록 제공한다.</x:v>
      </x:c>
      <x:c r="K652" s="14" t="str">
        <x:v>UI-086, UI-123</x:v>
      </x:c>
      <x:c r="L652" s="14" t="str">
        <x:v>추출 후 기본 구조 검토; 원문 적용수준·전체 맥락 재확인 필요</x:v>
      </x:c>
      <x:c r="M652" s="14" t="str">
        <x:v>미확인</x:v>
      </x:c>
    </x:row>
    <x:row r="653" ht="37.5" customHeight="1">
      <x:c r="A653" s="13" t="str">
        <x:v>KRDS-SEC-091-U-01</x:v>
      </x:c>
      <x:c r="B653" s="13" t="str">
        <x:v>서비스 패턴</x:v>
      </x:c>
      <x:c r="C653" s="13" t="str">
        <x:v>로그인</x:v>
      </x:c>
      <x:c r="D653" s="13" t="str">
        <x:v>로그아웃</x:v>
      </x:c>
      <x:c r="E653" s="13" t="str">
        <x:v>사용성 가이드라인</x:v>
      </x:c>
      <x:c r="F653" s="13" t="str">
        <x:v>01</x:v>
      </x:c>
      <x:c r="G653" s="13" t="n">
        <x:v>1045</x:v>
      </x:c>
      <x:c r="H653" s="13" t="n">
        <x:v>1045</x:v>
      </x:c>
      <x:c r="I653" s="13" t="str">
        <x:v>1046</x:v>
      </x:c>
      <x:c r="J653" s="13" t="str">
        <x:v>로그아웃 상태로 전환되었음을 분명하게 보여준다.</x:v>
      </x:c>
      <x:c r="K653" s="13" t="str">
        <x:v>UI-087</x:v>
      </x:c>
      <x:c r="L653" s="13" t="str">
        <x:v>추출 후 기본 구조 검토; 원문 적용수준·전체 맥락 재확인 필요</x:v>
      </x:c>
      <x:c r="M653" s="13" t="str">
        <x:v>미확인</x:v>
      </x:c>
    </x:row>
    <x:row r="654" ht="37.5" customHeight="1">
      <x:c r="A654" s="14" t="str">
        <x:v>KRDS-SEC-091-U-02</x:v>
      </x:c>
      <x:c r="B654" s="14" t="str">
        <x:v>서비스 패턴</x:v>
      </x:c>
      <x:c r="C654" s="14" t="str">
        <x:v>로그인</x:v>
      </x:c>
      <x:c r="D654" s="14" t="str">
        <x:v>로그아웃</x:v>
      </x:c>
      <x:c r="E654" s="14" t="str">
        <x:v>사용성 가이드라인</x:v>
      </x:c>
      <x:c r="F654" s="14" t="str">
        <x:v>02</x:v>
      </x:c>
      <x:c r="G654" s="14" t="n">
        <x:v>1045</x:v>
      </x:c>
      <x:c r="H654" s="14" t="n">
        <x:v>1045</x:v>
      </x:c>
      <x:c r="I654" s="14" t="str">
        <x:v>1047</x:v>
      </x:c>
      <x:c r="J654" s="14" t="str">
        <x:v>사용자 요청에 의해 로그아웃이 실행되는 경우 결과 화면과 로그아웃 실행 사이에 스피너를 제공한다.</x:v>
      </x:c>
      <x:c r="K654" s="14" t="str">
        <x:v>UI-087</x:v>
      </x:c>
      <x:c r="L654" s="14" t="str">
        <x:v>추출 후 기본 구조 검토; 원문 적용수준·전체 맥락 재확인 필요</x:v>
      </x:c>
      <x:c r="M654" s="14" t="str">
        <x:v>미확인</x:v>
      </x:c>
    </x:row>
    <x:row r="655" ht="37.5" customHeight="1">
      <x:c r="A655" s="13" t="str">
        <x:v>KRDS-SEC-091-U-03</x:v>
      </x:c>
      <x:c r="B655" s="13" t="str">
        <x:v>서비스 패턴</x:v>
      </x:c>
      <x:c r="C655" s="13" t="str">
        <x:v>로그인</x:v>
      </x:c>
      <x:c r="D655" s="13" t="str">
        <x:v>로그아웃</x:v>
      </x:c>
      <x:c r="E655" s="13" t="str">
        <x:v>사용성 가이드라인</x:v>
      </x:c>
      <x:c r="F655" s="13" t="str">
        <x:v>03</x:v>
      </x:c>
      <x:c r="G655" s="13" t="n">
        <x:v>1045</x:v>
      </x:c>
      <x:c r="H655" s="13" t="n">
        <x:v>1045</x:v>
      </x:c>
      <x:c r="I655" s="13" t="str">
        <x:v>1048</x:v>
      </x:c>
      <x:c r="J655" s="13" t="str">
        <x:v>로그아웃이 완료된 후, 상황에 적합한 화면으로 이동해야 한다.</x:v>
      </x:c>
      <x:c r="K655" s="13" t="str">
        <x:v>UI-087</x:v>
      </x:c>
      <x:c r="L655" s="13" t="str">
        <x:v>추출 후 기본 구조 검토; 원문 적용수준·전체 맥락 재확인 필요</x:v>
      </x:c>
      <x:c r="M655" s="13" t="str">
        <x:v>미확인</x:v>
      </x:c>
    </x:row>
    <x:row r="656" ht="37.5" customHeight="1">
      <x:c r="A656" s="14" t="str">
        <x:v>KRDS-SEC-091-U-04</x:v>
      </x:c>
      <x:c r="B656" s="14" t="str">
        <x:v>서비스 패턴</x:v>
      </x:c>
      <x:c r="C656" s="14" t="str">
        <x:v>로그인</x:v>
      </x:c>
      <x:c r="D656" s="14" t="str">
        <x:v>로그아웃</x:v>
      </x:c>
      <x:c r="E656" s="14" t="str">
        <x:v>사용성 가이드라인</x:v>
      </x:c>
      <x:c r="F656" s="14" t="str">
        <x:v>04</x:v>
      </x:c>
      <x:c r="G656" s="14" t="n">
        <x:v>1045</x:v>
      </x:c>
      <x:c r="H656" s="14" t="n">
        <x:v>1045</x:v>
      </x:c>
      <x:c r="I656" s="14" t="str">
        <x:v>1049</x:v>
      </x:c>
      <x:c r="J656" s="14" t="str">
        <x:v>로그아웃에 대한 안내는 별도의 화면으로 구성하여 제공한다.</x:v>
      </x:c>
      <x:c r="K656" s="14" t="str">
        <x:v>UI-087</x:v>
      </x:c>
      <x:c r="L656" s="14" t="str">
        <x:v>추출 후 기본 구조 검토; 원문 적용수준·전체 맥락 재확인 필요</x:v>
      </x:c>
      <x:c r="M656" s="14" t="str">
        <x:v>미확인</x:v>
      </x:c>
    </x:row>
    <x:row r="657" ht="37.5" customHeight="1">
      <x:c r="A657" s="13" t="str">
        <x:v>KRDS-SEC-091-U-05</x:v>
      </x:c>
      <x:c r="B657" s="13" t="str">
        <x:v>서비스 패턴</x:v>
      </x:c>
      <x:c r="C657" s="13" t="str">
        <x:v>로그인</x:v>
      </x:c>
      <x:c r="D657" s="13" t="str">
        <x:v>로그아웃</x:v>
      </x:c>
      <x:c r="E657" s="13" t="str">
        <x:v>사용성 가이드라인</x:v>
      </x:c>
      <x:c r="F657" s="13" t="str">
        <x:v>05</x:v>
      </x:c>
      <x:c r="G657" s="13" t="n">
        <x:v>1045</x:v>
      </x:c>
      <x:c r="H657" s="13" t="n">
        <x:v>1045</x:v>
      </x:c>
      <x:c r="I657" s="13" t="str">
        <x:v>1050</x:v>
      </x:c>
      <x:c r="J657" s="13" t="str">
        <x:v>로그아웃 안내 화면에 사용자의 행동을 유도할 수 있는 액션 버튼을 제공한다.</x:v>
      </x:c>
      <x:c r="K657" s="13" t="str">
        <x:v>UI-087</x:v>
      </x:c>
      <x:c r="L657" s="13" t="str">
        <x:v>추출 후 기본 구조 검토; 원문 적용수준·전체 맥락 재확인 필요</x:v>
      </x:c>
      <x:c r="M657" s="13" t="str">
        <x:v>미확인</x:v>
      </x:c>
    </x:row>
    <x:row r="658" ht="37.5" customHeight="1">
      <x:c r="A658" s="14" t="str">
        <x:v>KRDS-SEC-093-U-01</x:v>
      </x:c>
      <x:c r="B658" s="14" t="str">
        <x:v>서비스 패턴</x:v>
      </x:c>
      <x:c r="C658" s="14" t="str">
        <x:v>신청</x:v>
      </x:c>
      <x:c r="D658" s="14" t="str">
        <x:v>신청 대상 탐색</x:v>
      </x:c>
      <x:c r="E658" s="14" t="str">
        <x:v>사용성 가이드라인</x:v>
      </x:c>
      <x:c r="F658" s="14" t="str">
        <x:v>01</x:v>
      </x:c>
      <x:c r="G658" s="14" t="n">
        <x:v>1057</x:v>
      </x:c>
      <x:c r="H658" s="14" t="n">
        <x:v>1057</x:v>
      </x:c>
      <x:c r="I658" s="14" t="str">
        <x:v>1058</x:v>
      </x:c>
      <x:c r="J658" s="14" t="str">
        <x:v>신청 서비스의 특성에 따른 적절한 서비스 목록 정렬 방식을 사용한다.</x:v>
      </x:c>
      <x:c r="K658" s="14" t="str">
        <x:v>UI-088</x:v>
      </x:c>
      <x:c r="L658" s="14" t="str">
        <x:v>추출 후 기본 구조 검토; 원문 적용수준·전체 맥락 재확인 필요</x:v>
      </x:c>
      <x:c r="M658" s="14" t="str">
        <x:v>미확인</x:v>
      </x:c>
    </x:row>
    <x:row r="659" ht="37.5" customHeight="1">
      <x:c r="A659" s="13" t="str">
        <x:v>KRDS-SEC-093-U-02</x:v>
      </x:c>
      <x:c r="B659" s="13" t="str">
        <x:v>서비스 패턴</x:v>
      </x:c>
      <x:c r="C659" s="13" t="str">
        <x:v>신청</x:v>
      </x:c>
      <x:c r="D659" s="13" t="str">
        <x:v>신청 대상 탐색</x:v>
      </x:c>
      <x:c r="E659" s="13" t="str">
        <x:v>사용성 가이드라인</x:v>
      </x:c>
      <x:c r="F659" s="13" t="str">
        <x:v>02</x:v>
      </x:c>
      <x:c r="G659" s="13" t="n">
        <x:v>1057</x:v>
      </x:c>
      <x:c r="H659" s="13" t="n">
        <x:v>1057</x:v>
      </x:c>
      <x:c r="I659" s="13" t="str">
        <x:v>1059</x:v>
      </x:c>
      <x:c r="J659" s="13" t="str">
        <x:v>목록을 적절한 방식으로 군집화하여 메타 데이터를 부여한다.</x:v>
      </x:c>
      <x:c r="K659" s="13" t="str">
        <x:v>UI-088</x:v>
      </x:c>
      <x:c r="L659" s="13" t="str">
        <x:v>추출 후 기본 구조 검토; 원문 적용수준·전체 맥락 재확인 필요</x:v>
      </x:c>
      <x:c r="M659" s="13" t="str">
        <x:v>미확인</x:v>
      </x:c>
    </x:row>
    <x:row r="660" ht="37.5" customHeight="1">
      <x:c r="A660" s="14" t="str">
        <x:v>KRDS-SEC-093-U-03</x:v>
      </x:c>
      <x:c r="B660" s="14" t="str">
        <x:v>서비스 패턴</x:v>
      </x:c>
      <x:c r="C660" s="14" t="str">
        <x:v>신청</x:v>
      </x:c>
      <x:c r="D660" s="14" t="str">
        <x:v>신청 대상 탐색</x:v>
      </x:c>
      <x:c r="E660" s="14" t="str">
        <x:v>사용성 가이드라인</x:v>
      </x:c>
      <x:c r="F660" s="14" t="str">
        <x:v>03</x:v>
      </x:c>
      <x:c r="G660" s="14" t="n">
        <x:v>1057</x:v>
      </x:c>
      <x:c r="H660" s="14" t="n">
        <x:v>1057</x:v>
      </x:c>
      <x:c r="I660" s="14" t="str">
        <x:v>1060</x:v>
      </x:c>
      <x:c r="J660" s="14" t="str">
        <x:v>신청 상태 정보를 명확하게 인지할 수 있도록 표현한다.</x:v>
      </x:c>
      <x:c r="K660" s="14" t="str">
        <x:v>UI-088</x:v>
      </x:c>
      <x:c r="L660" s="14" t="str">
        <x:v>추출 후 기본 구조 검토; 원문 적용수준·전체 맥락 재확인 필요</x:v>
      </x:c>
      <x:c r="M660" s="14" t="str">
        <x:v>미확인</x:v>
      </x:c>
    </x:row>
    <x:row r="661" ht="37.5" customHeight="1">
      <x:c r="A661" s="13" t="str">
        <x:v>KRDS-SEC-093-U-04</x:v>
      </x:c>
      <x:c r="B661" s="13" t="str">
        <x:v>서비스 패턴</x:v>
      </x:c>
      <x:c r="C661" s="13" t="str">
        <x:v>신청</x:v>
      </x:c>
      <x:c r="D661" s="13" t="str">
        <x:v>신청 대상 탐색</x:v>
      </x:c>
      <x:c r="E661" s="13" t="str">
        <x:v>사용성 가이드라인</x:v>
      </x:c>
      <x:c r="F661" s="13" t="str">
        <x:v>04</x:v>
      </x:c>
      <x:c r="G661" s="13" t="n">
        <x:v>1057</x:v>
      </x:c>
      <x:c r="H661" s="13" t="n">
        <x:v>1057</x:v>
      </x:c>
      <x:c r="I661" s="13" t="str">
        <x:v>1061</x:v>
      </x:c>
      <x:c r="J661" s="13" t="str">
        <x:v>미리보기/요약에 신청 가능 기한 정보를 제공한다.</x:v>
      </x:c>
      <x:c r="K661" s="13" t="str">
        <x:v>UI-088</x:v>
      </x:c>
      <x:c r="L661" s="13" t="str">
        <x:v>추출 후 기본 구조 검토; 원문 적용수준·전체 맥락 재확인 필요</x:v>
      </x:c>
      <x:c r="M661" s="13" t="str">
        <x:v>미확인</x:v>
      </x:c>
    </x:row>
    <x:row r="662" ht="37.5" customHeight="1">
      <x:c r="A662" s="14" t="str">
        <x:v>KRDS-SEC-093-U-05</x:v>
      </x:c>
      <x:c r="B662" s="14" t="str">
        <x:v>서비스 패턴</x:v>
      </x:c>
      <x:c r="C662" s="14" t="str">
        <x:v>신청</x:v>
      </x:c>
      <x:c r="D662" s="14" t="str">
        <x:v>신청 대상 탐색</x:v>
      </x:c>
      <x:c r="E662" s="14" t="str">
        <x:v>사용성 가이드라인</x:v>
      </x:c>
      <x:c r="F662" s="14" t="str">
        <x:v>05</x:v>
      </x:c>
      <x:c r="G662" s="14" t="n">
        <x:v>1057</x:v>
      </x:c>
      <x:c r="H662" s="14" t="n">
        <x:v>1057</x:v>
      </x:c>
      <x:c r="I662" s="14" t="str">
        <x:v>1062</x:v>
      </x:c>
      <x:c r="J662" s="14" t="str">
        <x:v>제목에 공식적인 서비스 명칭을 사용한다.</x:v>
      </x:c>
      <x:c r="K662" s="14" t="str">
        <x:v>UI-088</x:v>
      </x:c>
      <x:c r="L662" s="14" t="str">
        <x:v>추출 후 기본 구조 검토; 원문 적용수준·전체 맥락 재확인 필요</x:v>
      </x:c>
      <x:c r="M662" s="14" t="str">
        <x:v>미확인</x:v>
      </x:c>
    </x:row>
    <x:row r="663" ht="37.5" customHeight="1">
      <x:c r="A663" s="13" t="str">
        <x:v>KRDS-SEC-093-U-06</x:v>
      </x:c>
      <x:c r="B663" s="13" t="str">
        <x:v>서비스 패턴</x:v>
      </x:c>
      <x:c r="C663" s="13" t="str">
        <x:v>신청</x:v>
      </x:c>
      <x:c r="D663" s="13" t="str">
        <x:v>신청 대상 탐색</x:v>
      </x:c>
      <x:c r="E663" s="13" t="str">
        <x:v>사용성 가이드라인</x:v>
      </x:c>
      <x:c r="F663" s="13" t="str">
        <x:v>06</x:v>
      </x:c>
      <x:c r="G663" s="13" t="n">
        <x:v>1057</x:v>
      </x:c>
      <x:c r="H663" s="13" t="n">
        <x:v>1057</x:v>
      </x:c>
      <x:c r="I663" s="13" t="str">
        <x:v>1063</x:v>
      </x:c>
      <x:c r="J663" s="13" t="str">
        <x:v>제목에 말줄임표를 사용하지 않는다.</x:v>
      </x:c>
      <x:c r="K663" s="13" t="str">
        <x:v>UI-088</x:v>
      </x:c>
      <x:c r="L663" s="13" t="str">
        <x:v>추출 후 기본 구조 검토; 원문 적용수준·전체 맥락 재확인 필요</x:v>
      </x:c>
      <x:c r="M663" s="13" t="str">
        <x:v>미확인</x:v>
      </x:c>
    </x:row>
    <x:row r="664" ht="37.5" customHeight="1">
      <x:c r="A664" s="14" t="str">
        <x:v>KRDS-SEC-093-U-07</x:v>
      </x:c>
      <x:c r="B664" s="14" t="str">
        <x:v>서비스 패턴</x:v>
      </x:c>
      <x:c r="C664" s="14" t="str">
        <x:v>신청</x:v>
      </x:c>
      <x:c r="D664" s="14" t="str">
        <x:v>신청 대상 탐색</x:v>
      </x:c>
      <x:c r="E664" s="14" t="str">
        <x:v>사용성 가이드라인</x:v>
      </x:c>
      <x:c r="F664" s="14" t="str">
        <x:v>07</x:v>
      </x:c>
      <x:c r="G664" s="14" t="n">
        <x:v>1057</x:v>
      </x:c>
      <x:c r="H664" s="14" t="n">
        <x:v>1057</x:v>
      </x:c>
      <x:c r="I664" s="14" t="str">
        <x:v>1064</x:v>
      </x:c>
      <x:c r="J664" s="14" t="str">
        <x:v>미리보기/요약 텍스트는 간결하게 작성한다.</x:v>
      </x:c>
      <x:c r="K664" s="14" t="str">
        <x:v>UI-088</x:v>
      </x:c>
      <x:c r="L664" s="14" t="str">
        <x:v>추출 후 기본 구조 검토; 원문 적용수준·전체 맥락 재확인 필요</x:v>
      </x:c>
      <x:c r="M664" s="14" t="str">
        <x:v>미확인</x:v>
      </x:c>
    </x:row>
    <x:row r="665" ht="37.5" customHeight="1">
      <x:c r="A665" s="13" t="str">
        <x:v>KRDS-SEC-093-U-08</x:v>
      </x:c>
      <x:c r="B665" s="13" t="str">
        <x:v>서비스 패턴</x:v>
      </x:c>
      <x:c r="C665" s="13" t="str">
        <x:v>신청</x:v>
      </x:c>
      <x:c r="D665" s="13" t="str">
        <x:v>신청 대상 탐색</x:v>
      </x:c>
      <x:c r="E665" s="13" t="str">
        <x:v>사용성 가이드라인</x:v>
      </x:c>
      <x:c r="F665" s="13" t="str">
        <x:v>08</x:v>
      </x:c>
      <x:c r="G665" s="13" t="n">
        <x:v>1057</x:v>
      </x:c>
      <x:c r="H665" s="13" t="n">
        <x:v>1057</x:v>
      </x:c>
      <x:c r="I665" s="13" t="str">
        <x:v>1065</x:v>
      </x:c>
      <x:c r="J665" s="13" t="str">
        <x:v>상세 화면을 거치지 않고 신청 과정에 바로 접근할 수 있는 액션 버튼을 제공한다.</x:v>
      </x:c>
      <x:c r="K665" s="13" t="str">
        <x:v>UI-088</x:v>
      </x:c>
      <x:c r="L665" s="13" t="str">
        <x:v>추출 후 기본 구조 검토; 원문 적용수준·전체 맥락 재확인 필요</x:v>
      </x:c>
      <x:c r="M665" s="13" t="str">
        <x:v>미확인</x:v>
      </x:c>
    </x:row>
    <x:row r="666" ht="37.5" customHeight="1">
      <x:c r="A666" s="14" t="str">
        <x:v>KRDS-SEC-093-U-09</x:v>
      </x:c>
      <x:c r="B666" s="14" t="str">
        <x:v>서비스 패턴</x:v>
      </x:c>
      <x:c r="C666" s="14" t="str">
        <x:v>신청</x:v>
      </x:c>
      <x:c r="D666" s="14" t="str">
        <x:v>신청 대상 탐색</x:v>
      </x:c>
      <x:c r="E666" s="14" t="str">
        <x:v>사용성 가이드라인</x:v>
      </x:c>
      <x:c r="F666" s="14" t="str">
        <x:v>09</x:v>
      </x:c>
      <x:c r="G666" s="14" t="n">
        <x:v>1057</x:v>
      </x:c>
      <x:c r="H666" s="14" t="n">
        <x:v>1057</x:v>
      </x:c>
      <x:c r="I666" s="14" t="str">
        <x:v>1066</x:v>
      </x:c>
      <x:c r="J666" s="14" t="str">
        <x:v>외부 서비스로 이동하거나 새 창을 실행하는 액션 버튼에 명확한 시각적 단서를 제공한다.</x:v>
      </x:c>
      <x:c r="K666" s="14" t="str">
        <x:v>UI-088</x:v>
      </x:c>
      <x:c r="L666" s="14" t="str">
        <x:v>추출 후 기본 구조 검토; 원문 적용수준·전체 맥락 재확인 필요</x:v>
      </x:c>
      <x:c r="M666" s="14" t="str">
        <x:v>미확인</x:v>
      </x:c>
    </x:row>
    <x:row r="667" ht="37.5" customHeight="1">
      <x:c r="A667" s="13" t="str">
        <x:v>KRDS-SEC-093-A-01</x:v>
      </x:c>
      <x:c r="B667" s="13" t="str">
        <x:v>서비스 패턴</x:v>
      </x:c>
      <x:c r="C667" s="13" t="str">
        <x:v>신청</x:v>
      </x:c>
      <x:c r="D667" s="13" t="str">
        <x:v>신청 대상 탐색</x:v>
      </x:c>
      <x:c r="E667" s="13" t="str">
        <x:v>접근성 가이드라인</x:v>
      </x:c>
      <x:c r="F667" s="13" t="str">
        <x:v>01</x:v>
      </x:c>
      <x:c r="G667" s="13" t="n">
        <x:v>1067</x:v>
      </x:c>
      <x:c r="H667" s="13" t="n">
        <x:v>1067</x:v>
      </x:c>
      <x:c r="I667" s="13" t="str"/>
      <x:c r="J667" s="13" t="str">
        <x:v>공유/저장 컨트롤과 액션 버튼에 명확한 접근 가능한 이름을 제공한다.</x:v>
      </x:c>
      <x:c r="K667" s="13" t="str">
        <x:v>UI-088</x:v>
      </x:c>
      <x:c r="L667" s="13" t="str">
        <x:v>추출 후 기본 구조 검토; 원문 적용수준·전체 맥락 재확인 필요</x:v>
      </x:c>
      <x:c r="M667" s="13" t="str">
        <x:v>미확인</x:v>
      </x:c>
    </x:row>
    <x:row r="668" ht="37.5" customHeight="1">
      <x:c r="A668" s="14" t="str">
        <x:v>KRDS-SEC-094-U-01</x:v>
      </x:c>
      <x:c r="B668" s="14" t="str">
        <x:v>서비스 패턴</x:v>
      </x:c>
      <x:c r="C668" s="14" t="str">
        <x:v>신청</x:v>
      </x:c>
      <x:c r="D668" s="14" t="str">
        <x:v>서비스 정보 확인</x:v>
      </x:c>
      <x:c r="E668" s="14" t="str">
        <x:v>사용성 가이드라인</x:v>
      </x:c>
      <x:c r="F668" s="14" t="str">
        <x:v>01</x:v>
      </x:c>
      <x:c r="G668" s="14" t="n">
        <x:v>1071</x:v>
      </x:c>
      <x:c r="H668" s="14" t="n">
        <x:v>1071</x:v>
      </x:c>
      <x:c r="I668" s="14" t="str">
        <x:v>1072</x:v>
      </x:c>
      <x:c r="J668" s="14" t="str">
        <x:v>본문 콘텐츠의 제목을 신청 서비스명으로 제공한다.</x:v>
      </x:c>
      <x:c r="K668" s="14" t="str">
        <x:v>UI-089</x:v>
      </x:c>
      <x:c r="L668" s="14" t="str">
        <x:v>추출 후 기본 구조 검토; 원문 적용수준·전체 맥락 재확인 필요</x:v>
      </x:c>
      <x:c r="M668" s="14" t="str">
        <x:v>미확인</x:v>
      </x:c>
    </x:row>
    <x:row r="669" ht="37.5" customHeight="1">
      <x:c r="A669" s="13" t="str">
        <x:v>KRDS-SEC-094-U-02</x:v>
      </x:c>
      <x:c r="B669" s="13" t="str">
        <x:v>서비스 패턴</x:v>
      </x:c>
      <x:c r="C669" s="13" t="str">
        <x:v>신청</x:v>
      </x:c>
      <x:c r="D669" s="13" t="str">
        <x:v>서비스 정보 확인</x:v>
      </x:c>
      <x:c r="E669" s="13" t="str">
        <x:v>사용성 가이드라인</x:v>
      </x:c>
      <x:c r="F669" s="13" t="str">
        <x:v>02</x:v>
      </x:c>
      <x:c r="G669" s="13" t="n">
        <x:v>1071</x:v>
      </x:c>
      <x:c r="H669" s="13" t="n">
        <x:v>1071</x:v>
      </x:c>
      <x:c r="I669" s="13" t="str">
        <x:v>1073</x:v>
      </x:c>
      <x:c r="J669" s="13" t="str">
        <x:v>상세 정보 콘텐츠는 간결하며 이해하기 쉽게 작성한다.</x:v>
      </x:c>
      <x:c r="K669" s="13" t="str">
        <x:v>UI-089</x:v>
      </x:c>
      <x:c r="L669" s="13" t="str">
        <x:v>추출 후 기본 구조 검토; 원문 적용수준·전체 맥락 재확인 필요</x:v>
      </x:c>
      <x:c r="M669" s="13" t="str">
        <x:v>미확인</x:v>
      </x:c>
    </x:row>
    <x:row r="670" ht="37.5" customHeight="1">
      <x:c r="A670" s="14" t="str">
        <x:v>KRDS-SEC-094-U-03</x:v>
      </x:c>
      <x:c r="B670" s="14" t="str">
        <x:v>서비스 패턴</x:v>
      </x:c>
      <x:c r="C670" s="14" t="str">
        <x:v>신청</x:v>
      </x:c>
      <x:c r="D670" s="14" t="str">
        <x:v>서비스 정보 확인</x:v>
      </x:c>
      <x:c r="E670" s="14" t="str">
        <x:v>사용성 가이드라인</x:v>
      </x:c>
      <x:c r="F670" s="14" t="str">
        <x:v>03</x:v>
      </x:c>
      <x:c r="G670" s="14" t="n">
        <x:v>1071</x:v>
      </x:c>
      <x:c r="H670" s="14" t="n">
        <x:v>1071</x:v>
      </x:c>
      <x:c r="I670" s="14" t="str">
        <x:v>1074</x:v>
      </x:c>
      <x:c r="J670" s="14" t="str">
        <x:v>상세 정보는 정확하고 최신화된 상태로 제공한다.</x:v>
      </x:c>
      <x:c r="K670" s="14" t="str">
        <x:v>UI-089</x:v>
      </x:c>
      <x:c r="L670" s="14" t="str">
        <x:v>추출 후 기본 구조 검토; 원문 적용수준·전체 맥락 재확인 필요</x:v>
      </x:c>
      <x:c r="M670" s="14" t="str">
        <x:v>미확인</x:v>
      </x:c>
    </x:row>
    <x:row r="671" ht="37.5" customHeight="1">
      <x:c r="A671" s="13" t="str">
        <x:v>KRDS-SEC-094-U-04</x:v>
      </x:c>
      <x:c r="B671" s="13" t="str">
        <x:v>서비스 패턴</x:v>
      </x:c>
      <x:c r="C671" s="13" t="str">
        <x:v>신청</x:v>
      </x:c>
      <x:c r="D671" s="13" t="str">
        <x:v>서비스 정보 확인</x:v>
      </x:c>
      <x:c r="E671" s="13" t="str">
        <x:v>사용성 가이드라인</x:v>
      </x:c>
      <x:c r="F671" s="13" t="str">
        <x:v>04</x:v>
      </x:c>
      <x:c r="G671" s="13" t="n">
        <x:v>1071</x:v>
      </x:c>
      <x:c r="H671" s="13" t="n">
        <x:v>1071</x:v>
      </x:c>
      <x:c r="I671" s="13" t="str">
        <x:v>1075</x:v>
      </x:c>
      <x:c r="J671" s="13" t="str">
        <x:v>서비스를 신청할 수 있는 모든 채널과 제약 사항에 대한 정보를 제공한다.</x:v>
      </x:c>
      <x:c r="K671" s="13" t="str">
        <x:v>UI-089</x:v>
      </x:c>
      <x:c r="L671" s="13" t="str">
        <x:v>추출 후 기본 구조 검토; 원문 적용수준·전체 맥락 재확인 필요</x:v>
      </x:c>
      <x:c r="M671" s="13" t="str">
        <x:v>미확인</x:v>
      </x:c>
    </x:row>
    <x:row r="672" ht="37.5" customHeight="1">
      <x:c r="A672" s="14" t="str">
        <x:v>KRDS-SEC-094-U-05</x:v>
      </x:c>
      <x:c r="B672" s="14" t="str">
        <x:v>서비스 패턴</x:v>
      </x:c>
      <x:c r="C672" s="14" t="str">
        <x:v>신청</x:v>
      </x:c>
      <x:c r="D672" s="14" t="str">
        <x:v>서비스 정보 확인</x:v>
      </x:c>
      <x:c r="E672" s="14" t="str">
        <x:v>사용성 가이드라인</x:v>
      </x:c>
      <x:c r="F672" s="14" t="str">
        <x:v>05</x:v>
      </x:c>
      <x:c r="G672" s="14" t="n">
        <x:v>1071</x:v>
      </x:c>
      <x:c r="H672" s="14" t="n">
        <x:v>1071</x:v>
      </x:c>
      <x:c r="I672" s="14" t="str">
        <x:v>1076</x:v>
      </x:c>
      <x:c r="J672" s="14" t="str">
        <x:v>온라인으로 신청할 수 없는 상황에 대해 명확하게 인지 가능하도록 표현한다.</x:v>
      </x:c>
      <x:c r="K672" s="14" t="str">
        <x:v>UI-089</x:v>
      </x:c>
      <x:c r="L672" s="14" t="str">
        <x:v>추출 후 기본 구조 검토; 원문 적용수준·전체 맥락 재확인 필요</x:v>
      </x:c>
      <x:c r="M672" s="14" t="str">
        <x:v>미확인</x:v>
      </x:c>
    </x:row>
    <x:row r="673" ht="37.5" customHeight="1">
      <x:c r="A673" s="13" t="str">
        <x:v>KRDS-SEC-094-U-06</x:v>
      </x:c>
      <x:c r="B673" s="13" t="str">
        <x:v>서비스 패턴</x:v>
      </x:c>
      <x:c r="C673" s="13" t="str">
        <x:v>신청</x:v>
      </x:c>
      <x:c r="D673" s="13" t="str">
        <x:v>서비스 정보 확인</x:v>
      </x:c>
      <x:c r="E673" s="13" t="str">
        <x:v>사용성 가이드라인</x:v>
      </x:c>
      <x:c r="F673" s="13" t="str">
        <x:v>06</x:v>
      </x:c>
      <x:c r="G673" s="13" t="n">
        <x:v>1071</x:v>
      </x:c>
      <x:c r="H673" s="13" t="n">
        <x:v>1071</x:v>
      </x:c>
      <x:c r="I673" s="13" t="str">
        <x:v>1077</x:v>
      </x:c>
      <x:c r="J673" s="13" t="str">
        <x:v>사용자가 신청 과업을 완료하는 데 필요한 모든 서식과 서류에 대해 안내하고 빠르게 접근할 수 있는 수단을 제공한다.</x:v>
      </x:c>
      <x:c r="K673" s="13" t="str">
        <x:v>UI-089</x:v>
      </x:c>
      <x:c r="L673" s="13" t="str">
        <x:v>추출 후 기본 구조 검토; 원문 적용수준·전체 맥락 재확인 필요</x:v>
      </x:c>
      <x:c r="M673" s="13" t="str">
        <x:v>미확인</x:v>
      </x:c>
    </x:row>
    <x:row r="674" ht="37.5" customHeight="1">
      <x:c r="A674" s="14" t="str">
        <x:v>KRDS-SEC-094-U-07</x:v>
      </x:c>
      <x:c r="B674" s="14" t="str">
        <x:v>서비스 패턴</x:v>
      </x:c>
      <x:c r="C674" s="14" t="str">
        <x:v>신청</x:v>
      </x:c>
      <x:c r="D674" s="14" t="str">
        <x:v>서비스 정보 확인</x:v>
      </x:c>
      <x:c r="E674" s="14" t="str">
        <x:v>사용성 가이드라인</x:v>
      </x:c>
      <x:c r="F674" s="14" t="str">
        <x:v>07</x:v>
      </x:c>
      <x:c r="G674" s="14" t="n">
        <x:v>1071</x:v>
      </x:c>
      <x:c r="H674" s="14" t="n">
        <x:v>1071</x:v>
      </x:c>
      <x:c r="I674" s="14" t="str">
        <x:v>1078</x:v>
      </x:c>
      <x:c r="J674" s="14" t="str">
        <x:v>신청 과정과 처리 절차에 대한 정보를 제공한다.</x:v>
      </x:c>
      <x:c r="K674" s="14" t="str">
        <x:v>UI-089</x:v>
      </x:c>
      <x:c r="L674" s="14" t="str">
        <x:v>추출 후 기본 구조 검토; 원문 적용수준·전체 맥락 재확인 필요</x:v>
      </x:c>
      <x:c r="M674" s="14" t="str">
        <x:v>미확인</x:v>
      </x:c>
    </x:row>
    <x:row r="675" ht="37.5" customHeight="1">
      <x:c r="A675" s="13" t="str">
        <x:v>KRDS-SEC-094-U-08</x:v>
      </x:c>
      <x:c r="B675" s="13" t="str">
        <x:v>서비스 패턴</x:v>
      </x:c>
      <x:c r="C675" s="13" t="str">
        <x:v>신청</x:v>
      </x:c>
      <x:c r="D675" s="13" t="str">
        <x:v>서비스 정보 확인</x:v>
      </x:c>
      <x:c r="E675" s="13" t="str">
        <x:v>사용성 가이드라인</x:v>
      </x:c>
      <x:c r="F675" s="13" t="str">
        <x:v>08</x:v>
      </x:c>
      <x:c r="G675" s="13" t="n">
        <x:v>1071</x:v>
      </x:c>
      <x:c r="H675" s="13" t="n">
        <x:v>1071</x:v>
      </x:c>
      <x:c r="I675" s="13" t="str">
        <x:v>1079</x:v>
      </x:c>
      <x:c r="J675" s="13" t="str">
        <x:v>일반적으로 신청 과정에 소요되는 기간 정보를 절차별로 안내한다.</x:v>
      </x:c>
      <x:c r="K675" s="13" t="str">
        <x:v>UI-089</x:v>
      </x:c>
      <x:c r="L675" s="13" t="str">
        <x:v>추출 후 기본 구조 검토; 원문 적용수준·전체 맥락 재확인 필요</x:v>
      </x:c>
      <x:c r="M675" s="13" t="str">
        <x:v>미확인</x:v>
      </x:c>
    </x:row>
    <x:row r="676" ht="37.5" customHeight="1">
      <x:c r="A676" s="14" t="str">
        <x:v>KRDS-SEC-094-U-09</x:v>
      </x:c>
      <x:c r="B676" s="14" t="str">
        <x:v>서비스 패턴</x:v>
      </x:c>
      <x:c r="C676" s="14" t="str">
        <x:v>신청</x:v>
      </x:c>
      <x:c r="D676" s="14" t="str">
        <x:v>서비스 정보 확인</x:v>
      </x:c>
      <x:c r="E676" s="14" t="str">
        <x:v>사용성 가이드라인</x:v>
      </x:c>
      <x:c r="F676" s="14" t="str">
        <x:v>09</x:v>
      </x:c>
      <x:c r="G676" s="14" t="n">
        <x:v>1071</x:v>
      </x:c>
      <x:c r="H676" s="14" t="n">
        <x:v>1071</x:v>
      </x:c>
      <x:c r="I676" s="14" t="str">
        <x:v>1080</x:v>
      </x:c>
      <x:c r="J676" s="14" t="str">
        <x:v>사용자에게 도움을 줄 수 있는 다양한 부가 정보를 제공한다.</x:v>
      </x:c>
      <x:c r="K676" s="14" t="str">
        <x:v>UI-089</x:v>
      </x:c>
      <x:c r="L676" s="14" t="str">
        <x:v>추출 후 기본 구조 검토; 원문 적용수준·전체 맥락 재확인 필요</x:v>
      </x:c>
      <x:c r="M676" s="14" t="str">
        <x:v>미확인</x:v>
      </x:c>
    </x:row>
    <x:row r="677" ht="37.5" customHeight="1">
      <x:c r="A677" s="13" t="str">
        <x:v>KRDS-SEC-094-U-10</x:v>
      </x:c>
      <x:c r="B677" s="13" t="str">
        <x:v>서비스 패턴</x:v>
      </x:c>
      <x:c r="C677" s="13" t="str">
        <x:v>신청</x:v>
      </x:c>
      <x:c r="D677" s="13" t="str">
        <x:v>서비스 정보 확인</x:v>
      </x:c>
      <x:c r="E677" s="13" t="str">
        <x:v>사용성 가이드라인</x:v>
      </x:c>
      <x:c r="F677" s="13" t="str">
        <x:v>10</x:v>
      </x:c>
      <x:c r="G677" s="13" t="n">
        <x:v>1071</x:v>
      </x:c>
      <x:c r="H677" s="13" t="n">
        <x:v>1071</x:v>
      </x:c>
      <x:c r="I677" s="13" t="str">
        <x:v>1081</x:v>
      </x:c>
      <x:c r="J677" s="13" t="str">
        <x:v>기본 정보는 한 화면에 확인 가능하도록 제공한다.</x:v>
      </x:c>
      <x:c r="K677" s="13" t="str">
        <x:v>UI-089</x:v>
      </x:c>
      <x:c r="L677" s="13" t="str">
        <x:v>추출 후 기본 구조 검토; 원문 적용수준·전체 맥락 재확인 필요</x:v>
      </x:c>
      <x:c r="M677" s="13" t="str">
        <x:v>미확인</x:v>
      </x:c>
    </x:row>
    <x:row r="678" ht="37.5" customHeight="1">
      <x:c r="A678" s="14" t="str">
        <x:v>KRDS-SEC-094-U-11</x:v>
      </x:c>
      <x:c r="B678" s="14" t="str">
        <x:v>서비스 패턴</x:v>
      </x:c>
      <x:c r="C678" s="14" t="str">
        <x:v>신청</x:v>
      </x:c>
      <x:c r="D678" s="14" t="str">
        <x:v>서비스 정보 확인</x:v>
      </x:c>
      <x:c r="E678" s="14" t="str">
        <x:v>사용성 가이드라인</x:v>
      </x:c>
      <x:c r="F678" s="14" t="str">
        <x:v>11</x:v>
      </x:c>
      <x:c r="G678" s="14" t="n">
        <x:v>1071</x:v>
      </x:c>
      <x:c r="H678" s="14" t="n">
        <x:v>1071</x:v>
      </x:c>
      <x:c r="I678" s="14" t="str">
        <x:v>1082</x:v>
      </x:c>
      <x:c r="J678" s="14" t="str">
        <x:v>기본 정보는 첫 번째 탭에서 확인 가능하도록 제공한다.</x:v>
      </x:c>
      <x:c r="K678" s="14" t="str">
        <x:v>UI-089</x:v>
      </x:c>
      <x:c r="L678" s="14" t="str">
        <x:v>추출 후 기본 구조 검토; 원문 적용수준·전체 맥락 재확인 필요</x:v>
      </x:c>
      <x:c r="M678" s="14" t="str">
        <x:v>미확인</x:v>
      </x:c>
    </x:row>
    <x:row r="679" ht="37.5" customHeight="1">
      <x:c r="A679" s="13" t="str">
        <x:v>KRDS-SEC-094-U-12</x:v>
      </x:c>
      <x:c r="B679" s="13" t="str">
        <x:v>서비스 패턴</x:v>
      </x:c>
      <x:c r="C679" s="13" t="str">
        <x:v>신청</x:v>
      </x:c>
      <x:c r="D679" s="13" t="str">
        <x:v>서비스 정보 확인</x:v>
      </x:c>
      <x:c r="E679" s="13" t="str">
        <x:v>사용성 가이드라인</x:v>
      </x:c>
      <x:c r="F679" s="13" t="str">
        <x:v>12</x:v>
      </x:c>
      <x:c r="G679" s="13" t="n">
        <x:v>1071</x:v>
      </x:c>
      <x:c r="H679" s="13" t="n">
        <x:v>1071</x:v>
      </x:c>
      <x:c r="I679" s="13" t="str">
        <x:v>1083</x:v>
      </x:c>
      <x:c r="J679" s="13" t="str">
        <x:v>부가 정보는 사용자가 필요에 따라 상세 내용을 확인할 수 있게 제공하는 방안을 고려한다.</x:v>
      </x:c>
      <x:c r="K679" s="13" t="str">
        <x:v>UI-089</x:v>
      </x:c>
      <x:c r="L679" s="13" t="str">
        <x:v>추출 후 기본 구조 검토; 원문 적용수준·전체 맥락 재확인 필요</x:v>
      </x:c>
      <x:c r="M679" s="13" t="str">
        <x:v>미확인</x:v>
      </x:c>
    </x:row>
    <x:row r="680" ht="37.5" customHeight="1">
      <x:c r="A680" s="14" t="str">
        <x:v>KRDS-SEC-094-U-13</x:v>
      </x:c>
      <x:c r="B680" s="14" t="str">
        <x:v>서비스 패턴</x:v>
      </x:c>
      <x:c r="C680" s="14" t="str">
        <x:v>신청</x:v>
      </x:c>
      <x:c r="D680" s="14" t="str">
        <x:v>서비스 정보 확인</x:v>
      </x:c>
      <x:c r="E680" s="14" t="str">
        <x:v>사용성 가이드라인</x:v>
      </x:c>
      <x:c r="F680" s="14" t="str">
        <x:v>13</x:v>
      </x:c>
      <x:c r="G680" s="14" t="n">
        <x:v>1071</x:v>
      </x:c>
      <x:c r="H680" s="14" t="n">
        <x:v>1071</x:v>
      </x:c>
      <x:c r="I680" s="14" t="str">
        <x:v>1084</x:v>
      </x:c>
      <x:c r="J680" s="14" t="str">
        <x:v>모든 링크는 실행하였을 때, 링크 레이블에 명시된 적절한 화면으로 이동해야 한다.</x:v>
      </x:c>
      <x:c r="K680" s="14" t="str">
        <x:v>UI-089</x:v>
      </x:c>
      <x:c r="L680" s="14" t="str">
        <x:v>추출 후 기본 구조 검토; 원문 적용수준·전체 맥락 재확인 필요</x:v>
      </x:c>
      <x:c r="M680" s="14" t="str">
        <x:v>미확인</x:v>
      </x:c>
    </x:row>
    <x:row r="681" ht="37.5" customHeight="1">
      <x:c r="A681" s="13" t="str">
        <x:v>KRDS-SEC-094-U-14</x:v>
      </x:c>
      <x:c r="B681" s="13" t="str">
        <x:v>서비스 패턴</x:v>
      </x:c>
      <x:c r="C681" s="13" t="str">
        <x:v>신청</x:v>
      </x:c>
      <x:c r="D681" s="13" t="str">
        <x:v>서비스 정보 확인</x:v>
      </x:c>
      <x:c r="E681" s="13" t="str">
        <x:v>사용성 가이드라인</x:v>
      </x:c>
      <x:c r="F681" s="13" t="str">
        <x:v>14</x:v>
      </x:c>
      <x:c r="G681" s="13" t="n">
        <x:v>1071</x:v>
      </x:c>
      <x:c r="H681" s="13" t="n">
        <x:v>1071</x:v>
      </x:c>
      <x:c r="I681" s="13" t="str">
        <x:v>1085</x:v>
      </x:c>
      <x:c r="J681" s="13" t="str">
        <x:v>목록 이동 버튼을 누르거나 사용자 에이전트에서 뒤로가기 동작을 실행하였을 때 사용자의 탐색 맥락이 유지되어야 한다.</x:v>
      </x:c>
      <x:c r="K681" s="13" t="str">
        <x:v>UI-089</x:v>
      </x:c>
      <x:c r="L681" s="13" t="str">
        <x:v>추출 후 기본 구조 검토; 원문 적용수준·전체 맥락 재확인 필요</x:v>
      </x:c>
      <x:c r="M681" s="13" t="str">
        <x:v>미확인</x:v>
      </x:c>
    </x:row>
    <x:row r="682" ht="37.5" customHeight="1">
      <x:c r="A682" s="14" t="str">
        <x:v>KRDS-SEC-095-U-01</x:v>
      </x:c>
      <x:c r="B682" s="14" t="str">
        <x:v>서비스 패턴</x:v>
      </x:c>
      <x:c r="C682" s="14" t="str">
        <x:v>신청</x:v>
      </x:c>
      <x:c r="D682" s="14" t="str">
        <x:v>유의 사항·자격 확인</x:v>
      </x:c>
      <x:c r="E682" s="14" t="str">
        <x:v>사용성 가이드라인</x:v>
      </x:c>
      <x:c r="F682" s="14" t="str">
        <x:v>01</x:v>
      </x:c>
      <x:c r="G682" s="14" t="n">
        <x:v>1091</x:v>
      </x:c>
      <x:c r="H682" s="14" t="n">
        <x:v>1091</x:v>
      </x:c>
      <x:c r="I682" s="14" t="str">
        <x:v>1092</x:v>
      </x:c>
      <x:c r="J682" s="14" t="str">
        <x:v>유의 사항 및 자격 확인은 신청서 작성 과업의 가장 첫 단계로 제공한다.</x:v>
      </x:c>
      <x:c r="K682" s="14" t="str">
        <x:v>UI-090</x:v>
      </x:c>
      <x:c r="L682" s="14" t="str">
        <x:v>추출 후 기본 구조 검토; 원문 적용수준·전체 맥락 재확인 필요</x:v>
      </x:c>
      <x:c r="M682" s="14" t="str">
        <x:v>미확인</x:v>
      </x:c>
    </x:row>
    <x:row r="683" ht="37.5" customHeight="1">
      <x:c r="A683" s="13" t="str">
        <x:v>KRDS-SEC-095-U-02</x:v>
      </x:c>
      <x:c r="B683" s="13" t="str">
        <x:v>서비스 패턴</x:v>
      </x:c>
      <x:c r="C683" s="13" t="str">
        <x:v>신청</x:v>
      </x:c>
      <x:c r="D683" s="13" t="str">
        <x:v>유의 사항·자격 확인</x:v>
      </x:c>
      <x:c r="E683" s="13" t="str">
        <x:v>사용성 가이드라인</x:v>
      </x:c>
      <x:c r="F683" s="13" t="str">
        <x:v>02</x:v>
      </x:c>
      <x:c r="G683" s="13" t="n">
        <x:v>1091</x:v>
      </x:c>
      <x:c r="H683" s="13" t="n">
        <x:v>1091</x:v>
      </x:c>
      <x:c r="I683" s="13" t="str">
        <x:v>1093</x:v>
      </x:c>
      <x:c r="J683" s="13" t="str">
        <x:v>신청서 작성 중간이나 최종 단계에서 작성을 중단해야 하는 상황에 대해 사용자에게 명확하게 안내한다.</x:v>
      </x:c>
      <x:c r="K683" s="13" t="str">
        <x:v>UI-090</x:v>
      </x:c>
      <x:c r="L683" s="13" t="str">
        <x:v>추출 후 기본 구조 검토; 원문 적용수준·전체 맥락 재확인 필요</x:v>
      </x:c>
      <x:c r="M683" s="13" t="str">
        <x:v>미확인</x:v>
      </x:c>
    </x:row>
    <x:row r="684" ht="37.5" customHeight="1">
      <x:c r="A684" s="14" t="str">
        <x:v>KRDS-SEC-095-U-03</x:v>
      </x:c>
      <x:c r="B684" s="14" t="str">
        <x:v>서비스 패턴</x:v>
      </x:c>
      <x:c r="C684" s="14" t="str">
        <x:v>신청</x:v>
      </x:c>
      <x:c r="D684" s="14" t="str">
        <x:v>유의 사항·자격 확인</x:v>
      </x:c>
      <x:c r="E684" s="14" t="str">
        <x:v>사용성 가이드라인</x:v>
      </x:c>
      <x:c r="F684" s="14" t="str">
        <x:v>03</x:v>
      </x:c>
      <x:c r="G684" s="14" t="n">
        <x:v>1091</x:v>
      </x:c>
      <x:c r="H684" s="14" t="n">
        <x:v>1091</x:v>
      </x:c>
      <x:c r="I684" s="14" t="str">
        <x:v>1094</x:v>
      </x:c>
      <x:c r="J684" s="14" t="str">
        <x:v>중요도와 계층 구조에 따라 정보를 직관적으로 인지할 수 있도록 표현한다.</x:v>
      </x:c>
      <x:c r="K684" s="14" t="str">
        <x:v>UI-090</x:v>
      </x:c>
      <x:c r="L684" s="14" t="str">
        <x:v>추출 후 기본 구조 검토; 원문 적용수준·전체 맥락 재확인 필요</x:v>
      </x:c>
      <x:c r="M684" s="14" t="str">
        <x:v>미확인</x:v>
      </x:c>
    </x:row>
    <x:row r="685" ht="37.5" customHeight="1">
      <x:c r="A685" s="13" t="str">
        <x:v>KRDS-SEC-095-U-04</x:v>
      </x:c>
      <x:c r="B685" s="13" t="str">
        <x:v>서비스 패턴</x:v>
      </x:c>
      <x:c r="C685" s="13" t="str">
        <x:v>신청</x:v>
      </x:c>
      <x:c r="D685" s="13" t="str">
        <x:v>유의 사항·자격 확인</x:v>
      </x:c>
      <x:c r="E685" s="13" t="str">
        <x:v>사용성 가이드라인</x:v>
      </x:c>
      <x:c r="F685" s="13" t="str">
        <x:v>04</x:v>
      </x:c>
      <x:c r="G685" s="13" t="n">
        <x:v>1091</x:v>
      </x:c>
      <x:c r="H685" s="13" t="n">
        <x:v>1091</x:v>
      </x:c>
      <x:c r="I685" s="13" t="str">
        <x:v>1095</x:v>
      </x:c>
      <x:c r="J685" s="13" t="str">
        <x:v>신청서 작성의 단계 중에 필요한 정보, 신청 완료 이후 필요한 정보는 포함하지 않는다.</x:v>
      </x:c>
      <x:c r="K685" s="13" t="str">
        <x:v>UI-090</x:v>
      </x:c>
      <x:c r="L685" s="13" t="str">
        <x:v>추출 후 기본 구조 검토; 원문 적용수준·전체 맥락 재확인 필요</x:v>
      </x:c>
      <x:c r="M685" s="13" t="str">
        <x:v>미확인</x:v>
      </x:c>
    </x:row>
    <x:row r="686" ht="37.5" customHeight="1">
      <x:c r="A686" s="14" t="str">
        <x:v>KRDS-SEC-096-U-01</x:v>
      </x:c>
      <x:c r="B686" s="14" t="str">
        <x:v>서비스 패턴</x:v>
      </x:c>
      <x:c r="C686" s="14" t="str">
        <x:v>신청</x:v>
      </x:c>
      <x:c r="D686" s="14" t="str">
        <x:v>신청서 작성</x:v>
      </x:c>
      <x:c r="E686" s="14" t="str">
        <x:v>사용성 가이드라인</x:v>
      </x:c>
      <x:c r="F686" s="14" t="str">
        <x:v>01</x:v>
      </x:c>
      <x:c r="G686" s="14" t="n">
        <x:v>1099</x:v>
      </x:c>
      <x:c r="H686" s="14" t="n">
        <x:v>1099</x:v>
      </x:c>
      <x:c r="I686" s="14" t="str">
        <x:v>1100</x:v>
      </x:c>
      <x:c r="J686" s="14" t="str">
        <x:v>한 단계 내에서의 신청 서식 섹션을 탭이나 아코디언으로 구분하지 않는다.</x:v>
      </x:c>
      <x:c r="K686" s="14" t="str">
        <x:v>UI-091</x:v>
      </x:c>
      <x:c r="L686" s="14" t="str">
        <x:v>추출 후 기본 구조 검토; 원문 적용수준·전체 맥락 재확인 필요</x:v>
      </x:c>
      <x:c r="M686" s="14" t="str">
        <x:v>미확인</x:v>
      </x:c>
    </x:row>
    <x:row r="687" ht="37.5" customHeight="1">
      <x:c r="A687" s="13" t="str">
        <x:v>KRDS-SEC-096-U-02</x:v>
      </x:c>
      <x:c r="B687" s="13" t="str">
        <x:v>서비스 패턴</x:v>
      </x:c>
      <x:c r="C687" s="13" t="str">
        <x:v>신청</x:v>
      </x:c>
      <x:c r="D687" s="13" t="str">
        <x:v>신청서 작성</x:v>
      </x:c>
      <x:c r="E687" s="13" t="str">
        <x:v>사용성 가이드라인</x:v>
      </x:c>
      <x:c r="F687" s="13" t="str">
        <x:v>02</x:v>
      </x:c>
      <x:c r="G687" s="13" t="n">
        <x:v>1099</x:v>
      </x:c>
      <x:c r="H687" s="13" t="n">
        <x:v>1099</x:v>
      </x:c>
      <x:c r="I687" s="13" t="str">
        <x:v>1101</x:v>
      </x:c>
      <x:c r="J687" s="13" t="str">
        <x:v>값의 변경이 이전에 작성한 항목 또는 이전 단계에 영향을 미치는 경우, 이전 입력 항목 또는 이전 단계에 포함시킨다.</x:v>
      </x:c>
      <x:c r="K687" s="13" t="str">
        <x:v>UI-091</x:v>
      </x:c>
      <x:c r="L687" s="13" t="str">
        <x:v>추출 후 기본 구조 검토; 원문 적용수준·전체 맥락 재확인 필요</x:v>
      </x:c>
      <x:c r="M687" s="13" t="str">
        <x:v>미확인</x:v>
      </x:c>
    </x:row>
    <x:row r="688" ht="37.5" customHeight="1">
      <x:c r="A688" s="14" t="str">
        <x:v>KRDS-SEC-096-U-03</x:v>
      </x:c>
      <x:c r="B688" s="14" t="str">
        <x:v>서비스 패턴</x:v>
      </x:c>
      <x:c r="C688" s="14" t="str">
        <x:v>신청</x:v>
      </x:c>
      <x:c r="D688" s="14" t="str">
        <x:v>신청서 작성</x:v>
      </x:c>
      <x:c r="E688" s="14" t="str">
        <x:v>사용성 가이드라인</x:v>
      </x:c>
      <x:c r="F688" s="14" t="str">
        <x:v>03</x:v>
      </x:c>
      <x:c r="G688" s="14" t="n">
        <x:v>1099</x:v>
      </x:c>
      <x:c r="H688" s="14" t="n">
        <x:v>1099</x:v>
      </x:c>
      <x:c r="I688" s="14" t="str">
        <x:v>1102</x:v>
      </x:c>
      <x:c r="J688" s="14" t="str">
        <x:v>값의 변경이 이전에 작성한 항목 또는 이전 단계에 영향을 미치는 상황에 대해 사용자에게 안내해야 한다.</x:v>
      </x:c>
      <x:c r="K688" s="14" t="str">
        <x:v>UI-091</x:v>
      </x:c>
      <x:c r="L688" s="14" t="str">
        <x:v>추출 후 기본 구조 검토; 원문 적용수준·전체 맥락 재확인 필요</x:v>
      </x:c>
      <x:c r="M688" s="14" t="str">
        <x:v>미확인</x:v>
      </x:c>
    </x:row>
    <x:row r="689" ht="37.5" customHeight="1">
      <x:c r="A689" s="13" t="str">
        <x:v>KRDS-SEC-096-U-04</x:v>
      </x:c>
      <x:c r="B689" s="13" t="str">
        <x:v>서비스 패턴</x:v>
      </x:c>
      <x:c r="C689" s="13" t="str">
        <x:v>신청</x:v>
      </x:c>
      <x:c r="D689" s="13" t="str">
        <x:v>신청서 작성</x:v>
      </x:c>
      <x:c r="E689" s="13" t="str">
        <x:v>사용성 가이드라인</x:v>
      </x:c>
      <x:c r="F689" s="13" t="str">
        <x:v>04</x:v>
      </x:c>
      <x:c r="G689" s="13" t="n">
        <x:v>1099</x:v>
      </x:c>
      <x:c r="H689" s="13" t="n">
        <x:v>1099</x:v>
      </x:c>
      <x:c r="I689" s="13" t="str">
        <x:v>1103</x:v>
      </x:c>
      <x:c r="J689" s="13" t="str">
        <x:v>행정정보 공동이용 시스템을 활용하여 사용자의 구비서류 첨부를 최소화한다.</x:v>
      </x:c>
      <x:c r="K689" s="13" t="str">
        <x:v>UI-091</x:v>
      </x:c>
      <x:c r="L689" s="13" t="str">
        <x:v>추출 후 기본 구조 검토; 원문 적용수준·전체 맥락 재확인 필요</x:v>
      </x:c>
      <x:c r="M689" s="13" t="str">
        <x:v>미확인</x:v>
      </x:c>
    </x:row>
    <x:row r="690" ht="37.5" customHeight="1">
      <x:c r="A690" s="14" t="str">
        <x:v>KRDS-SEC-096-U-05</x:v>
      </x:c>
      <x:c r="B690" s="14" t="str">
        <x:v>서비스 패턴</x:v>
      </x:c>
      <x:c r="C690" s="14" t="str">
        <x:v>신청</x:v>
      </x:c>
      <x:c r="D690" s="14" t="str">
        <x:v>신청서 작성</x:v>
      </x:c>
      <x:c r="E690" s="14" t="str">
        <x:v>사용성 가이드라인</x:v>
      </x:c>
      <x:c r="F690" s="14" t="str">
        <x:v>05</x:v>
      </x:c>
      <x:c r="G690" s="14" t="n">
        <x:v>1099</x:v>
      </x:c>
      <x:c r="H690" s="14" t="n">
        <x:v>1099</x:v>
      </x:c>
      <x:c r="I690" s="14" t="str">
        <x:v>1104</x:v>
      </x:c>
      <x:c r="J690" s="14" t="str">
        <x:v>여러 단계로 구성되어 있거나 작성에 시간이 걸리는 신청서 작성 과정에 임시 저장 기능을 제공한다.</x:v>
      </x:c>
      <x:c r="K690" s="14" t="str">
        <x:v>UI-091</x:v>
      </x:c>
      <x:c r="L690" s="14" t="str">
        <x:v>추출 후 기본 구조 검토; 원문 적용수준·전체 맥락 재확인 필요</x:v>
      </x:c>
      <x:c r="M690" s="14" t="str">
        <x:v>미확인</x:v>
      </x:c>
    </x:row>
    <x:row r="691" ht="37.5" customHeight="1">
      <x:c r="A691" s="13" t="str">
        <x:v>KRDS-SEC-096-U-06</x:v>
      </x:c>
      <x:c r="B691" s="13" t="str">
        <x:v>서비스 패턴</x:v>
      </x:c>
      <x:c r="C691" s="13" t="str">
        <x:v>신청</x:v>
      </x:c>
      <x:c r="D691" s="13" t="str">
        <x:v>신청서 작성</x:v>
      </x:c>
      <x:c r="E691" s="13" t="str">
        <x:v>사용성 가이드라인</x:v>
      </x:c>
      <x:c r="F691" s="13" t="str">
        <x:v>06</x:v>
      </x:c>
      <x:c r="G691" s="13" t="n">
        <x:v>1099</x:v>
      </x:c>
      <x:c r="H691" s="13" t="n">
        <x:v>1099</x:v>
      </x:c>
      <x:c r="I691" s="13" t="str">
        <x:v>1105</x:v>
      </x:c>
      <x:c r="J691" s="13" t="str">
        <x:v>입력 항목에 대한 레이블에 설명을 제공한다.</x:v>
      </x:c>
      <x:c r="K691" s="13" t="str">
        <x:v>UI-091</x:v>
      </x:c>
      <x:c r="L691" s="13" t="str">
        <x:v>추출 후 기본 구조 검토; 원문 적용수준·전체 맥락 재확인 필요</x:v>
      </x:c>
      <x:c r="M691" s="13" t="str">
        <x:v>미확인</x:v>
      </x:c>
    </x:row>
    <x:row r="692" ht="37.5" customHeight="1">
      <x:c r="A692" s="14" t="str">
        <x:v>KRDS-SEC-096-U-07</x:v>
      </x:c>
      <x:c r="B692" s="14" t="str">
        <x:v>서비스 패턴</x:v>
      </x:c>
      <x:c r="C692" s="14" t="str">
        <x:v>신청</x:v>
      </x:c>
      <x:c r="D692" s="14" t="str">
        <x:v>신청서 작성</x:v>
      </x:c>
      <x:c r="E692" s="14" t="str">
        <x:v>사용성 가이드라인</x:v>
      </x:c>
      <x:c r="F692" s="14" t="str">
        <x:v>07</x:v>
      </x:c>
      <x:c r="G692" s="14" t="n">
        <x:v>1099</x:v>
      </x:c>
      <x:c r="H692" s="14" t="n">
        <x:v>1099</x:v>
      </x:c>
      <x:c r="I692" s="14" t="str">
        <x:v>1106</x:v>
      </x:c>
      <x:c r="J692" s="14" t="str">
        <x:v>신청서 작성에 대해 도움받을 수 있는 다양한 수단을 제공한다.</x:v>
      </x:c>
      <x:c r="K692" s="14" t="str">
        <x:v>UI-091</x:v>
      </x:c>
      <x:c r="L692" s="14" t="str">
        <x:v>추출 후 기본 구조 검토; 원문 적용수준·전체 맥락 재확인 필요</x:v>
      </x:c>
      <x:c r="M692" s="14" t="str">
        <x:v>미확인</x:v>
      </x:c>
    </x:row>
    <x:row r="693" ht="37.5" customHeight="1">
      <x:c r="A693" s="13" t="str">
        <x:v>KRDS-SEC-096-U-08</x:v>
      </x:c>
      <x:c r="B693" s="13" t="str">
        <x:v>서비스 패턴</x:v>
      </x:c>
      <x:c r="C693" s="13" t="str">
        <x:v>신청</x:v>
      </x:c>
      <x:c r="D693" s="13" t="str">
        <x:v>신청서 작성</x:v>
      </x:c>
      <x:c r="E693" s="13" t="str">
        <x:v>사용성 가이드라인</x:v>
      </x:c>
      <x:c r="F693" s="13" t="str">
        <x:v>08</x:v>
      </x:c>
      <x:c r="G693" s="13" t="n">
        <x:v>1099</x:v>
      </x:c>
      <x:c r="H693" s="13" t="n">
        <x:v>1099</x:v>
      </x:c>
      <x:c r="I693" s="13" t="str">
        <x:v>1107</x:v>
      </x:c>
      <x:c r="J693" s="13" t="str">
        <x:v>도움말은 이용 맥락에 맞게 제공한다.</x:v>
      </x:c>
      <x:c r="K693" s="13" t="str">
        <x:v>UI-091</x:v>
      </x:c>
      <x:c r="L693" s="13" t="str">
        <x:v>추출 후 기본 구조 검토; 원문 적용수준·전체 맥락 재확인 필요</x:v>
      </x:c>
      <x:c r="M693" s="13" t="str">
        <x:v>미확인</x:v>
      </x:c>
    </x:row>
    <x:row r="694" ht="37.5" customHeight="1">
      <x:c r="A694" s="14" t="str">
        <x:v>KRDS-SEC-096-U-09</x:v>
      </x:c>
      <x:c r="B694" s="14" t="str">
        <x:v>서비스 패턴</x:v>
      </x:c>
      <x:c r="C694" s="14" t="str">
        <x:v>신청</x:v>
      </x:c>
      <x:c r="D694" s="14" t="str">
        <x:v>신청서 작성</x:v>
      </x:c>
      <x:c r="E694" s="14" t="str">
        <x:v>사용성 가이드라인</x:v>
      </x:c>
      <x:c r="F694" s="14" t="str">
        <x:v>09</x:v>
      </x:c>
      <x:c r="G694" s="14" t="n">
        <x:v>1099</x:v>
      </x:c>
      <x:c r="H694" s="14" t="n">
        <x:v>1099</x:v>
      </x:c>
      <x:c r="I694" s="14" t="str">
        <x:v>1108</x:v>
      </x:c>
      <x:c r="J694" s="14" t="str">
        <x:v>도움말은 정확한 내용으로 제공한다.</x:v>
      </x:c>
      <x:c r="K694" s="14" t="str">
        <x:v>UI-091</x:v>
      </x:c>
      <x:c r="L694" s="14" t="str">
        <x:v>추출 후 기본 구조 검토; 원문 적용수준·전체 맥락 재확인 필요</x:v>
      </x:c>
      <x:c r="M694" s="14" t="str">
        <x:v>미확인</x:v>
      </x:c>
    </x:row>
    <x:row r="695" ht="37.5" customHeight="1">
      <x:c r="A695" s="13" t="str">
        <x:v>KRDS-SEC-096-U-10</x:v>
      </x:c>
      <x:c r="B695" s="13" t="str">
        <x:v>서비스 패턴</x:v>
      </x:c>
      <x:c r="C695" s="13" t="str">
        <x:v>신청</x:v>
      </x:c>
      <x:c r="D695" s="13" t="str">
        <x:v>신청서 작성</x:v>
      </x:c>
      <x:c r="E695" s="13" t="str">
        <x:v>사용성 가이드라인</x:v>
      </x:c>
      <x:c r="F695" s="13" t="str">
        <x:v>10</x:v>
      </x:c>
      <x:c r="G695" s="13" t="n">
        <x:v>1099</x:v>
      </x:c>
      <x:c r="H695" s="13" t="n">
        <x:v>1099</x:v>
      </x:c>
      <x:c r="I695" s="13" t="str">
        <x:v>1109</x:v>
      </x:c>
      <x:c r="J695" s="13" t="str">
        <x:v>초기화 버튼은 다른 버튼과 명확하게 구분한다.</x:v>
      </x:c>
      <x:c r="K695" s="13" t="str">
        <x:v>UI-091</x:v>
      </x:c>
      <x:c r="L695" s="13" t="str">
        <x:v>추출 후 기본 구조 검토; 원문 적용수준·전체 맥락 재확인 필요</x:v>
      </x:c>
      <x:c r="M695" s="13" t="str">
        <x:v>미확인</x:v>
      </x:c>
    </x:row>
    <x:row r="696" ht="37.5" customHeight="1">
      <x:c r="A696" s="14" t="str">
        <x:v>KRDS-SEC-096-A-01</x:v>
      </x:c>
      <x:c r="B696" s="14" t="str">
        <x:v>서비스 패턴</x:v>
      </x:c>
      <x:c r="C696" s="14" t="str">
        <x:v>신청</x:v>
      </x:c>
      <x:c r="D696" s="14" t="str">
        <x:v>신청서 작성</x:v>
      </x:c>
      <x:c r="E696" s="14" t="str">
        <x:v>접근성 가이드라인</x:v>
      </x:c>
      <x:c r="F696" s="14" t="str">
        <x:v>01</x:v>
      </x:c>
      <x:c r="G696" s="14" t="n">
        <x:v>1110</x:v>
      </x:c>
      <x:c r="H696" s="14" t="n">
        <x:v>1110</x:v>
      </x:c>
      <x:c r="I696" s="14" t="str"/>
      <x:c r="J696" s="14" t="str">
        <x:v>현재 단계를 스크린 리더로 확인할 수 있도록 한다.</x:v>
      </x:c>
      <x:c r="K696" s="14" t="str">
        <x:v>UI-091</x:v>
      </x:c>
      <x:c r="L696" s="14" t="str">
        <x:v>추출 후 기본 구조 검토; 원문 적용수준·전체 맥락 재확인 필요</x:v>
      </x:c>
      <x:c r="M696" s="14" t="str">
        <x:v>미확인</x:v>
      </x:c>
    </x:row>
    <x:row r="697" ht="37.5" customHeight="1">
      <x:c r="A697" s="13" t="str">
        <x:v>KRDS-SEC-096-A-02</x:v>
      </x:c>
      <x:c r="B697" s="13" t="str">
        <x:v>서비스 패턴</x:v>
      </x:c>
      <x:c r="C697" s="13" t="str">
        <x:v>신청</x:v>
      </x:c>
      <x:c r="D697" s="13" t="str">
        <x:v>신청서 작성</x:v>
      </x:c>
      <x:c r="E697" s="13" t="str">
        <x:v>접근성 가이드라인</x:v>
      </x:c>
      <x:c r="F697" s="13" t="str">
        <x:v>02</x:v>
      </x:c>
      <x:c r="G697" s="13" t="n">
        <x:v>1110</x:v>
      </x:c>
      <x:c r="H697" s="13" t="n">
        <x:v>1110</x:v>
      </x:c>
      <x:c r="I697" s="13" t="str"/>
      <x:c r="J697" s="13" t="str">
        <x:v>신청서 섹션에 제목을 제공하고 프로그램적으로 탐지할 수 있도록 한다.</x:v>
      </x:c>
      <x:c r="K697" s="13" t="str">
        <x:v>UI-091</x:v>
      </x:c>
      <x:c r="L697" s="13" t="str">
        <x:v>추출 후 기본 구조 검토; 원문 적용수준·전체 맥락 재확인 필요</x:v>
      </x:c>
      <x:c r="M697" s="13" t="str">
        <x:v>미확인</x:v>
      </x:c>
    </x:row>
    <x:row r="698" ht="37.5" customHeight="1">
      <x:c r="A698" s="14" t="str">
        <x:v>KRDS-SEC-097-U-01</x:v>
      </x:c>
      <x:c r="B698" s="14" t="str">
        <x:v>서비스 패턴</x:v>
      </x:c>
      <x:c r="C698" s="14" t="str">
        <x:v>신청</x:v>
      </x:c>
      <x:c r="D698" s="14" t="str">
        <x:v>확인·확정</x:v>
      </x:c>
      <x:c r="E698" s="14" t="str">
        <x:v>사용성 가이드라인</x:v>
      </x:c>
      <x:c r="F698" s="14" t="str">
        <x:v>01</x:v>
      </x:c>
      <x:c r="G698" s="14" t="n">
        <x:v>1115</x:v>
      </x:c>
      <x:c r="H698" s="14" t="n">
        <x:v>1115</x:v>
      </x:c>
      <x:c r="I698" s="14" t="str">
        <x:v>1116</x:v>
      </x:c>
      <x:c r="J698" s="14" t="str">
        <x:v>신청 취소/철회, 제출된 신청 서식 수정이 불가능한 경우 확인·확정 단계를 포함해야 한다.</x:v>
      </x:c>
      <x:c r="K698" s="14" t="str">
        <x:v>UI-092, UI-124</x:v>
      </x:c>
      <x:c r="L698" s="14" t="str">
        <x:v>추출 후 기본 구조 검토; 원문 적용수준·전체 맥락 재확인 필요</x:v>
      </x:c>
      <x:c r="M698" s="14" t="str">
        <x:v>미확인</x:v>
      </x:c>
    </x:row>
    <x:row r="699" ht="37.5" customHeight="1">
      <x:c r="A699" s="13" t="str">
        <x:v>KRDS-SEC-097-U-02</x:v>
      </x:c>
      <x:c r="B699" s="13" t="str">
        <x:v>서비스 패턴</x:v>
      </x:c>
      <x:c r="C699" s="13" t="str">
        <x:v>신청</x:v>
      </x:c>
      <x:c r="D699" s="13" t="str">
        <x:v>확인·확정</x:v>
      </x:c>
      <x:c r="E699" s="13" t="str">
        <x:v>사용성 가이드라인</x:v>
      </x:c>
      <x:c r="F699" s="13" t="str">
        <x:v>02</x:v>
      </x:c>
      <x:c r="G699" s="13" t="n">
        <x:v>1115</x:v>
      </x:c>
      <x:c r="H699" s="13" t="n">
        <x:v>1115</x:v>
      </x:c>
      <x:c r="I699" s="13" t="str">
        <x:v>1117</x:v>
      </x:c>
      <x:c r="J699" s="13" t="str">
        <x:v>작성한 내용 중 핵심 정보를 요약하여 제공한다.</x:v>
      </x:c>
      <x:c r="K699" s="13" t="str">
        <x:v>UI-092, UI-124</x:v>
      </x:c>
      <x:c r="L699" s="13" t="str">
        <x:v>추출 후 기본 구조 검토; 원문 적용수준·전체 맥락 재확인 필요</x:v>
      </x:c>
      <x:c r="M699" s="13" t="str">
        <x:v>미확인</x:v>
      </x:c>
    </x:row>
    <x:row r="700" ht="37.5" customHeight="1">
      <x:c r="A700" s="14" t="str">
        <x:v>KRDS-SEC-097-U-03</x:v>
      </x:c>
      <x:c r="B700" s="14" t="str">
        <x:v>서비스 패턴</x:v>
      </x:c>
      <x:c r="C700" s="14" t="str">
        <x:v>신청</x:v>
      </x:c>
      <x:c r="D700" s="14" t="str">
        <x:v>확인·확정</x:v>
      </x:c>
      <x:c r="E700" s="14" t="str">
        <x:v>사용성 가이드라인</x:v>
      </x:c>
      <x:c r="F700" s="14" t="str">
        <x:v>03</x:v>
      </x:c>
      <x:c r="G700" s="14" t="n">
        <x:v>1115</x:v>
      </x:c>
      <x:c r="H700" s="14" t="n">
        <x:v>1115</x:v>
      </x:c>
      <x:c r="I700" s="14" t="str">
        <x:v>1118</x:v>
      </x:c>
      <x:c r="J700" s="14" t="str">
        <x:v>취소/수정 불가한 사항에 대해 사용자에게 명확하게 안내해야 한다.</x:v>
      </x:c>
      <x:c r="K700" s="14" t="str">
        <x:v>UI-092, UI-124</x:v>
      </x:c>
      <x:c r="L700" s="14" t="str">
        <x:v>추출 후 기본 구조 검토; 원문 적용수준·전체 맥락 재확인 필요</x:v>
      </x:c>
      <x:c r="M700" s="14" t="str">
        <x:v>미확인</x:v>
      </x:c>
    </x:row>
    <x:row r="701" ht="37.5" customHeight="1">
      <x:c r="A701" s="13" t="str">
        <x:v>KRDS-SEC-097-U-04</x:v>
      </x:c>
      <x:c r="B701" s="13" t="str">
        <x:v>서비스 패턴</x:v>
      </x:c>
      <x:c r="C701" s="13" t="str">
        <x:v>신청</x:v>
      </x:c>
      <x:c r="D701" s="13" t="str">
        <x:v>확인·확정</x:v>
      </x:c>
      <x:c r="E701" s="13" t="str">
        <x:v>사용성 가이드라인</x:v>
      </x:c>
      <x:c r="F701" s="13" t="str">
        <x:v>04</x:v>
      </x:c>
      <x:c r="G701" s="13" t="n">
        <x:v>1115</x:v>
      </x:c>
      <x:c r="H701" s="13" t="n">
        <x:v>1115</x:v>
      </x:c>
      <x:c r="I701" s="13" t="str">
        <x:v>1119</x:v>
      </x:c>
      <x:c r="J701" s="13" t="str">
        <x:v>행동을 확정, 취소할 수 있는 버튼을 모두 제공한다.</x:v>
      </x:c>
      <x:c r="K701" s="13" t="str">
        <x:v>UI-092, UI-124</x:v>
      </x:c>
      <x:c r="L701" s="13" t="str">
        <x:v>추출 후 기본 구조 검토; 원문 적용수준·전체 맥락 재확인 필요</x:v>
      </x:c>
      <x:c r="M701" s="13" t="str">
        <x:v>미확인</x:v>
      </x:c>
    </x:row>
    <x:row r="702" ht="37.5" customHeight="1">
      <x:c r="A702" s="14" t="str">
        <x:v>KRDS-SEC-098-U-01</x:v>
      </x:c>
      <x:c r="B702" s="14" t="str">
        <x:v>서비스 패턴</x:v>
      </x:c>
      <x:c r="C702" s="14" t="str">
        <x:v>신청</x:v>
      </x:c>
      <x:c r="D702" s="14" t="str">
        <x:v>완료</x:v>
      </x:c>
      <x:c r="E702" s="14" t="str">
        <x:v>사용성 가이드라인</x:v>
      </x:c>
      <x:c r="F702" s="14" t="str">
        <x:v>01</x:v>
      </x:c>
      <x:c r="G702" s="14" t="n">
        <x:v>1123</x:v>
      </x:c>
      <x:c r="H702" s="14" t="n">
        <x:v>1123</x:v>
      </x:c>
      <x:c r="I702" s="14" t="str">
        <x:v>1124</x:v>
      </x:c>
      <x:c r="J702" s="14" t="str">
        <x:v>모든 신청 과업에는 완료 단계를 제공한다.</x:v>
      </x:c>
      <x:c r="K702" s="14" t="str">
        <x:v>UI-093</x:v>
      </x:c>
      <x:c r="L702" s="14" t="str">
        <x:v>추출 후 기본 구조 검토; 원문 적용수준·전체 맥락 재확인 필요</x:v>
      </x:c>
      <x:c r="M702" s="14" t="str">
        <x:v>미확인</x:v>
      </x:c>
    </x:row>
    <x:row r="703" ht="37.5" customHeight="1">
      <x:c r="A703" s="13" t="str">
        <x:v>KRDS-SEC-098-U-02</x:v>
      </x:c>
      <x:c r="B703" s="13" t="str">
        <x:v>서비스 패턴</x:v>
      </x:c>
      <x:c r="C703" s="13" t="str">
        <x:v>신청</x:v>
      </x:c>
      <x:c r="D703" s="13" t="str">
        <x:v>완료</x:v>
      </x:c>
      <x:c r="E703" s="13" t="str">
        <x:v>사용성 가이드라인</x:v>
      </x:c>
      <x:c r="F703" s="13" t="str">
        <x:v>02</x:v>
      </x:c>
      <x:c r="G703" s="13" t="n">
        <x:v>1123</x:v>
      </x:c>
      <x:c r="H703" s="13" t="n">
        <x:v>1123</x:v>
      </x:c>
      <x:c r="I703" s="13" t="str">
        <x:v>1125</x:v>
      </x:c>
      <x:c r="J703" s="13" t="str">
        <x:v>작성한 내용 중 핵심 정보를 요약하여 제공한다.</x:v>
      </x:c>
      <x:c r="K703" s="13" t="str">
        <x:v>UI-093</x:v>
      </x:c>
      <x:c r="L703" s="13" t="str">
        <x:v>추출 후 기본 구조 검토; 원문 적용수준·전체 맥락 재확인 필요</x:v>
      </x:c>
      <x:c r="M703" s="13" t="str">
        <x:v>미확인</x:v>
      </x:c>
    </x:row>
    <x:row r="704" ht="37.5" customHeight="1">
      <x:c r="A704" s="14" t="str">
        <x:v>KRDS-SEC-098-U-03</x:v>
      </x:c>
      <x:c r="B704" s="14" t="str">
        <x:v>서비스 패턴</x:v>
      </x:c>
      <x:c r="C704" s="14" t="str">
        <x:v>신청</x:v>
      </x:c>
      <x:c r="D704" s="14" t="str">
        <x:v>완료</x:v>
      </x:c>
      <x:c r="E704" s="14" t="str">
        <x:v>사용성 가이드라인</x:v>
      </x:c>
      <x:c r="F704" s="14" t="str">
        <x:v>03</x:v>
      </x:c>
      <x:c r="G704" s="14" t="n">
        <x:v>1123</x:v>
      </x:c>
      <x:c r="H704" s="14" t="n">
        <x:v>1123</x:v>
      </x:c>
      <x:c r="I704" s="14" t="str">
        <x:v>1126</x:v>
      </x:c>
      <x:c r="J704" s="14" t="str">
        <x:v>신청 결과를 확인할 수 있는 화면으로 연결된 링크를 제공한다.</x:v>
      </x:c>
      <x:c r="K704" s="14" t="str">
        <x:v>UI-093</x:v>
      </x:c>
      <x:c r="L704" s="14" t="str">
        <x:v>추출 후 기본 구조 검토; 원문 적용수준·전체 맥락 재확인 필요</x:v>
      </x:c>
      <x:c r="M704" s="14" t="str">
        <x:v>미확인</x:v>
      </x:c>
    </x:row>
    <x:row r="705" ht="37.5" customHeight="1">
      <x:c r="A705" s="13" t="str">
        <x:v>KRDS-SEC-098-U-04</x:v>
      </x:c>
      <x:c r="B705" s="13" t="str">
        <x:v>서비스 패턴</x:v>
      </x:c>
      <x:c r="C705" s="13" t="str">
        <x:v>신청</x:v>
      </x:c>
      <x:c r="D705" s="13" t="str">
        <x:v>완료</x:v>
      </x:c>
      <x:c r="E705" s="13" t="str">
        <x:v>사용성 가이드라인</x:v>
      </x:c>
      <x:c r="F705" s="13" t="str">
        <x:v>04</x:v>
      </x:c>
      <x:c r="G705" s="13" t="n">
        <x:v>1123</x:v>
      </x:c>
      <x:c r="H705" s="13" t="n">
        <x:v>1123</x:v>
      </x:c>
      <x:c r="I705" s="13" t="str">
        <x:v>1127</x:v>
      </x:c>
      <x:c r="J705" s="13" t="str">
        <x:v>사용자가 빈번하게 동일한 신청 서비스를 연속적으로 이용하는 경우, 같은 작업을 다시 수행할 수 있는 버튼을 제공한다.</x:v>
      </x:c>
      <x:c r="K705" s="13" t="str">
        <x:v>UI-093</x:v>
      </x:c>
      <x:c r="L705" s="13" t="str">
        <x:v>추출 후 기본 구조 검토; 원문 적용수준·전체 맥락 재확인 필요</x:v>
      </x:c>
      <x:c r="M705" s="13" t="str">
        <x:v>미확인</x:v>
      </x:c>
    </x:row>
    <x:row r="706" ht="37.5" customHeight="1">
      <x:c r="A706" s="14" t="str">
        <x:v>KRDS-SEC-098-U-05</x:v>
      </x:c>
      <x:c r="B706" s="14" t="str">
        <x:v>서비스 패턴</x:v>
      </x:c>
      <x:c r="C706" s="14" t="str">
        <x:v>신청</x:v>
      </x:c>
      <x:c r="D706" s="14" t="str">
        <x:v>완료</x:v>
      </x:c>
      <x:c r="E706" s="14" t="str">
        <x:v>사용성 가이드라인</x:v>
      </x:c>
      <x:c r="F706" s="14" t="str">
        <x:v>05</x:v>
      </x:c>
      <x:c r="G706" s="14" t="n">
        <x:v>1123</x:v>
      </x:c>
      <x:c r="H706" s="14" t="n">
        <x:v>1123</x:v>
      </x:c>
      <x:c r="I706" s="14" t="str">
        <x:v>1128</x:v>
      </x:c>
      <x:c r="J706" s="14" t="str">
        <x:v>관련된 신청 서비스 정보를 확인하거나 신청할 수 있는 링크를 제공한다.</x:v>
      </x:c>
      <x:c r="K706" s="14" t="str">
        <x:v>UI-093</x:v>
      </x:c>
      <x:c r="L706" s="14" t="str">
        <x:v>추출 후 기본 구조 검토; 원문 적용수준·전체 맥락 재확인 필요</x:v>
      </x:c>
      <x:c r="M706" s="14" t="str">
        <x:v>미확인</x:v>
      </x:c>
    </x:row>
    <x:row r="707" ht="37.5" customHeight="1">
      <x:c r="A707" s="13" t="str">
        <x:v>KRDS-SEC-099-U-01</x:v>
      </x:c>
      <x:c r="B707" s="13" t="str">
        <x:v>서비스 패턴</x:v>
      </x:c>
      <x:c r="C707" s="13" t="str">
        <x:v>신청</x:v>
      </x:c>
      <x:c r="D707" s="13" t="str">
        <x:v>신청 결과 확인</x:v>
      </x:c>
      <x:c r="E707" s="13" t="str">
        <x:v>사용성 가이드라인</x:v>
      </x:c>
      <x:c r="F707" s="13" t="str">
        <x:v>01</x:v>
      </x:c>
      <x:c r="G707" s="13" t="n">
        <x:v>1131</x:v>
      </x:c>
      <x:c r="H707" s="13" t="n">
        <x:v>1131</x:v>
      </x:c>
      <x:c r="I707" s="13" t="str">
        <x:v>1132</x:v>
      </x:c>
      <x:c r="J707" s="13" t="str">
        <x:v>신청 결과 확인 화면으로 이동하는 링크 레이블에 직관적인 명칭을 사용한다.</x:v>
      </x:c>
      <x:c r="K707" s="13" t="str">
        <x:v>UI-094</x:v>
      </x:c>
      <x:c r="L707" s="13" t="str">
        <x:v>추출 후 기본 구조 검토; 원문 적용수준·전체 맥락 재확인 필요</x:v>
      </x:c>
      <x:c r="M707" s="13" t="str">
        <x:v>미확인</x:v>
      </x:c>
    </x:row>
    <x:row r="708" ht="37.5" customHeight="1">
      <x:c r="A708" s="14" t="str">
        <x:v>KRDS-SEC-099-U-02</x:v>
      </x:c>
      <x:c r="B708" s="14" t="str">
        <x:v>서비스 패턴</x:v>
      </x:c>
      <x:c r="C708" s="14" t="str">
        <x:v>신청</x:v>
      </x:c>
      <x:c r="D708" s="14" t="str">
        <x:v>신청 결과 확인</x:v>
      </x:c>
      <x:c r="E708" s="14" t="str">
        <x:v>사용성 가이드라인</x:v>
      </x:c>
      <x:c r="F708" s="14" t="str">
        <x:v>02</x:v>
      </x:c>
      <x:c r="G708" s="14" t="n">
        <x:v>1131</x:v>
      </x:c>
      <x:c r="H708" s="14" t="n">
        <x:v>1131</x:v>
      </x:c>
      <x:c r="I708" s="14" t="str">
        <x:v>1133</x:v>
      </x:c>
      <x:c r="J708" s="14" t="str">
        <x:v>신청 내역을 제공한다.</x:v>
      </x:c>
      <x:c r="K708" s="14" t="str">
        <x:v>UI-094</x:v>
      </x:c>
      <x:c r="L708" s="14" t="str">
        <x:v>추출 후 기본 구조 검토; 원문 적용수준·전체 맥락 재확인 필요</x:v>
      </x:c>
      <x:c r="M708" s="14" t="str">
        <x:v>미확인</x:v>
      </x:c>
    </x:row>
    <x:row r="709" ht="37.5" customHeight="1">
      <x:c r="A709" s="13" t="str">
        <x:v>KRDS-SEC-099-U-03</x:v>
      </x:c>
      <x:c r="B709" s="13" t="str">
        <x:v>서비스 패턴</x:v>
      </x:c>
      <x:c r="C709" s="13" t="str">
        <x:v>신청</x:v>
      </x:c>
      <x:c r="D709" s="13" t="str">
        <x:v>신청 결과 확인</x:v>
      </x:c>
      <x:c r="E709" s="13" t="str">
        <x:v>사용성 가이드라인</x:v>
      </x:c>
      <x:c r="F709" s="13" t="str">
        <x:v>03</x:v>
      </x:c>
      <x:c r="G709" s="13" t="n">
        <x:v>1131</x:v>
      </x:c>
      <x:c r="H709" s="13" t="n">
        <x:v>1131</x:v>
      </x:c>
      <x:c r="I709" s="13" t="str">
        <x:v>1134</x:v>
      </x:c>
      <x:c r="J709" s="13" t="str">
        <x:v>신청 이력을 제공한다.</x:v>
      </x:c>
      <x:c r="K709" s="13" t="str">
        <x:v>UI-094</x:v>
      </x:c>
      <x:c r="L709" s="13" t="str">
        <x:v>추출 후 기본 구조 검토; 원문 적용수준·전체 맥락 재확인 필요</x:v>
      </x:c>
      <x:c r="M709" s="13" t="str">
        <x:v>미확인</x:v>
      </x:c>
    </x:row>
    <x:row r="710" ht="37.5" customHeight="1">
      <x:c r="A710" s="14" t="str">
        <x:v>KRDS-SEC-099-U-04</x:v>
      </x:c>
      <x:c r="B710" s="14" t="str">
        <x:v>서비스 패턴</x:v>
      </x:c>
      <x:c r="C710" s="14" t="str">
        <x:v>신청</x:v>
      </x:c>
      <x:c r="D710" s="14" t="str">
        <x:v>신청 결과 확인</x:v>
      </x:c>
      <x:c r="E710" s="14" t="str">
        <x:v>사용성 가이드라인</x:v>
      </x:c>
      <x:c r="F710" s="14" t="str">
        <x:v>04</x:v>
      </x:c>
      <x:c r="G710" s="14" t="n">
        <x:v>1131</x:v>
      </x:c>
      <x:c r="H710" s="14" t="n">
        <x:v>1131</x:v>
      </x:c>
      <x:c r="I710" s="14" t="str">
        <x:v>1135</x:v>
      </x:c>
      <x:c r="J710" s="14" t="str">
        <x:v>신청 이력을 알기 쉽게 구조화한다.</x:v>
      </x:c>
      <x:c r="K710" s="14" t="str">
        <x:v>UI-094</x:v>
      </x:c>
      <x:c r="L710" s="14" t="str">
        <x:v>추출 후 기본 구조 검토; 원문 적용수준·전체 맥락 재확인 필요</x:v>
      </x:c>
      <x:c r="M710" s="14" t="str">
        <x:v>미확인</x:v>
      </x:c>
    </x:row>
    <x:row r="711" ht="37.5" customHeight="1">
      <x:c r="A711" s="13" t="str">
        <x:v>KRDS-SEC-099-U-05</x:v>
      </x:c>
      <x:c r="B711" s="13" t="str">
        <x:v>서비스 패턴</x:v>
      </x:c>
      <x:c r="C711" s="13" t="str">
        <x:v>신청</x:v>
      </x:c>
      <x:c r="D711" s="13" t="str">
        <x:v>신청 결과 확인</x:v>
      </x:c>
      <x:c r="E711" s="13" t="str">
        <x:v>사용성 가이드라인</x:v>
      </x:c>
      <x:c r="F711" s="13" t="str">
        <x:v>05</x:v>
      </x:c>
      <x:c r="G711" s="13" t="n">
        <x:v>1131</x:v>
      </x:c>
      <x:c r="H711" s="13" t="n">
        <x:v>1131</x:v>
      </x:c>
      <x:c r="I711" s="13" t="str">
        <x:v>1136</x:v>
      </x:c>
      <x:c r="J711" s="13" t="str">
        <x:v>정렬 기능을 제공한다.</x:v>
      </x:c>
      <x:c r="K711" s="13" t="str">
        <x:v>UI-094</x:v>
      </x:c>
      <x:c r="L711" s="13" t="str">
        <x:v>추출 후 기본 구조 검토; 원문 적용수준·전체 맥락 재확인 필요</x:v>
      </x:c>
      <x:c r="M711" s="13" t="str">
        <x:v>미확인</x:v>
      </x:c>
    </x:row>
    <x:row r="712" ht="37.5" customHeight="1">
      <x:c r="A712" s="14" t="str">
        <x:v>KRDS-SEC-099-U-06</x:v>
      </x:c>
      <x:c r="B712" s="14" t="str">
        <x:v>서비스 패턴</x:v>
      </x:c>
      <x:c r="C712" s="14" t="str">
        <x:v>신청</x:v>
      </x:c>
      <x:c r="D712" s="14" t="str">
        <x:v>신청 결과 확인</x:v>
      </x:c>
      <x:c r="E712" s="14" t="str">
        <x:v>사용성 가이드라인</x:v>
      </x:c>
      <x:c r="F712" s="14" t="str">
        <x:v>06</x:v>
      </x:c>
      <x:c r="G712" s="14" t="n">
        <x:v>1131</x:v>
      </x:c>
      <x:c r="H712" s="14" t="n">
        <x:v>1131</x:v>
      </x:c>
      <x:c r="I712" s="14" t="str">
        <x:v>1137</x:v>
      </x:c>
      <x:c r="J712" s="14" t="str">
        <x:v>신청 처리 절차 및 현재 진행 상태에 대한 정보를 제공한다.</x:v>
      </x:c>
      <x:c r="K712" s="14" t="str">
        <x:v>UI-094</x:v>
      </x:c>
      <x:c r="L712" s="14" t="str">
        <x:v>추출 후 기본 구조 검토; 원문 적용수준·전체 맥락 재확인 필요</x:v>
      </x:c>
      <x:c r="M712" s="14" t="str">
        <x:v>미확인</x:v>
      </x:c>
    </x:row>
    <x:row r="713" ht="37.5" customHeight="1">
      <x:c r="A713" s="13" t="str">
        <x:v>KRDS-SEC-099-U-07</x:v>
      </x:c>
      <x:c r="B713" s="13" t="str">
        <x:v>서비스 패턴</x:v>
      </x:c>
      <x:c r="C713" s="13" t="str">
        <x:v>신청</x:v>
      </x:c>
      <x:c r="D713" s="13" t="str">
        <x:v>신청 결과 확인</x:v>
      </x:c>
      <x:c r="E713" s="13" t="str">
        <x:v>사용성 가이드라인</x:v>
      </x:c>
      <x:c r="F713" s="13" t="str">
        <x:v>07</x:v>
      </x:c>
      <x:c r="G713" s="13" t="n">
        <x:v>1131</x:v>
      </x:c>
      <x:c r="H713" s="13" t="n">
        <x:v>1131</x:v>
      </x:c>
      <x:c r="I713" s="13" t="str">
        <x:v>1138</x:v>
      </x:c>
      <x:c r="J713" s="13" t="str">
        <x:v>일괄 선택 기능을 제공한다.</x:v>
      </x:c>
      <x:c r="K713" s="13" t="str">
        <x:v>UI-094</x:v>
      </x:c>
      <x:c r="L713" s="13" t="str">
        <x:v>추출 후 기본 구조 검토; 원문 적용수준·전체 맥락 재확인 필요</x:v>
      </x:c>
      <x:c r="M713" s="13" t="str">
        <x:v>미확인</x:v>
      </x:c>
    </x:row>
    <x:row r="714" ht="37.5" customHeight="1">
      <x:c r="A714" s="14" t="str">
        <x:v>KRDS-SEC-099-U-08</x:v>
      </x:c>
      <x:c r="B714" s="14" t="str">
        <x:v>서비스 패턴</x:v>
      </x:c>
      <x:c r="C714" s="14" t="str">
        <x:v>신청</x:v>
      </x:c>
      <x:c r="D714" s="14" t="str">
        <x:v>신청 결과 확인</x:v>
      </x:c>
      <x:c r="E714" s="14" t="str">
        <x:v>사용성 가이드라인</x:v>
      </x:c>
      <x:c r="F714" s="14" t="str">
        <x:v>08</x:v>
      </x:c>
      <x:c r="G714" s="14" t="n">
        <x:v>1131</x:v>
      </x:c>
      <x:c r="H714" s="14" t="n">
        <x:v>1131</x:v>
      </x:c>
      <x:c r="I714" s="14" t="str">
        <x:v>1139</x:v>
      </x:c>
      <x:c r="J714" s="14" t="str">
        <x:v>신청 취소 버튼을 명확하게 표현한다.</x:v>
      </x:c>
      <x:c r="K714" s="14" t="str">
        <x:v>UI-094</x:v>
      </x:c>
      <x:c r="L714" s="14" t="str">
        <x:v>추출 후 기본 구조 검토; 원문 적용수준·전체 맥락 재확인 필요</x:v>
      </x:c>
      <x:c r="M714" s="14" t="str">
        <x:v>미확인</x:v>
      </x:c>
    </x:row>
    <x:row r="715" ht="37.5" customHeight="1">
      <x:c r="A715" s="13" t="str">
        <x:v>KRDS-SEC-099-A-01</x:v>
      </x:c>
      <x:c r="B715" s="13" t="str">
        <x:v>서비스 패턴</x:v>
      </x:c>
      <x:c r="C715" s="13" t="str">
        <x:v>신청</x:v>
      </x:c>
      <x:c r="D715" s="13" t="str">
        <x:v>신청 결과 확인</x:v>
      </x:c>
      <x:c r="E715" s="13" t="str">
        <x:v>접근성 가이드라인</x:v>
      </x:c>
      <x:c r="F715" s="13" t="str">
        <x:v>01</x:v>
      </x:c>
      <x:c r="G715" s="13" t="n">
        <x:v>1140</x:v>
      </x:c>
      <x:c r="H715" s="13" t="n">
        <x:v>1140</x:v>
      </x:c>
      <x:c r="I715" s="13" t="str"/>
      <x:c r="J715" s="13" t="str">
        <x:v>신청 내역 선택에 사용되는 체크박스에 적절한 레이블을 제공한다.</x:v>
      </x:c>
      <x:c r="K715" s="13" t="str">
        <x:v>UI-094</x:v>
      </x:c>
      <x:c r="L715" s="13" t="str">
        <x:v>추출 후 기본 구조 검토; 원문 적용수준·전체 맥락 재확인 필요</x:v>
      </x:c>
      <x:c r="M715" s="13" t="str">
        <x:v>미확인</x:v>
      </x:c>
    </x:row>
    <x:row r="716" ht="37.5" customHeight="1">
      <x:c r="A716" s="14" t="str">
        <x:v>KRDS-SEC-101-U-01</x:v>
      </x:c>
      <x:c r="B716" s="14" t="str">
        <x:v>서비스 패턴</x:v>
      </x:c>
      <x:c r="C716" s="14" t="str">
        <x:v>정책 정보 확인</x:v>
      </x:c>
      <x:c r="D716" s="14" t="str">
        <x:v>정책 탐색</x:v>
      </x:c>
      <x:c r="E716" s="14" t="str">
        <x:v>사용성 가이드라인</x:v>
      </x:c>
      <x:c r="F716" s="14" t="str">
        <x:v>01</x:v>
      </x:c>
      <x:c r="G716" s="14" t="n">
        <x:v>1148</x:v>
      </x:c>
      <x:c r="H716" s="14" t="n">
        <x:v>1148</x:v>
      </x:c>
      <x:c r="I716" s="14" t="str">
        <x:v>1149</x:v>
      </x:c>
      <x:c r="J716" s="14" t="str">
        <x:v>모든 정책을 하나의 목록에서 탐색할 수 있는 수단을 제공한다.</x:v>
      </x:c>
      <x:c r="K716" s="14" t="str">
        <x:v>UI-095</x:v>
      </x:c>
      <x:c r="L716" s="14" t="str">
        <x:v>추출 후 기본 구조 검토; 원문 적용수준·전체 맥락 재확인 필요</x:v>
      </x:c>
      <x:c r="M716" s="14" t="str">
        <x:v>미확인</x:v>
      </x:c>
    </x:row>
    <x:row r="717" ht="37.5" customHeight="1">
      <x:c r="A717" s="13" t="str">
        <x:v>KRDS-SEC-101-U-02</x:v>
      </x:c>
      <x:c r="B717" s="13" t="str">
        <x:v>서비스 패턴</x:v>
      </x:c>
      <x:c r="C717" s="13" t="str">
        <x:v>정책 정보 확인</x:v>
      </x:c>
      <x:c r="D717" s="13" t="str">
        <x:v>정책 탐색</x:v>
      </x:c>
      <x:c r="E717" s="13" t="str">
        <x:v>사용성 가이드라인</x:v>
      </x:c>
      <x:c r="F717" s="13" t="str">
        <x:v>02</x:v>
      </x:c>
      <x:c r="G717" s="13" t="n">
        <x:v>1148</x:v>
      </x:c>
      <x:c r="H717" s="13" t="n">
        <x:v>1148</x:v>
      </x:c>
      <x:c r="I717" s="13" t="str">
        <x:v>1150</x:v>
      </x:c>
      <x:c r="J717" s="13" t="str">
        <x:v>필터링 또는 검색 기능을 제공한다.</x:v>
      </x:c>
      <x:c r="K717" s="13" t="str">
        <x:v>UI-095</x:v>
      </x:c>
      <x:c r="L717" s="13" t="str">
        <x:v>추출 후 기본 구조 검토; 원문 적용수준·전체 맥락 재확인 필요</x:v>
      </x:c>
      <x:c r="M717" s="13" t="str">
        <x:v>미확인</x:v>
      </x:c>
    </x:row>
    <x:row r="718" ht="37.5" customHeight="1">
      <x:c r="A718" s="14" t="str">
        <x:v>KRDS-SEC-101-U-03</x:v>
      </x:c>
      <x:c r="B718" s="14" t="str">
        <x:v>서비스 패턴</x:v>
      </x:c>
      <x:c r="C718" s="14" t="str">
        <x:v>정책 정보 확인</x:v>
      </x:c>
      <x:c r="D718" s="14" t="str">
        <x:v>정책 탐색</x:v>
      </x:c>
      <x:c r="E718" s="14" t="str">
        <x:v>사용성 가이드라인</x:v>
      </x:c>
      <x:c r="F718" s="14" t="str">
        <x:v>03</x:v>
      </x:c>
      <x:c r="G718" s="14" t="n">
        <x:v>1148</x:v>
      </x:c>
      <x:c r="H718" s="14" t="n">
        <x:v>1148</x:v>
      </x:c>
      <x:c r="I718" s="14" t="str">
        <x:v>1151</x:v>
      </x:c>
      <x:c r="J718" s="14" t="str">
        <x:v>정책의 대상/분야 등의 분류 체계를 표시한다.</x:v>
      </x:c>
      <x:c r="K718" s="14" t="str">
        <x:v>UI-095</x:v>
      </x:c>
      <x:c r="L718" s="14" t="str">
        <x:v>추출 후 기본 구조 검토; 원문 적용수준·전체 맥락 재확인 필요</x:v>
      </x:c>
      <x:c r="M718" s="14" t="str">
        <x:v>미확인</x:v>
      </x:c>
    </x:row>
    <x:row r="719" ht="37.5" customHeight="1">
      <x:c r="A719" s="13" t="str">
        <x:v>KRDS-SEC-101-U-04</x:v>
      </x:c>
      <x:c r="B719" s="13" t="str">
        <x:v>서비스 패턴</x:v>
      </x:c>
      <x:c r="C719" s="13" t="str">
        <x:v>정책 정보 확인</x:v>
      </x:c>
      <x:c r="D719" s="13" t="str">
        <x:v>정책 탐색</x:v>
      </x:c>
      <x:c r="E719" s="13" t="str">
        <x:v>사용성 가이드라인</x:v>
      </x:c>
      <x:c r="F719" s="13" t="str">
        <x:v>04</x:v>
      </x:c>
      <x:c r="G719" s="13" t="n">
        <x:v>1148</x:v>
      </x:c>
      <x:c r="H719" s="13" t="n">
        <x:v>1148</x:v>
      </x:c>
      <x:c r="I719" s="13" t="str">
        <x:v>1152</x:v>
      </x:c>
      <x:c r="J719" s="13" t="str">
        <x:v>새로운 정책 및 자료를 명확하게 구분한다.</x:v>
      </x:c>
      <x:c r="K719" s="13" t="str">
        <x:v>UI-095</x:v>
      </x:c>
      <x:c r="L719" s="13" t="str">
        <x:v>추출 후 기본 구조 검토; 원문 적용수준·전체 맥락 재확인 필요</x:v>
      </x:c>
      <x:c r="M719" s="13" t="str">
        <x:v>미확인</x:v>
      </x:c>
    </x:row>
    <x:row r="720" ht="37.5" customHeight="1">
      <x:c r="A720" s="14" t="str">
        <x:v>KRDS-SEC-101-A-01</x:v>
      </x:c>
      <x:c r="B720" s="14" t="str">
        <x:v>서비스 패턴</x:v>
      </x:c>
      <x:c r="C720" s="14" t="str">
        <x:v>정책 정보 확인</x:v>
      </x:c>
      <x:c r="D720" s="14" t="str">
        <x:v>정책 탐색</x:v>
      </x:c>
      <x:c r="E720" s="14" t="str">
        <x:v>접근성 가이드라인</x:v>
      </x:c>
      <x:c r="F720" s="14" t="str">
        <x:v>01</x:v>
      </x:c>
      <x:c r="G720" s="14" t="n">
        <x:v>1153</x:v>
      </x:c>
      <x:c r="H720" s="14" t="n">
        <x:v>1153</x:v>
      </x:c>
      <x:c r="I720" s="14" t="str"/>
      <x:c r="J720" s="14" t="str">
        <x:v>공유/저장 컨트롤과 액션 버튼에 명확한 접근 가능한 이름을 제공한다.</x:v>
      </x:c>
      <x:c r="K720" s="14" t="str">
        <x:v>UI-095</x:v>
      </x:c>
      <x:c r="L720" s="14" t="str">
        <x:v>추출 후 기본 구조 검토; 원문 적용수준·전체 맥락 재확인 필요</x:v>
      </x:c>
      <x:c r="M720" s="14" t="str">
        <x:v>미확인</x:v>
      </x:c>
    </x:row>
    <x:row r="721" ht="37.5" customHeight="1">
      <x:c r="A721" s="13" t="str">
        <x:v>KRDS-SEC-102-U-01</x:v>
      </x:c>
      <x:c r="B721" s="13" t="str">
        <x:v>서비스 패턴</x:v>
      </x:c>
      <x:c r="C721" s="13" t="str">
        <x:v>정책 정보 확인</x:v>
      </x:c>
      <x:c r="D721" s="13" t="str">
        <x:v>정보 확인</x:v>
      </x:c>
      <x:c r="E721" s="13" t="str">
        <x:v>사용성 가이드라인</x:v>
      </x:c>
      <x:c r="F721" s="13" t="str">
        <x:v>01</x:v>
      </x:c>
      <x:c r="G721" s="13" t="n">
        <x:v>1155</x:v>
      </x:c>
      <x:c r="H721" s="13" t="n">
        <x:v>1155</x:v>
      </x:c>
      <x:c r="I721" s="13" t="str">
        <x:v>1156</x:v>
      </x:c>
      <x:c r="J721" s="13" t="str">
        <x:v>화면 제목을 정책명으로 제공한다.</x:v>
      </x:c>
      <x:c r="K721" s="13" t="str">
        <x:v>UI-096</x:v>
      </x:c>
      <x:c r="L721" s="13" t="str">
        <x:v>추출 후 기본 구조 검토; 원문 적용수준·전체 맥락 재확인 필요</x:v>
      </x:c>
      <x:c r="M721" s="13" t="str">
        <x:v>미확인</x:v>
      </x:c>
    </x:row>
    <x:row r="722" ht="37.5" customHeight="1">
      <x:c r="A722" s="14" t="str">
        <x:v>KRDS-SEC-102-U-02</x:v>
      </x:c>
      <x:c r="B722" s="14" t="str">
        <x:v>서비스 패턴</x:v>
      </x:c>
      <x:c r="C722" s="14" t="str">
        <x:v>정책 정보 확인</x:v>
      </x:c>
      <x:c r="D722" s="14" t="str">
        <x:v>정보 확인</x:v>
      </x:c>
      <x:c r="E722" s="14" t="str">
        <x:v>사용성 가이드라인</x:v>
      </x:c>
      <x:c r="F722" s="14" t="str">
        <x:v>02</x:v>
      </x:c>
      <x:c r="G722" s="14" t="n">
        <x:v>1155</x:v>
      </x:c>
      <x:c r="H722" s="14" t="n">
        <x:v>1155</x:v>
      </x:c>
      <x:c r="I722" s="14" t="str">
        <x:v>1157</x:v>
      </x:c>
      <x:c r="J722" s="14" t="str">
        <x:v>상세 정보 콘텐츠는 간결하며 이해하기 쉽게 작성한다.</x:v>
      </x:c>
      <x:c r="K722" s="14" t="str">
        <x:v>UI-096</x:v>
      </x:c>
      <x:c r="L722" s="14" t="str">
        <x:v>추출 후 기본 구조 검토; 원문 적용수준·전체 맥락 재확인 필요</x:v>
      </x:c>
      <x:c r="M722" s="14" t="str">
        <x:v>미확인</x:v>
      </x:c>
    </x:row>
    <x:row r="723" ht="37.5" customHeight="1">
      <x:c r="A723" s="13" t="str">
        <x:v>KRDS-SEC-102-U-03</x:v>
      </x:c>
      <x:c r="B723" s="13" t="str">
        <x:v>서비스 패턴</x:v>
      </x:c>
      <x:c r="C723" s="13" t="str">
        <x:v>정책 정보 확인</x:v>
      </x:c>
      <x:c r="D723" s="13" t="str">
        <x:v>정보 확인</x:v>
      </x:c>
      <x:c r="E723" s="13" t="str">
        <x:v>사용성 가이드라인</x:v>
      </x:c>
      <x:c r="F723" s="13" t="str">
        <x:v>03</x:v>
      </x:c>
      <x:c r="G723" s="13" t="n">
        <x:v>1155</x:v>
      </x:c>
      <x:c r="H723" s="13" t="n">
        <x:v>1155</x:v>
      </x:c>
      <x:c r="I723" s="13" t="str">
        <x:v>1158</x:v>
      </x:c>
      <x:c r="J723" s="13" t="str">
        <x:v>상세 정보는 정확하고 최신화된 상태로 제공한다.</x:v>
      </x:c>
      <x:c r="K723" s="13" t="str">
        <x:v>UI-096</x:v>
      </x:c>
      <x:c r="L723" s="13" t="str">
        <x:v>추출 후 기본 구조 검토; 원문 적용수준·전체 맥락 재확인 필요</x:v>
      </x:c>
      <x:c r="M723" s="13" t="str">
        <x:v>미확인</x:v>
      </x:c>
    </x:row>
    <x:row r="724" ht="37.5" customHeight="1">
      <x:c r="A724" s="14" t="str">
        <x:v>KRDS-SEC-102-U-04</x:v>
      </x:c>
      <x:c r="B724" s="14" t="str">
        <x:v>서비스 패턴</x:v>
      </x:c>
      <x:c r="C724" s="14" t="str">
        <x:v>정책 정보 확인</x:v>
      </x:c>
      <x:c r="D724" s="14" t="str">
        <x:v>정보 확인</x:v>
      </x:c>
      <x:c r="E724" s="14" t="str">
        <x:v>사용성 가이드라인</x:v>
      </x:c>
      <x:c r="F724" s="14" t="str">
        <x:v>04</x:v>
      </x:c>
      <x:c r="G724" s="14" t="n">
        <x:v>1155</x:v>
      </x:c>
      <x:c r="H724" s="14" t="n">
        <x:v>1155</x:v>
      </x:c>
      <x:c r="I724" s="14" t="str">
        <x:v>1159</x:v>
      </x:c>
      <x:c r="J724" s="14" t="str">
        <x:v>내용이 없는 콘텐츠 섹션과 섹션 제목은 표시되지 않도록 한다.</x:v>
      </x:c>
      <x:c r="K724" s="14" t="str">
        <x:v>UI-096</x:v>
      </x:c>
      <x:c r="L724" s="14" t="str">
        <x:v>추출 후 기본 구조 검토; 원문 적용수준·전체 맥락 재확인 필요</x:v>
      </x:c>
      <x:c r="M724" s="14" t="str">
        <x:v>미확인</x:v>
      </x:c>
    </x:row>
    <x:row r="725" ht="37.5" customHeight="1">
      <x:c r="A725" s="13" t="str">
        <x:v>KRDS-SEC-102-U-05</x:v>
      </x:c>
      <x:c r="B725" s="13" t="str">
        <x:v>서비스 패턴</x:v>
      </x:c>
      <x:c r="C725" s="13" t="str">
        <x:v>정책 정보 확인</x:v>
      </x:c>
      <x:c r="D725" s="13" t="str">
        <x:v>정보 확인</x:v>
      </x:c>
      <x:c r="E725" s="13" t="str">
        <x:v>사용성 가이드라인</x:v>
      </x:c>
      <x:c r="F725" s="13" t="str">
        <x:v>05</x:v>
      </x:c>
      <x:c r="G725" s="13" t="n">
        <x:v>1155</x:v>
      </x:c>
      <x:c r="H725" s="13" t="n">
        <x:v>1155</x:v>
      </x:c>
      <x:c r="I725" s="13" t="str">
        <x:v>1160</x:v>
      </x:c>
      <x:c r="J725" s="13" t="str">
        <x:v>인포그래픽, 사진, 동영상 등의 콘텐츠를 적절하게 활용한다.</x:v>
      </x:c>
      <x:c r="K725" s="13" t="str">
        <x:v>UI-096</x:v>
      </x:c>
      <x:c r="L725" s="13" t="str">
        <x:v>추출 후 기본 구조 검토; 원문 적용수준·전체 맥락 재확인 필요</x:v>
      </x:c>
      <x:c r="M725" s="13" t="str">
        <x:v>미확인</x:v>
      </x:c>
    </x:row>
    <x:row r="726" ht="37.5" customHeight="1">
      <x:c r="A726" s="14" t="str">
        <x:v>KRDS-SEC-102-U-06</x:v>
      </x:c>
      <x:c r="B726" s="14" t="str">
        <x:v>서비스 패턴</x:v>
      </x:c>
      <x:c r="C726" s="14" t="str">
        <x:v>정책 정보 확인</x:v>
      </x:c>
      <x:c r="D726" s="14" t="str">
        <x:v>정보 확인</x:v>
      </x:c>
      <x:c r="E726" s="14" t="str">
        <x:v>사용성 가이드라인</x:v>
      </x:c>
      <x:c r="F726" s="14" t="str">
        <x:v>06</x:v>
      </x:c>
      <x:c r="G726" s="14" t="n">
        <x:v>1155</x:v>
      </x:c>
      <x:c r="H726" s="14" t="n">
        <x:v>1155</x:v>
      </x:c>
      <x:c r="I726" s="14" t="str">
        <x:v>1161</x:v>
      </x:c>
      <x:c r="J726" s="14" t="str">
        <x:v>사용자에게 도움을 줄 수 있는 다양한 부가 정보를 제공한다.</x:v>
      </x:c>
      <x:c r="K726" s="14" t="str">
        <x:v>UI-096</x:v>
      </x:c>
      <x:c r="L726" s="14" t="str">
        <x:v>추출 후 기본 구조 검토; 원문 적용수준·전체 맥락 재확인 필요</x:v>
      </x:c>
      <x:c r="M726" s="14" t="str">
        <x:v>미확인</x:v>
      </x:c>
    </x:row>
    <x:row r="727" ht="37.5" customHeight="1">
      <x:c r="A727" s="13" t="str">
        <x:v>KRDS-SEC-102-U-07</x:v>
      </x:c>
      <x:c r="B727" s="13" t="str">
        <x:v>서비스 패턴</x:v>
      </x:c>
      <x:c r="C727" s="13" t="str">
        <x:v>정책 정보 확인</x:v>
      </x:c>
      <x:c r="D727" s="13" t="str">
        <x:v>정보 확인</x:v>
      </x:c>
      <x:c r="E727" s="13" t="str">
        <x:v>사용성 가이드라인</x:v>
      </x:c>
      <x:c r="F727" s="13" t="str">
        <x:v>07</x:v>
      </x:c>
      <x:c r="G727" s="13" t="n">
        <x:v>1155</x:v>
      </x:c>
      <x:c r="H727" s="13" t="n">
        <x:v>1155</x:v>
      </x:c>
      <x:c r="I727" s="13" t="str">
        <x:v>1162</x:v>
      </x:c>
      <x:c r="J727" s="13" t="str">
        <x:v>부가 정보는 사용자가 필요에 따라 상세 내용을 확인할 수 있게 제공하는 방안을 고려한다.</x:v>
      </x:c>
      <x:c r="K727" s="13" t="str">
        <x:v>UI-096</x:v>
      </x:c>
      <x:c r="L727" s="13" t="str">
        <x:v>추출 후 기본 구조 검토; 원문 적용수준·전체 맥락 재확인 필요</x:v>
      </x:c>
      <x:c r="M727" s="13" t="str">
        <x:v>미확인</x:v>
      </x:c>
    </x:row>
    <x:row r="728" ht="37.5" customHeight="1">
      <x:c r="A728" s="14" t="str">
        <x:v>KRDS-SEC-102-U-08</x:v>
      </x:c>
      <x:c r="B728" s="14" t="str">
        <x:v>서비스 패턴</x:v>
      </x:c>
      <x:c r="C728" s="14" t="str">
        <x:v>정책 정보 확인</x:v>
      </x:c>
      <x:c r="D728" s="14" t="str">
        <x:v>정보 확인</x:v>
      </x:c>
      <x:c r="E728" s="14" t="str">
        <x:v>사용성 가이드라인</x:v>
      </x:c>
      <x:c r="F728" s="14" t="str">
        <x:v>08</x:v>
      </x:c>
      <x:c r="G728" s="14" t="n">
        <x:v>1155</x:v>
      </x:c>
      <x:c r="H728" s="14" t="n">
        <x:v>1155</x:v>
      </x:c>
      <x:c r="I728" s="14" t="str">
        <x:v>1163</x:v>
      </x:c>
      <x:c r="J728" s="14" t="str">
        <x:v>모든 링크는 실행하였을 때, 링크 레이블에 명시된 적절한 화면으로 이동해야 한다.</x:v>
      </x:c>
      <x:c r="K728" s="14" t="str">
        <x:v>UI-096</x:v>
      </x:c>
      <x:c r="L728" s="14" t="str">
        <x:v>추출 후 기본 구조 검토; 원문 적용수준·전체 맥락 재확인 필요</x:v>
      </x:c>
      <x:c r="M728" s="14" t="str">
        <x:v>미확인</x:v>
      </x:c>
    </x:row>
    <x:row r="729" ht="37.5" customHeight="1">
      <x:c r="A729" s="13" t="str">
        <x:v>KRDS-SEC-103-U-01</x:v>
      </x:c>
      <x:c r="B729" s="13" t="str">
        <x:v>서비스 패턴</x:v>
      </x:c>
      <x:c r="C729" s="13" t="str">
        <x:v>정책 정보 확인</x:v>
      </x:c>
      <x:c r="D729" s="13" t="str">
        <x:v>정책 자료 탐색</x:v>
      </x:c>
      <x:c r="E729" s="13" t="str">
        <x:v>사용성 가이드라인</x:v>
      </x:c>
      <x:c r="F729" s="13" t="str">
        <x:v>01</x:v>
      </x:c>
      <x:c r="G729" s="13" t="n">
        <x:v>1167</x:v>
      </x:c>
      <x:c r="H729" s="13" t="n">
        <x:v>1167</x:v>
      </x:c>
      <x:c r="I729" s="13" t="str">
        <x:v>1168</x:v>
      </x:c>
      <x:c r="J729" s="13" t="str">
        <x:v>필터링 또는 검색 기능을 제공한다.</x:v>
      </x:c>
      <x:c r="K729" s="13" t="str">
        <x:v>UI-097</x:v>
      </x:c>
      <x:c r="L729" s="13" t="str">
        <x:v>추출 후 기본 구조 검토; 원문 적용수준·전체 맥락 재확인 필요</x:v>
      </x:c>
      <x:c r="M729" s="13" t="str">
        <x:v>미확인</x:v>
      </x:c>
    </x:row>
    <x:row r="730" ht="37.5" customHeight="1">
      <x:c r="A730" s="14" t="str">
        <x:v>KRDS-SEC-103-U-02</x:v>
      </x:c>
      <x:c r="B730" s="14" t="str">
        <x:v>서비스 패턴</x:v>
      </x:c>
      <x:c r="C730" s="14" t="str">
        <x:v>정책 정보 확인</x:v>
      </x:c>
      <x:c r="D730" s="14" t="str">
        <x:v>정책 자료 탐색</x:v>
      </x:c>
      <x:c r="E730" s="14" t="str">
        <x:v>사용성 가이드라인</x:v>
      </x:c>
      <x:c r="F730" s="14" t="str">
        <x:v>02</x:v>
      </x:c>
      <x:c r="G730" s="14" t="n">
        <x:v>1167</x:v>
      </x:c>
      <x:c r="H730" s="14" t="n">
        <x:v>1167</x:v>
      </x:c>
      <x:c r="I730" s="14" t="str">
        <x:v>1169</x:v>
      </x:c>
      <x:c r="J730" s="14" t="str">
        <x:v>새로운 자료, 변경이 있는 자료를 명확하게 구분한다.</x:v>
      </x:c>
      <x:c r="K730" s="14" t="str">
        <x:v>UI-097</x:v>
      </x:c>
      <x:c r="L730" s="14" t="str">
        <x:v>추출 후 기본 구조 검토; 원문 적용수준·전체 맥락 재확인 필요</x:v>
      </x:c>
      <x:c r="M730" s="14" t="str">
        <x:v>미확인</x:v>
      </x:c>
    </x:row>
    <x:row r="731" ht="37.5" customHeight="1">
      <x:c r="A731" s="13" t="str">
        <x:v>KRDS-SEC-103-U-03</x:v>
      </x:c>
      <x:c r="B731" s="13" t="str">
        <x:v>서비스 패턴</x:v>
      </x:c>
      <x:c r="C731" s="13" t="str">
        <x:v>정책 정보 확인</x:v>
      </x:c>
      <x:c r="D731" s="13" t="str">
        <x:v>정책 자료 탐색</x:v>
      </x:c>
      <x:c r="E731" s="13" t="str">
        <x:v>사용성 가이드라인</x:v>
      </x:c>
      <x:c r="F731" s="13" t="str">
        <x:v>03</x:v>
      </x:c>
      <x:c r="G731" s="13" t="n">
        <x:v>1167</x:v>
      </x:c>
      <x:c r="H731" s="13" t="n">
        <x:v>1167</x:v>
      </x:c>
      <x:c r="I731" s="13" t="str">
        <x:v>1170</x:v>
      </x:c>
      <x:c r="J731" s="13" t="str">
        <x:v>정책 관련 간행물의 발행 주기에 대한 정보를 제공한다.</x:v>
      </x:c>
      <x:c r="K731" s="13" t="str">
        <x:v>UI-097</x:v>
      </x:c>
      <x:c r="L731" s="13" t="str">
        <x:v>추출 후 기본 구조 검토; 원문 적용수준·전체 맥락 재확인 필요</x:v>
      </x:c>
      <x:c r="M731" s="13" t="str">
        <x:v>미확인</x:v>
      </x:c>
    </x:row>
  </x:sheetData>
  <x:pageMargins left="0.7" right="0.7" top="0.75" bottom="0.75" header="0.3" footer="0.3"/>
  <x:tableParts count="1">
    <x:tablePart xmlns:r="http://schemas.openxmlformats.org/officeDocument/2006/relationships" r:id="R85315ce3d1214b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6.670000076293945" hidden="0" customWidth="1"/>
    <x:col min="3" max="3" width="33.33000183105469" hidden="0" customWidth="1"/>
    <x:col min="4" max="4" width="10" hidden="0" customWidth="1"/>
    <x:col min="5" max="5" width="53.33000183105469" hidden="0" customWidth="1"/>
    <x:col min="6" max="6" width="21.110000610351562" hidden="0" customWidth="1"/>
    <x:col min="7" max="7" width="47.779998779296875" hidden="0" customWidth="1"/>
    <x:col min="8" max="8" width="28.889999389648438" hidden="0" customWidth="1"/>
    <x:col min="9" max="9" width="4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1" customHeight="1">
      <x:c r="A2" s="3" t="str">
        <x:v>KRDS 전체 구조와 비번호 상호작용 범위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4" t="str">
        <x:v>섹션 매핑은 세부규칙 준수의 증거가 아닙니다. 비번호 기준은 원문과 추가 대조합니다.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9" t="str">
        <x:v>섹션 ID</x:v>
      </x:c>
      <x:c r="B6" s="10" t="str">
        <x:v>장</x:v>
      </x:c>
      <x:c r="C6" s="10" t="str">
        <x:v>분류</x:v>
      </x:c>
      <x:c r="D6" s="10" t="str">
        <x:v>섹션</x:v>
      </x:c>
      <x:c r="E6" s="10" t="str">
        <x:v>시작 쪽</x:v>
      </x:c>
      <x:c r="F6" s="10" t="str">
        <x:v>종료 쪽</x:v>
      </x:c>
      <x:c r="G6" s="10" t="str">
        <x:v>번호 후보 수</x:v>
      </x:c>
      <x:c r="H6" s="10" t="str">
        <x:v>회사규칙 연결</x:v>
      </x:c>
      <x:c r="I6" s="11" t="str">
        <x:v>범위 메모</x:v>
      </x:c>
    </x:row>
    <x:row r="7" ht="37.5" customHeight="1">
      <x:c r="A7" s="13" t="str">
        <x:v>KRDS-SEC-001</x:v>
      </x:c>
      <x:c r="B7" s="13" t="str">
        <x:v>디자인 원칙</x:v>
      </x:c>
      <x:c r="C7" s="13" t="str">
        <x:v>원칙</x:v>
      </x:c>
      <x:c r="D7" s="13" t="str">
        <x:v>사용자 중심의 서비스</x:v>
      </x:c>
      <x:c r="E7" s="13" t="n">
        <x:v>49</x:v>
      </x:c>
      <x:c r="F7" s="13" t="n">
        <x:v>50</x:v>
      </x:c>
      <x:c r="G7" s="13" t="n">
        <x:v>0</x:v>
      </x:c>
      <x:c r="H7" s="13" t="str">
        <x:v>UI-001</x:v>
      </x:c>
      <x:c r="I7" s="13" t="str">
        <x:v>소개·개요 또는 번호 없는 스타일/원칙/상호작용·예시의 개별 기준은 원문으로 보완해야 함. 섹션 매핑 자체는 전체 세부규칙 준수증거가 아님.</x:v>
      </x:c>
    </x:row>
    <x:row r="8" ht="37.5" customHeight="1">
      <x:c r="A8" s="14" t="str">
        <x:v>KRDS-SEC-002</x:v>
      </x:c>
      <x:c r="B8" s="14" t="str">
        <x:v>디자인 원칙</x:v>
      </x:c>
      <x:c r="C8" s="14" t="str">
        <x:v>원칙</x:v>
      </x:c>
      <x:c r="D8" s="14" t="str">
        <x:v>모든 사용자를 포용하는 서비스</x:v>
      </x:c>
      <x:c r="E8" s="14" t="n">
        <x:v>51</x:v>
      </x:c>
      <x:c r="F8" s="14" t="n">
        <x:v>52</x:v>
      </x:c>
      <x:c r="G8" s="14" t="n">
        <x:v>0</x:v>
      </x:c>
      <x:c r="H8" s="14" t="str">
        <x:v>UI-002</x:v>
      </x:c>
      <x:c r="I8" s="14" t="str">
        <x:v>소개·개요 또는 번호 없는 스타일/원칙/상호작용·예시의 개별 기준은 원문으로 보완해야 함. 섹션 매핑 자체는 전체 세부규칙 준수증거가 아님.</x:v>
      </x:c>
    </x:row>
    <x:row r="9" ht="37.5" customHeight="1">
      <x:c r="A9" s="13" t="str">
        <x:v>KRDS-SEC-003</x:v>
      </x:c>
      <x:c r="B9" s="13" t="str">
        <x:v>디자인 원칙</x:v>
      </x:c>
      <x:c r="C9" s="13" t="str">
        <x:v>원칙</x:v>
      </x:c>
      <x:c r="D9" s="13" t="str">
        <x:v>공통된 경험 안에서 개별 특성을 고려한 서비스</x:v>
      </x:c>
      <x:c r="E9" s="13" t="n">
        <x:v>53</x:v>
      </x:c>
      <x:c r="F9" s="13" t="n">
        <x:v>54</x:v>
      </x:c>
      <x:c r="G9" s="13" t="n">
        <x:v>0</x:v>
      </x:c>
      <x:c r="H9" s="13" t="str">
        <x:v>UI-003</x:v>
      </x:c>
      <x:c r="I9" s="13" t="str">
        <x:v>소개·개요 또는 번호 없는 스타일/원칙/상호작용·예시의 개별 기준은 원문으로 보완해야 함. 섹션 매핑 자체는 전체 세부규칙 준수증거가 아님.</x:v>
      </x:c>
    </x:row>
    <x:row r="10" ht="37.5" customHeight="1">
      <x:c r="A10" s="14" t="str">
        <x:v>KRDS-SEC-004</x:v>
      </x:c>
      <x:c r="B10" s="14" t="str">
        <x:v>디자인 원칙</x:v>
      </x:c>
      <x:c r="C10" s="14" t="str">
        <x:v>원칙</x:v>
      </x:c>
      <x:c r="D10" s="14" t="str">
        <x:v>빠르고 간단한 서비스</x:v>
      </x:c>
      <x:c r="E10" s="14" t="n">
        <x:v>55</x:v>
      </x:c>
      <x:c r="F10" s="14" t="n">
        <x:v>56</x:v>
      </x:c>
      <x:c r="G10" s="14" t="n">
        <x:v>0</x:v>
      </x:c>
      <x:c r="H10" s="14" t="str">
        <x:v>UI-004</x:v>
      </x:c>
      <x:c r="I10" s="14" t="str">
        <x:v>소개·개요 또는 번호 없는 스타일/원칙/상호작용·예시의 개별 기준은 원문으로 보완해야 함. 섹션 매핑 자체는 전체 세부규칙 준수증거가 아님.</x:v>
      </x:c>
    </x:row>
    <x:row r="11" ht="37.5" customHeight="1">
      <x:c r="A11" s="13" t="str">
        <x:v>KRDS-SEC-005</x:v>
      </x:c>
      <x:c r="B11" s="13" t="str">
        <x:v>디자인 원칙</x:v>
      </x:c>
      <x:c r="C11" s="13" t="str">
        <x:v>원칙</x:v>
      </x:c>
      <x:c r="D11" s="13" t="str">
        <x:v>쉽게 이해하고 사용할 수 있는 서비스</x:v>
      </x:c>
      <x:c r="E11" s="13" t="n">
        <x:v>57</x:v>
      </x:c>
      <x:c r="F11" s="13" t="n">
        <x:v>58</x:v>
      </x:c>
      <x:c r="G11" s="13" t="n">
        <x:v>0</x:v>
      </x:c>
      <x:c r="H11" s="13" t="str">
        <x:v>UI-005</x:v>
      </x:c>
      <x:c r="I11" s="13" t="str">
        <x:v>소개·개요 또는 번호 없는 스타일/원칙/상호작용·예시의 개별 기준은 원문으로 보완해야 함. 섹션 매핑 자체는 전체 세부규칙 준수증거가 아님.</x:v>
      </x:c>
    </x:row>
    <x:row r="12" ht="37.5" customHeight="1">
      <x:c r="A12" s="14" t="str">
        <x:v>KRDS-SEC-006</x:v>
      </x:c>
      <x:c r="B12" s="14" t="str">
        <x:v>디자인 원칙</x:v>
      </x:c>
      <x:c r="C12" s="14" t="str">
        <x:v>원칙</x:v>
      </x:c>
      <x:c r="D12" s="14" t="str">
        <x:v>사용자의 다양한 상황을 고려하는 서비스</x:v>
      </x:c>
      <x:c r="E12" s="14" t="n">
        <x:v>59</x:v>
      </x:c>
      <x:c r="F12" s="14" t="n">
        <x:v>60</x:v>
      </x:c>
      <x:c r="G12" s="14" t="n">
        <x:v>0</x:v>
      </x:c>
      <x:c r="H12" s="14" t="str">
        <x:v>UI-006</x:v>
      </x:c>
      <x:c r="I12" s="14" t="str">
        <x:v>소개·개요 또는 번호 없는 스타일/원칙/상호작용·예시의 개별 기준은 원문으로 보완해야 함. 섹션 매핑 자체는 전체 세부규칙 준수증거가 아님.</x:v>
      </x:c>
    </x:row>
    <x:row r="13" ht="37.5" customHeight="1">
      <x:c r="A13" s="13" t="str">
        <x:v>KRDS-SEC-007</x:v>
      </x:c>
      <x:c r="B13" s="13" t="str">
        <x:v>디자인 원칙</x:v>
      </x:c>
      <x:c r="C13" s="13" t="str">
        <x:v>원칙</x:v>
      </x:c>
      <x:c r="D13" s="13" t="str">
        <x:v>신뢰할 수 있는 서비스</x:v>
      </x:c>
      <x:c r="E13" s="13" t="n">
        <x:v>61</x:v>
      </x:c>
      <x:c r="F13" s="13" t="n">
        <x:v>64</x:v>
      </x:c>
      <x:c r="G13" s="13" t="n">
        <x:v>0</x:v>
      </x:c>
      <x:c r="H13" s="13" t="str">
        <x:v>UI-007</x:v>
      </x:c>
      <x:c r="I13" s="13" t="str">
        <x:v>소개·개요 또는 번호 없는 스타일/원칙/상호작용·예시의 개별 기준은 원문으로 보완해야 함. 섹션 매핑 자체는 전체 세부규칙 준수증거가 아님.</x:v>
      </x:c>
    </x:row>
    <x:row r="14" ht="37.5" customHeight="1">
      <x:c r="A14" s="14" t="str">
        <x:v>KRDS-SEC-008</x:v>
      </x:c>
      <x:c r="B14" s="14" t="str">
        <x:v>디자인 스타일</x:v>
      </x:c>
      <x:c r="C14" s="14" t="str">
        <x:v>스타일</x:v>
      </x:c>
      <x:c r="D14" s="14" t="str">
        <x:v>디자인 스타일 소개</x:v>
      </x:c>
      <x:c r="E14" s="14" t="n">
        <x:v>65</x:v>
      </x:c>
      <x:c r="F14" s="14" t="n">
        <x:v>73</x:v>
      </x:c>
      <x:c r="G14" s="14" t="n">
        <x:v>0</x:v>
      </x:c>
      <x:c r="H14" s="14" t="str"/>
      <x:c r="I14" s="14" t="str">
        <x:v>소개·개요 또는 번호 없는 스타일/원칙/상호작용·예시의 개별 기준은 원문으로 보완해야 함. 섹션 매핑 자체는 전체 세부규칙 준수증거가 아님.</x:v>
      </x:c>
    </x:row>
    <x:row r="15" ht="37.5" customHeight="1">
      <x:c r="A15" s="13" t="str">
        <x:v>KRDS-SEC-009</x:v>
      </x:c>
      <x:c r="B15" s="13" t="str">
        <x:v>디자인 스타일</x:v>
      </x:c>
      <x:c r="C15" s="13" t="str">
        <x:v>스타일</x:v>
      </x:c>
      <x:c r="D15" s="13" t="str">
        <x:v>색상</x:v>
      </x:c>
      <x:c r="E15" s="13" t="n">
        <x:v>74</x:v>
      </x:c>
      <x:c r="F15" s="13" t="n">
        <x:v>101</x:v>
      </x:c>
      <x:c r="G15" s="13" t="n">
        <x:v>0</x:v>
      </x:c>
      <x:c r="H15" s="13" t="str">
        <x:v>UI-008</x:v>
      </x:c>
      <x:c r="I15" s="13" t="str">
        <x:v>소개·개요 또는 번호 없는 스타일/원칙/상호작용·예시의 개별 기준은 원문으로 보완해야 함. 섹션 매핑 자체는 전체 세부규칙 준수증거가 아님.</x:v>
      </x:c>
    </x:row>
    <x:row r="16" ht="37.5" customHeight="1">
      <x:c r="A16" s="14" t="str">
        <x:v>KRDS-SEC-010</x:v>
      </x:c>
      <x:c r="B16" s="14" t="str">
        <x:v>디자인 스타일</x:v>
      </x:c>
      <x:c r="C16" s="14" t="str">
        <x:v>스타일</x:v>
      </x:c>
      <x:c r="D16" s="14" t="str">
        <x:v>타이포그래피</x:v>
      </x:c>
      <x:c r="E16" s="14" t="n">
        <x:v>102</x:v>
      </x:c>
      <x:c r="F16" s="14" t="n">
        <x:v>125</x:v>
      </x:c>
      <x:c r="G16" s="14" t="n">
        <x:v>0</x:v>
      </x:c>
      <x:c r="H16" s="14" t="str">
        <x:v>UI-009, UI-098, UI-099</x:v>
      </x:c>
      <x:c r="I16" s="14" t="str">
        <x:v>소개·개요 또는 번호 없는 스타일/원칙/상호작용·예시의 개별 기준은 원문으로 보완해야 함. 섹션 매핑 자체는 전체 세부규칙 준수증거가 아님.</x:v>
      </x:c>
    </x:row>
    <x:row r="17" ht="37.5" customHeight="1">
      <x:c r="A17" s="13" t="str">
        <x:v>KRDS-SEC-011</x:v>
      </x:c>
      <x:c r="B17" s="13" t="str">
        <x:v>디자인 스타일</x:v>
      </x:c>
      <x:c r="C17" s="13" t="str">
        <x:v>스타일</x:v>
      </x:c>
      <x:c r="D17" s="13" t="str">
        <x:v>형태</x:v>
      </x:c>
      <x:c r="E17" s="13" t="n">
        <x:v>126</x:v>
      </x:c>
      <x:c r="F17" s="13" t="n">
        <x:v>138</x:v>
      </x:c>
      <x:c r="G17" s="13" t="n">
        <x:v>0</x:v>
      </x:c>
      <x:c r="H17" s="13" t="str">
        <x:v>UI-010</x:v>
      </x:c>
      <x:c r="I17" s="13" t="str">
        <x:v>소개·개요 또는 번호 없는 스타일/원칙/상호작용·예시의 개별 기준은 원문으로 보완해야 함. 섹션 매핑 자체는 전체 세부규칙 준수증거가 아님.</x:v>
      </x:c>
    </x:row>
    <x:row r="18" ht="37.5" customHeight="1">
      <x:c r="A18" s="14" t="str">
        <x:v>KRDS-SEC-012</x:v>
      </x:c>
      <x:c r="B18" s="14" t="str">
        <x:v>디자인 스타일</x:v>
      </x:c>
      <x:c r="C18" s="14" t="str">
        <x:v>스타일</x:v>
      </x:c>
      <x:c r="D18" s="14" t="str">
        <x:v>레이아웃</x:v>
      </x:c>
      <x:c r="E18" s="14" t="n">
        <x:v>139</x:v>
      </x:c>
      <x:c r="F18" s="14" t="n">
        <x:v>161</x:v>
      </x:c>
      <x:c r="G18" s="14" t="n">
        <x:v>0</x:v>
      </x:c>
      <x:c r="H18" s="14" t="str">
        <x:v>UI-011</x:v>
      </x:c>
      <x:c r="I18" s="14" t="str">
        <x:v>소개·개요 또는 번호 없는 스타일/원칙/상호작용·예시의 개별 기준은 원문으로 보완해야 함. 섹션 매핑 자체는 전체 세부규칙 준수증거가 아님.</x:v>
      </x:c>
    </x:row>
    <x:row r="19" ht="37.5" customHeight="1">
      <x:c r="A19" s="13" t="str">
        <x:v>KRDS-SEC-013</x:v>
      </x:c>
      <x:c r="B19" s="13" t="str">
        <x:v>디자인 스타일</x:v>
      </x:c>
      <x:c r="C19" s="13" t="str">
        <x:v>스타일</x:v>
      </x:c>
      <x:c r="D19" s="13" t="str">
        <x:v>아이콘</x:v>
      </x:c>
      <x:c r="E19" s="13" t="n">
        <x:v>162</x:v>
      </x:c>
      <x:c r="F19" s="13" t="n">
        <x:v>176</x:v>
      </x:c>
      <x:c r="G19" s="13" t="n">
        <x:v>0</x:v>
      </x:c>
      <x:c r="H19" s="13" t="str">
        <x:v>UI-012</x:v>
      </x:c>
      <x:c r="I19" s="13" t="str">
        <x:v>소개·개요 또는 번호 없는 스타일/원칙/상호작용·예시의 개별 기준은 원문으로 보완해야 함. 섹션 매핑 자체는 전체 세부규칙 준수증거가 아님.</x:v>
      </x:c>
    </x:row>
    <x:row r="20" ht="37.5" customHeight="1">
      <x:c r="A20" s="14" t="str">
        <x:v>KRDS-SEC-014</x:v>
      </x:c>
      <x:c r="B20" s="14" t="str">
        <x:v>디자인 스타일</x:v>
      </x:c>
      <x:c r="C20" s="14" t="str">
        <x:v>스타일</x:v>
      </x:c>
      <x:c r="D20" s="14" t="str">
        <x:v>엘리베이션</x:v>
      </x:c>
      <x:c r="E20" s="14" t="n">
        <x:v>177</x:v>
      </x:c>
      <x:c r="F20" s="14" t="n">
        <x:v>191</x:v>
      </x:c>
      <x:c r="G20" s="14" t="n">
        <x:v>0</x:v>
      </x:c>
      <x:c r="H20" s="14" t="str">
        <x:v>UI-013</x:v>
      </x:c>
      <x:c r="I20" s="14" t="str">
        <x:v>소개·개요 또는 번호 없는 스타일/원칙/상호작용·예시의 개별 기준은 원문으로 보완해야 함. 섹션 매핑 자체는 전체 세부규칙 준수증거가 아님.</x:v>
      </x:c>
    </x:row>
    <x:row r="21" ht="37.5" customHeight="1">
      <x:c r="A21" s="13" t="str">
        <x:v>KRDS-SEC-015</x:v>
      </x:c>
      <x:c r="B21" s="13" t="str">
        <x:v>디자인 스타일</x:v>
      </x:c>
      <x:c r="C21" s="13" t="str">
        <x:v>스타일</x:v>
      </x:c>
      <x:c r="D21" s="13" t="str">
        <x:v>선명한 화면 모드</x:v>
      </x:c>
      <x:c r="E21" s="13" t="n">
        <x:v>192</x:v>
      </x:c>
      <x:c r="F21" s="13" t="n">
        <x:v>204</x:v>
      </x:c>
      <x:c r="G21" s="13" t="n">
        <x:v>0</x:v>
      </x:c>
      <x:c r="H21" s="13" t="str">
        <x:v>UI-014, UI-100</x:v>
      </x:c>
      <x:c r="I21" s="13" t="str">
        <x:v>소개·개요 또는 번호 없는 스타일/원칙/상호작용·예시의 개별 기준은 원문으로 보완해야 함. 섹션 매핑 자체는 전체 세부규칙 준수증거가 아님.</x:v>
      </x:c>
    </x:row>
    <x:row r="22" ht="37.5" customHeight="1">
      <x:c r="A22" s="14" t="str">
        <x:v>KRDS-SEC-016</x:v>
      </x:c>
      <x:c r="B22" s="14" t="str">
        <x:v>디자인 스타일</x:v>
      </x:c>
      <x:c r="C22" s="14" t="str">
        <x:v>스타일</x:v>
      </x:c>
      <x:c r="D22" s="14" t="str">
        <x:v>디자인 토큰</x:v>
      </x:c>
      <x:c r="E22" s="14" t="n">
        <x:v>205</x:v>
      </x:c>
      <x:c r="F22" s="14" t="n">
        <x:v>219</x:v>
      </x:c>
      <x:c r="G22" s="14" t="n">
        <x:v>0</x:v>
      </x:c>
      <x:c r="H22" s="14" t="str">
        <x:v>UI-015</x:v>
      </x:c>
      <x:c r="I22" s="14" t="str">
        <x:v>소개·개요 또는 번호 없는 스타일/원칙/상호작용·예시의 개별 기준은 원문으로 보완해야 함. 섹션 매핑 자체는 전체 세부규칙 준수증거가 아님.</x:v>
      </x:c>
    </x:row>
    <x:row r="23" ht="37.5" customHeight="1">
      <x:c r="A23" s="13" t="str">
        <x:v>KRDS-SEC-017</x:v>
      </x:c>
      <x:c r="B23" s="13" t="str">
        <x:v>컴포넌트</x:v>
      </x:c>
      <x:c r="C23" s="13" t="str">
        <x:v>아이덴티티</x:v>
      </x:c>
      <x:c r="D23" s="13" t="str">
        <x:v>공식 배너</x:v>
      </x:c>
      <x:c r="E23" s="13" t="n">
        <x:v>220</x:v>
      </x:c>
      <x:c r="F23" s="13" t="n">
        <x:v>226</x:v>
      </x:c>
      <x:c r="G23" s="13" t="n">
        <x:v>5</x:v>
      </x:c>
      <x:c r="H23" s="13" t="str">
        <x:v>UI-016</x:v>
      </x:c>
      <x:c r="I23" s="13" t="str">
        <x:v>소개·개요 또는 번호 없는 스타일/원칙/상호작용·예시의 개별 기준은 원문으로 보완해야 함. 섹션 매핑 자체는 전체 세부규칙 준수증거가 아님.</x:v>
      </x:c>
    </x:row>
    <x:row r="24" ht="37.5" customHeight="1">
      <x:c r="A24" s="14" t="str">
        <x:v>KRDS-SEC-018</x:v>
      </x:c>
      <x:c r="B24" s="14" t="str">
        <x:v>컴포넌트</x:v>
      </x:c>
      <x:c r="C24" s="14" t="str">
        <x:v>아이덴티티</x:v>
      </x:c>
      <x:c r="D24" s="14" t="str">
        <x:v>운영기관 식별자</x:v>
      </x:c>
      <x:c r="E24" s="14" t="n">
        <x:v>227</x:v>
      </x:c>
      <x:c r="F24" s="14" t="n">
        <x:v>232</x:v>
      </x:c>
      <x:c r="G24" s="14" t="n">
        <x:v>6</x:v>
      </x:c>
      <x:c r="H24" s="14" t="str">
        <x:v>UI-017, UI-126</x:v>
      </x:c>
      <x:c r="I24" s="14" t="str">
        <x:v>소개·개요 또는 번호 없는 스타일/원칙/상호작용·예시의 개별 기준은 원문으로 보완해야 함. 섹션 매핑 자체는 전체 세부규칙 준수증거가 아님.</x:v>
      </x:c>
    </x:row>
    <x:row r="25" ht="37.5" customHeight="1">
      <x:c r="A25" s="13" t="str">
        <x:v>KRDS-SEC-019</x:v>
      </x:c>
      <x:c r="B25" s="13" t="str">
        <x:v>컴포넌트</x:v>
      </x:c>
      <x:c r="C25" s="13" t="str">
        <x:v>아이덴티티</x:v>
      </x:c>
      <x:c r="D25" s="13" t="str">
        <x:v>헤더</x:v>
      </x:c>
      <x:c r="E25" s="13" t="n">
        <x:v>233</x:v>
      </x:c>
      <x:c r="F25" s="13" t="n">
        <x:v>245</x:v>
      </x:c>
      <x:c r="G25" s="13" t="n">
        <x:v>14</x:v>
      </x:c>
      <x:c r="H25" s="13" t="str">
        <x:v>UI-018, UI-101</x:v>
      </x:c>
      <x:c r="I25" s="13" t="str">
        <x:v>소개·개요 또는 번호 없는 스타일/원칙/상호작용·예시의 개별 기준은 원문으로 보완해야 함. 섹션 매핑 자체는 전체 세부규칙 준수증거가 아님.</x:v>
      </x:c>
    </x:row>
    <x:row r="26" ht="37.5" customHeight="1">
      <x:c r="A26" s="14" t="str">
        <x:v>KRDS-SEC-020</x:v>
      </x:c>
      <x:c r="B26" s="14" t="str">
        <x:v>컴포넌트</x:v>
      </x:c>
      <x:c r="C26" s="14" t="str">
        <x:v>아이덴티티</x:v>
      </x:c>
      <x:c r="D26" s="14" t="str">
        <x:v>푸터</x:v>
      </x:c>
      <x:c r="E26" s="14" t="n">
        <x:v>246</x:v>
      </x:c>
      <x:c r="F26" s="14" t="n">
        <x:v>253</x:v>
      </x:c>
      <x:c r="G26" s="14" t="n">
        <x:v>10</x:v>
      </x:c>
      <x:c r="H26" s="14" t="str">
        <x:v>UI-019, UI-125, UI-127</x:v>
      </x:c>
      <x:c r="I26" s="14" t="str">
        <x:v>소개·개요 또는 번호 없는 스타일/원칙/상호작용·예시의 개별 기준은 원문으로 보완해야 함. 섹션 매핑 자체는 전체 세부규칙 준수증거가 아님.</x:v>
      </x:c>
    </x:row>
    <x:row r="27" ht="37.5" customHeight="1">
      <x:c r="A27" s="13" t="str">
        <x:v>KRDS-SEC-021</x:v>
      </x:c>
      <x:c r="B27" s="13" t="str">
        <x:v>컴포넌트</x:v>
      </x:c>
      <x:c r="C27" s="13" t="str">
        <x:v>탐색</x:v>
      </x:c>
      <x:c r="D27" s="13" t="str">
        <x:v>건너뛰기 링크</x:v>
      </x:c>
      <x:c r="E27" s="13" t="n">
        <x:v>254</x:v>
      </x:c>
      <x:c r="F27" s="13" t="n">
        <x:v>262</x:v>
      </x:c>
      <x:c r="G27" s="13" t="n">
        <x:v>8</x:v>
      </x:c>
      <x:c r="H27" s="13" t="str">
        <x:v>UI-020, UI-102</x:v>
      </x:c>
      <x:c r="I27" s="13" t="str">
        <x:v>소개·개요 또는 번호 없는 스타일/원칙/상호작용·예시의 개별 기준은 원문으로 보완해야 함. 섹션 매핑 자체는 전체 세부규칙 준수증거가 아님.</x:v>
      </x:c>
    </x:row>
    <x:row r="28" ht="37.5" customHeight="1">
      <x:c r="A28" s="14" t="str">
        <x:v>KRDS-SEC-022</x:v>
      </x:c>
      <x:c r="B28" s="14" t="str">
        <x:v>컴포넌트</x:v>
      </x:c>
      <x:c r="C28" s="14" t="str">
        <x:v>탐색</x:v>
      </x:c>
      <x:c r="D28" s="14" t="str">
        <x:v>메인 메뉴</x:v>
      </x:c>
      <x:c r="E28" s="14" t="n">
        <x:v>263</x:v>
      </x:c>
      <x:c r="F28" s="14" t="n">
        <x:v>279</x:v>
      </x:c>
      <x:c r="G28" s="14" t="n">
        <x:v>15</x:v>
      </x:c>
      <x:c r="H28" s="14" t="str">
        <x:v>UI-021, UI-103</x:v>
      </x:c>
      <x:c r="I28" s="14" t="str">
        <x:v>소개·개요 또는 번호 없는 스타일/원칙/상호작용·예시의 개별 기준은 원문으로 보완해야 함. 섹션 매핑 자체는 전체 세부규칙 준수증거가 아님.</x:v>
      </x:c>
    </x:row>
    <x:row r="29" ht="37.5" customHeight="1">
      <x:c r="A29" s="13" t="str">
        <x:v>KRDS-SEC-023</x:v>
      </x:c>
      <x:c r="B29" s="13" t="str">
        <x:v>컴포넌트</x:v>
      </x:c>
      <x:c r="C29" s="13" t="str">
        <x:v>탐색</x:v>
      </x:c>
      <x:c r="D29" s="13" t="str">
        <x:v>브레드크럼</x:v>
      </x:c>
      <x:c r="E29" s="13" t="n">
        <x:v>280</x:v>
      </x:c>
      <x:c r="F29" s="13" t="n">
        <x:v>292</x:v>
      </x:c>
      <x:c r="G29" s="13" t="n">
        <x:v>13</x:v>
      </x:c>
      <x:c r="H29" s="13" t="str">
        <x:v>UI-022</x:v>
      </x:c>
      <x:c r="I29" s="13" t="str">
        <x:v>소개·개요 또는 번호 없는 스타일/원칙/상호작용·예시의 개별 기준은 원문으로 보완해야 함. 섹션 매핑 자체는 전체 세부규칙 준수증거가 아님.</x:v>
      </x:c>
    </x:row>
    <x:row r="30" ht="37.5" customHeight="1">
      <x:c r="A30" s="14" t="str">
        <x:v>KRDS-SEC-024</x:v>
      </x:c>
      <x:c r="B30" s="14" t="str">
        <x:v>컴포넌트</x:v>
      </x:c>
      <x:c r="C30" s="14" t="str">
        <x:v>탐색</x:v>
      </x:c>
      <x:c r="D30" s="14" t="str">
        <x:v>사이드 메뉴</x:v>
      </x:c>
      <x:c r="E30" s="14" t="n">
        <x:v>293</x:v>
      </x:c>
      <x:c r="F30" s="14" t="n">
        <x:v>307</x:v>
      </x:c>
      <x:c r="G30" s="14" t="n">
        <x:v>12</x:v>
      </x:c>
      <x:c r="H30" s="14" t="str">
        <x:v>UI-023</x:v>
      </x:c>
      <x:c r="I30" s="14" t="str">
        <x:v>소개·개요 또는 번호 없는 스타일/원칙/상호작용·예시의 개별 기준은 원문으로 보완해야 함. 섹션 매핑 자체는 전체 세부규칙 준수증거가 아님.</x:v>
      </x:c>
    </x:row>
    <x:row r="31" ht="37.5" customHeight="1">
      <x:c r="A31" s="13" t="str">
        <x:v>KRDS-SEC-025</x:v>
      </x:c>
      <x:c r="B31" s="13" t="str">
        <x:v>컴포넌트</x:v>
      </x:c>
      <x:c r="C31" s="13" t="str">
        <x:v>탐색</x:v>
      </x:c>
      <x:c r="D31" s="13" t="str">
        <x:v>콘텐츠 내 탐색</x:v>
      </x:c>
      <x:c r="E31" s="13" t="n">
        <x:v>308</x:v>
      </x:c>
      <x:c r="F31" s="13" t="n">
        <x:v>316</x:v>
      </x:c>
      <x:c r="G31" s="13" t="n">
        <x:v>9</x:v>
      </x:c>
      <x:c r="H31" s="13" t="str">
        <x:v>UI-024</x:v>
      </x:c>
      <x:c r="I31" s="13" t="str">
        <x:v>소개·개요 또는 번호 없는 스타일/원칙/상호작용·예시의 개별 기준은 원문으로 보완해야 함. 섹션 매핑 자체는 전체 세부규칙 준수증거가 아님.</x:v>
      </x:c>
    </x:row>
    <x:row r="32" ht="37.5" customHeight="1">
      <x:c r="A32" s="14" t="str">
        <x:v>KRDS-SEC-026</x:v>
      </x:c>
      <x:c r="B32" s="14" t="str">
        <x:v>컴포넌트</x:v>
      </x:c>
      <x:c r="C32" s="14" t="str">
        <x:v>탐색</x:v>
      </x:c>
      <x:c r="D32" s="14" t="str">
        <x:v>페이지네이션</x:v>
      </x:c>
      <x:c r="E32" s="14" t="n">
        <x:v>317</x:v>
      </x:c>
      <x:c r="F32" s="14" t="n">
        <x:v>338</x:v>
      </x:c>
      <x:c r="G32" s="14" t="n">
        <x:v>19</x:v>
      </x:c>
      <x:c r="H32" s="14" t="str">
        <x:v>UI-025</x:v>
      </x:c>
      <x:c r="I32" s="14" t="str">
        <x:v>소개·개요 또는 번호 없는 스타일/원칙/상호작용·예시의 개별 기준은 원문으로 보완해야 함. 섹션 매핑 자체는 전체 세부규칙 준수증거가 아님.</x:v>
      </x:c>
    </x:row>
    <x:row r="33" ht="37.5" customHeight="1">
      <x:c r="A33" s="13" t="str">
        <x:v>KRDS-SEC-027</x:v>
      </x:c>
      <x:c r="B33" s="13" t="str">
        <x:v>컴포넌트</x:v>
      </x:c>
      <x:c r="C33" s="13" t="str">
        <x:v>탐색</x:v>
      </x:c>
      <x:c r="D33" s="13" t="str">
        <x:v>탭바</x:v>
      </x:c>
      <x:c r="E33" s="13" t="n">
        <x:v>339</x:v>
      </x:c>
      <x:c r="F33" s="13" t="n">
        <x:v>352</x:v>
      </x:c>
      <x:c r="G33" s="13" t="n">
        <x:v>10</x:v>
      </x:c>
      <x:c r="H33" s="13" t="str">
        <x:v>UI-026</x:v>
      </x:c>
      <x:c r="I33" s="13" t="str">
        <x:v>소개·개요 또는 번호 없는 스타일/원칙/상호작용·예시의 개별 기준은 원문으로 보완해야 함. 섹션 매핑 자체는 전체 세부규칙 준수증거가 아님.</x:v>
      </x:c>
    </x:row>
    <x:row r="34" ht="37.5" customHeight="1">
      <x:c r="A34" s="14" t="str">
        <x:v>KRDS-SEC-028</x:v>
      </x:c>
      <x:c r="B34" s="14" t="str">
        <x:v>컴포넌트</x:v>
      </x:c>
      <x:c r="C34" s="14" t="str">
        <x:v>레이아웃·표현</x:v>
      </x:c>
      <x:c r="D34" s="14" t="str">
        <x:v>구조화 목록</x:v>
      </x:c>
      <x:c r="E34" s="14" t="n">
        <x:v>353</x:v>
      </x:c>
      <x:c r="F34" s="14" t="n">
        <x:v>359</x:v>
      </x:c>
      <x:c r="G34" s="14" t="n">
        <x:v>7</x:v>
      </x:c>
      <x:c r="H34" s="14" t="str">
        <x:v>UI-027</x:v>
      </x:c>
      <x:c r="I34" s="14" t="str">
        <x:v>소개·개요 또는 번호 없는 스타일/원칙/상호작용·예시의 개별 기준은 원문으로 보완해야 함. 섹션 매핑 자체는 전체 세부규칙 준수증거가 아님.</x:v>
      </x:c>
    </x:row>
    <x:row r="35" ht="37.5" customHeight="1">
      <x:c r="A35" s="13" t="str">
        <x:v>KRDS-SEC-029</x:v>
      </x:c>
      <x:c r="B35" s="13" t="str">
        <x:v>컴포넌트</x:v>
      </x:c>
      <x:c r="C35" s="13" t="str">
        <x:v>레이아웃·표현</x:v>
      </x:c>
      <x:c r="D35" s="13" t="str">
        <x:v>긴급 공지</x:v>
      </x:c>
      <x:c r="E35" s="13" t="n">
        <x:v>360</x:v>
      </x:c>
      <x:c r="F35" s="13" t="n">
        <x:v>367</x:v>
      </x:c>
      <x:c r="G35" s="13" t="n">
        <x:v>11</x:v>
      </x:c>
      <x:c r="H35" s="13" t="str">
        <x:v>UI-028</x:v>
      </x:c>
      <x:c r="I35" s="13" t="str">
        <x:v>소개·개요 또는 번호 없는 스타일/원칙/상호작용·예시의 개별 기준은 원문으로 보완해야 함. 섹션 매핑 자체는 전체 세부규칙 준수증거가 아님.</x:v>
      </x:c>
    </x:row>
    <x:row r="36" ht="37.5" customHeight="1">
      <x:c r="A36" s="14" t="str">
        <x:v>KRDS-SEC-030</x:v>
      </x:c>
      <x:c r="B36" s="14" t="str">
        <x:v>컴포넌트</x:v>
      </x:c>
      <x:c r="C36" s="14" t="str">
        <x:v>레이아웃·표현</x:v>
      </x:c>
      <x:c r="D36" s="14" t="str">
        <x:v>달력</x:v>
      </x:c>
      <x:c r="E36" s="14" t="n">
        <x:v>368</x:v>
      </x:c>
      <x:c r="F36" s="14" t="n">
        <x:v>378</x:v>
      </x:c>
      <x:c r="G36" s="14" t="n">
        <x:v>8</x:v>
      </x:c>
      <x:c r="H36" s="14" t="str">
        <x:v>UI-029</x:v>
      </x:c>
      <x:c r="I36" s="14" t="str">
        <x:v>소개·개요 또는 번호 없는 스타일/원칙/상호작용·예시의 개별 기준은 원문으로 보완해야 함. 섹션 매핑 자체는 전체 세부규칙 준수증거가 아님.</x:v>
      </x:c>
    </x:row>
    <x:row r="37" ht="37.5" customHeight="1">
      <x:c r="A37" s="13" t="str">
        <x:v>KRDS-SEC-031</x:v>
      </x:c>
      <x:c r="B37" s="13" t="str">
        <x:v>컴포넌트</x:v>
      </x:c>
      <x:c r="C37" s="13" t="str">
        <x:v>레이아웃·표현</x:v>
      </x:c>
      <x:c r="D37" s="13" t="str">
        <x:v>디스클로저</x:v>
      </x:c>
      <x:c r="E37" s="13" t="n">
        <x:v>379</x:v>
      </x:c>
      <x:c r="F37" s="13" t="n">
        <x:v>386</x:v>
      </x:c>
      <x:c r="G37" s="13" t="n">
        <x:v>5</x:v>
      </x:c>
      <x:c r="H37" s="13" t="str">
        <x:v>UI-030</x:v>
      </x:c>
      <x:c r="I37" s="13" t="str">
        <x:v>소개·개요 또는 번호 없는 스타일/원칙/상호작용·예시의 개별 기준은 원문으로 보완해야 함. 섹션 매핑 자체는 전체 세부규칙 준수증거가 아님.</x:v>
      </x:c>
    </x:row>
    <x:row r="38" ht="37.5" customHeight="1">
      <x:c r="A38" s="14" t="str">
        <x:v>KRDS-SEC-032</x:v>
      </x:c>
      <x:c r="B38" s="14" t="str">
        <x:v>컴포넌트</x:v>
      </x:c>
      <x:c r="C38" s="14" t="str">
        <x:v>레이아웃·표현</x:v>
      </x:c>
      <x:c r="D38" s="14" t="str">
        <x:v>모달</x:v>
      </x:c>
      <x:c r="E38" s="14" t="n">
        <x:v>387</x:v>
      </x:c>
      <x:c r="F38" s="14" t="n">
        <x:v>398</x:v>
      </x:c>
      <x:c r="G38" s="14" t="n">
        <x:v>7</x:v>
      </x:c>
      <x:c r="H38" s="14" t="str">
        <x:v>UI-031, UI-104, UI-105</x:v>
      </x:c>
      <x:c r="I38" s="14" t="str">
        <x:v>소개·개요 또는 번호 없는 스타일/원칙/상호작용·예시의 개별 기준은 원문으로 보완해야 함. 섹션 매핑 자체는 전체 세부규칙 준수증거가 아님.</x:v>
      </x:c>
    </x:row>
    <x:row r="39" ht="37.5" customHeight="1">
      <x:c r="A39" s="13" t="str">
        <x:v>KRDS-SEC-033</x:v>
      </x:c>
      <x:c r="B39" s="13" t="str">
        <x:v>컴포넌트</x:v>
      </x:c>
      <x:c r="C39" s="13" t="str">
        <x:v>레이아웃·표현</x:v>
      </x:c>
      <x:c r="D39" s="13" t="str">
        <x:v>배지</x:v>
      </x:c>
      <x:c r="E39" s="13" t="n">
        <x:v>399</x:v>
      </x:c>
      <x:c r="F39" s="13" t="n">
        <x:v>404</x:v>
      </x:c>
      <x:c r="G39" s="13" t="n">
        <x:v>7</x:v>
      </x:c>
      <x:c r="H39" s="13" t="str">
        <x:v>UI-032</x:v>
      </x:c>
      <x:c r="I39" s="13" t="str">
        <x:v>소개·개요 또는 번호 없는 스타일/원칙/상호작용·예시의 개별 기준은 원문으로 보완해야 함. 섹션 매핑 자체는 전체 세부규칙 준수증거가 아님.</x:v>
      </x:c>
    </x:row>
    <x:row r="40" ht="37.5" customHeight="1">
      <x:c r="A40" s="14" t="str">
        <x:v>KRDS-SEC-034</x:v>
      </x:c>
      <x:c r="B40" s="14" t="str">
        <x:v>컴포넌트</x:v>
      </x:c>
      <x:c r="C40" s="14" t="str">
        <x:v>레이아웃·표현</x:v>
      </x:c>
      <x:c r="D40" s="14" t="str">
        <x:v>아코디언</x:v>
      </x:c>
      <x:c r="E40" s="14" t="n">
        <x:v>405</x:v>
      </x:c>
      <x:c r="F40" s="14" t="n">
        <x:v>415</x:v>
      </x:c>
      <x:c r="G40" s="14" t="n">
        <x:v>8</x:v>
      </x:c>
      <x:c r="H40" s="14" t="str">
        <x:v>UI-033</x:v>
      </x:c>
      <x:c r="I40" s="14" t="str">
        <x:v>소개·개요 또는 번호 없는 스타일/원칙/상호작용·예시의 개별 기준은 원문으로 보완해야 함. 섹션 매핑 자체는 전체 세부규칙 준수증거가 아님.</x:v>
      </x:c>
    </x:row>
    <x:row r="41" ht="37.5" customHeight="1">
      <x:c r="A41" s="13" t="str">
        <x:v>KRDS-SEC-035</x:v>
      </x:c>
      <x:c r="B41" s="13" t="str">
        <x:v>컴포넌트</x:v>
      </x:c>
      <x:c r="C41" s="13" t="str">
        <x:v>레이아웃·표현</x:v>
      </x:c>
      <x:c r="D41" s="13" t="str">
        <x:v>이미지</x:v>
      </x:c>
      <x:c r="E41" s="13" t="n">
        <x:v>416</x:v>
      </x:c>
      <x:c r="F41" s="13" t="n">
        <x:v>423</x:v>
      </x:c>
      <x:c r="G41" s="13" t="n">
        <x:v>6</x:v>
      </x:c>
      <x:c r="H41" s="13" t="str">
        <x:v>UI-034</x:v>
      </x:c>
      <x:c r="I41" s="13" t="str">
        <x:v>소개·개요 또는 번호 없는 스타일/원칙/상호작용·예시의 개별 기준은 원문으로 보완해야 함. 섹션 매핑 자체는 전체 세부규칙 준수증거가 아님.</x:v>
      </x:c>
    </x:row>
    <x:row r="42" ht="37.5" customHeight="1">
      <x:c r="A42" s="14" t="str">
        <x:v>KRDS-SEC-036</x:v>
      </x:c>
      <x:c r="B42" s="14" t="str">
        <x:v>컴포넌트</x:v>
      </x:c>
      <x:c r="C42" s="14" t="str">
        <x:v>레이아웃·표현</x:v>
      </x:c>
      <x:c r="D42" s="14" t="str">
        <x:v>캐러셀</x:v>
      </x:c>
      <x:c r="E42" s="14" t="n">
        <x:v>424</x:v>
      </x:c>
      <x:c r="F42" s="14" t="n">
        <x:v>444</x:v>
      </x:c>
      <x:c r="G42" s="14" t="n">
        <x:v>18</x:v>
      </x:c>
      <x:c r="H42" s="14" t="str">
        <x:v>UI-035</x:v>
      </x:c>
      <x:c r="I42" s="14" t="str">
        <x:v>소개·개요 또는 번호 없는 스타일/원칙/상호작용·예시의 개별 기준은 원문으로 보완해야 함. 섹션 매핑 자체는 전체 세부규칙 준수증거가 아님.</x:v>
      </x:c>
    </x:row>
    <x:row r="43" ht="37.5" customHeight="1">
      <x:c r="A43" s="13" t="str">
        <x:v>KRDS-SEC-037</x:v>
      </x:c>
      <x:c r="B43" s="13" t="str">
        <x:v>컴포넌트</x:v>
      </x:c>
      <x:c r="C43" s="13" t="str">
        <x:v>레이아웃·표현</x:v>
      </x:c>
      <x:c r="D43" s="13" t="str">
        <x:v>탭</x:v>
      </x:c>
      <x:c r="E43" s="13" t="n">
        <x:v>445</x:v>
      </x:c>
      <x:c r="F43" s="13" t="n">
        <x:v>458</x:v>
      </x:c>
      <x:c r="G43" s="13" t="n">
        <x:v>11</x:v>
      </x:c>
      <x:c r="H43" s="13" t="str">
        <x:v>UI-036</x:v>
      </x:c>
      <x:c r="I43" s="13" t="str">
        <x:v>소개·개요 또는 번호 없는 스타일/원칙/상호작용·예시의 개별 기준은 원문으로 보완해야 함. 섹션 매핑 자체는 전체 세부규칙 준수증거가 아님.</x:v>
      </x:c>
    </x:row>
    <x:row r="44" ht="37.5" customHeight="1">
      <x:c r="A44" s="14" t="str">
        <x:v>KRDS-SEC-038</x:v>
      </x:c>
      <x:c r="B44" s="14" t="str">
        <x:v>컴포넌트</x:v>
      </x:c>
      <x:c r="C44" s="14" t="str">
        <x:v>레이아웃·표현</x:v>
      </x:c>
      <x:c r="D44" s="14" t="str">
        <x:v>표</x:v>
      </x:c>
      <x:c r="E44" s="14" t="n">
        <x:v>459</x:v>
      </x:c>
      <x:c r="F44" s="14" t="n">
        <x:v>470</x:v>
      </x:c>
      <x:c r="G44" s="14" t="n">
        <x:v>12</x:v>
      </x:c>
      <x:c r="H44" s="14" t="str">
        <x:v>UI-037, UI-106</x:v>
      </x:c>
      <x:c r="I44" s="14" t="str">
        <x:v>소개·개요 또는 번호 없는 스타일/원칙/상호작용·예시의 개별 기준은 원문으로 보완해야 함. 섹션 매핑 자체는 전체 세부규칙 준수증거가 아님.</x:v>
      </x:c>
    </x:row>
    <x:row r="45" ht="37.5" customHeight="1">
      <x:c r="A45" s="13" t="str">
        <x:v>KRDS-SEC-039</x:v>
      </x:c>
      <x:c r="B45" s="13" t="str">
        <x:v>컴포넌트</x:v>
      </x:c>
      <x:c r="C45" s="13" t="str">
        <x:v>레이아웃·표현</x:v>
      </x:c>
      <x:c r="D45" s="13" t="str">
        <x:v>스플래시 스크린</x:v>
      </x:c>
      <x:c r="E45" s="13" t="n">
        <x:v>471</x:v>
      </x:c>
      <x:c r="F45" s="13" t="n">
        <x:v>483</x:v>
      </x:c>
      <x:c r="G45" s="13" t="n">
        <x:v>6</x:v>
      </x:c>
      <x:c r="H45" s="13" t="str">
        <x:v>UI-038</x:v>
      </x:c>
      <x:c r="I45" s="13" t="str">
        <x:v>소개·개요 또는 번호 없는 스타일/원칙/상호작용·예시의 개별 기준은 원문으로 보완해야 함. 섹션 매핑 자체는 전체 세부규칙 준수증거가 아님.</x:v>
      </x:c>
    </x:row>
    <x:row r="46" ht="37.5" customHeight="1">
      <x:c r="A46" s="14" t="str">
        <x:v>KRDS-SEC-040</x:v>
      </x:c>
      <x:c r="B46" s="14" t="str">
        <x:v>컴포넌트</x:v>
      </x:c>
      <x:c r="C46" s="14" t="str">
        <x:v>레이아웃·표현</x:v>
      </x:c>
      <x:c r="D46" s="14" t="str">
        <x:v>텍스트 목록</x:v>
      </x:c>
      <x:c r="E46" s="14" t="n">
        <x:v>484</x:v>
      </x:c>
      <x:c r="F46" s="14" t="n">
        <x:v>494</x:v>
      </x:c>
      <x:c r="G46" s="14" t="n">
        <x:v>5</x:v>
      </x:c>
      <x:c r="H46" s="14" t="str">
        <x:v>UI-039</x:v>
      </x:c>
      <x:c r="I46" s="14" t="str">
        <x:v>소개·개요 또는 번호 없는 스타일/원칙/상호작용·예시의 개별 기준은 원문으로 보완해야 함. 섹션 매핑 자체는 전체 세부규칙 준수증거가 아님.</x:v>
      </x:c>
    </x:row>
    <x:row r="47" ht="37.5" customHeight="1">
      <x:c r="A47" s="13" t="str">
        <x:v>KRDS-SEC-041</x:v>
      </x:c>
      <x:c r="B47" s="13" t="str">
        <x:v>컴포넌트</x:v>
      </x:c>
      <x:c r="C47" s="13" t="str">
        <x:v>액션</x:v>
      </x:c>
      <x:c r="D47" s="13" t="str">
        <x:v>링크</x:v>
      </x:c>
      <x:c r="E47" s="13" t="n">
        <x:v>495</x:v>
      </x:c>
      <x:c r="F47" s="13" t="n">
        <x:v>509</x:v>
      </x:c>
      <x:c r="G47" s="13" t="n">
        <x:v>12</x:v>
      </x:c>
      <x:c r="H47" s="13" t="str">
        <x:v>UI-040</x:v>
      </x:c>
      <x:c r="I47" s="13" t="str">
        <x:v>소개·개요 또는 번호 없는 스타일/원칙/상호작용·예시의 개별 기준은 원문으로 보완해야 함. 섹션 매핑 자체는 전체 세부규칙 준수증거가 아님.</x:v>
      </x:c>
    </x:row>
    <x:row r="48" ht="37.5" customHeight="1">
      <x:c r="A48" s="14" t="str">
        <x:v>KRDS-SEC-042</x:v>
      </x:c>
      <x:c r="B48" s="14" t="str">
        <x:v>컴포넌트</x:v>
      </x:c>
      <x:c r="C48" s="14" t="str">
        <x:v>액션</x:v>
      </x:c>
      <x:c r="D48" s="14" t="str">
        <x:v>버튼</x:v>
      </x:c>
      <x:c r="E48" s="14" t="n">
        <x:v>510</x:v>
      </x:c>
      <x:c r="F48" s="14" t="n">
        <x:v>522</x:v>
      </x:c>
      <x:c r="G48" s="14" t="n">
        <x:v>14</x:v>
      </x:c>
      <x:c r="H48" s="14" t="str">
        <x:v>UI-041</x:v>
      </x:c>
      <x:c r="I48" s="14" t="str">
        <x:v>소개·개요 또는 번호 없는 스타일/원칙/상호작용·예시의 개별 기준은 원문으로 보완해야 함. 섹션 매핑 자체는 전체 세부규칙 준수증거가 아님.</x:v>
      </x:c>
    </x:row>
    <x:row r="49" ht="37.5" customHeight="1">
      <x:c r="A49" s="13" t="str">
        <x:v>KRDS-SEC-043</x:v>
      </x:c>
      <x:c r="B49" s="13" t="str">
        <x:v>컴포넌트</x:v>
      </x:c>
      <x:c r="C49" s="13" t="str">
        <x:v>선택</x:v>
      </x:c>
      <x:c r="D49" s="13" t="str">
        <x:v>라디오 버튼</x:v>
      </x:c>
      <x:c r="E49" s="13" t="n">
        <x:v>523</x:v>
      </x:c>
      <x:c r="F49" s="13" t="n">
        <x:v>537</x:v>
      </x:c>
      <x:c r="G49" s="13" t="n">
        <x:v>12</x:v>
      </x:c>
      <x:c r="H49" s="13" t="str">
        <x:v>UI-042</x:v>
      </x:c>
      <x:c r="I49" s="13" t="str">
        <x:v>소개·개요 또는 번호 없는 스타일/원칙/상호작용·예시의 개별 기준은 원문으로 보완해야 함. 섹션 매핑 자체는 전체 세부규칙 준수증거가 아님.</x:v>
      </x:c>
    </x:row>
    <x:row r="50" ht="37.5" customHeight="1">
      <x:c r="A50" s="14" t="str">
        <x:v>KRDS-SEC-044</x:v>
      </x:c>
      <x:c r="B50" s="14" t="str">
        <x:v>컴포넌트</x:v>
      </x:c>
      <x:c r="C50" s="14" t="str">
        <x:v>선택</x:v>
      </x:c>
      <x:c r="D50" s="14" t="str">
        <x:v>체크박스</x:v>
      </x:c>
      <x:c r="E50" s="14" t="n">
        <x:v>538</x:v>
      </x:c>
      <x:c r="F50" s="14" t="n">
        <x:v>550</x:v>
      </x:c>
      <x:c r="G50" s="14" t="n">
        <x:v>10</x:v>
      </x:c>
      <x:c r="H50" s="14" t="str">
        <x:v>UI-043, UI-107</x:v>
      </x:c>
      <x:c r="I50" s="14" t="str">
        <x:v>소개·개요 또는 번호 없는 스타일/원칙/상호작용·예시의 개별 기준은 원문으로 보완해야 함. 섹션 매핑 자체는 전체 세부규칙 준수증거가 아님.</x:v>
      </x:c>
    </x:row>
    <x:row r="51" ht="37.5" customHeight="1">
      <x:c r="A51" s="13" t="str">
        <x:v>KRDS-SEC-045</x:v>
      </x:c>
      <x:c r="B51" s="13" t="str">
        <x:v>컴포넌트</x:v>
      </x:c>
      <x:c r="C51" s="13" t="str">
        <x:v>선택</x:v>
      </x:c>
      <x:c r="D51" s="13" t="str">
        <x:v>셀렉트</x:v>
      </x:c>
      <x:c r="E51" s="13" t="n">
        <x:v>551</x:v>
      </x:c>
      <x:c r="F51" s="13" t="n">
        <x:v>558</x:v>
      </x:c>
      <x:c r="G51" s="13" t="n">
        <x:v>5</x:v>
      </x:c>
      <x:c r="H51" s="13" t="str">
        <x:v>UI-044, UI-108</x:v>
      </x:c>
      <x:c r="I51" s="13" t="str">
        <x:v>소개·개요 또는 번호 없는 스타일/원칙/상호작용·예시의 개별 기준은 원문으로 보완해야 함. 섹션 매핑 자체는 전체 세부규칙 준수증거가 아님.</x:v>
      </x:c>
    </x:row>
    <x:row r="52" ht="37.5" customHeight="1">
      <x:c r="A52" s="14" t="str">
        <x:v>KRDS-SEC-046</x:v>
      </x:c>
      <x:c r="B52" s="14" t="str">
        <x:v>컴포넌트</x:v>
      </x:c>
      <x:c r="C52" s="14" t="str">
        <x:v>선택</x:v>
      </x:c>
      <x:c r="D52" s="14" t="str">
        <x:v>태그</x:v>
      </x:c>
      <x:c r="E52" s="14" t="n">
        <x:v>559</x:v>
      </x:c>
      <x:c r="F52" s="14" t="n">
        <x:v>569</x:v>
      </x:c>
      <x:c r="G52" s="14" t="n">
        <x:v>10</x:v>
      </x:c>
      <x:c r="H52" s="14" t="str">
        <x:v>UI-045</x:v>
      </x:c>
      <x:c r="I52" s="14" t="str">
        <x:v>소개·개요 또는 번호 없는 스타일/원칙/상호작용·예시의 개별 기준은 원문으로 보완해야 함. 섹션 매핑 자체는 전체 세부규칙 준수증거가 아님.</x:v>
      </x:c>
    </x:row>
    <x:row r="53" ht="37.5" customHeight="1">
      <x:c r="A53" s="13" t="str">
        <x:v>KRDS-SEC-047</x:v>
      </x:c>
      <x:c r="B53" s="13" t="str">
        <x:v>컴포넌트</x:v>
      </x:c>
      <x:c r="C53" s="13" t="str">
        <x:v>선택</x:v>
      </x:c>
      <x:c r="D53" s="13" t="str">
        <x:v>토글 스위치</x:v>
      </x:c>
      <x:c r="E53" s="13" t="n">
        <x:v>570</x:v>
      </x:c>
      <x:c r="F53" s="13" t="n">
        <x:v>581</x:v>
      </x:c>
      <x:c r="G53" s="13" t="n">
        <x:v>9</x:v>
      </x:c>
      <x:c r="H53" s="13" t="str">
        <x:v>UI-046, UI-109</x:v>
      </x:c>
      <x:c r="I53" s="13" t="str">
        <x:v>소개·개요 또는 번호 없는 스타일/원칙/상호작용·예시의 개별 기준은 원문으로 보완해야 함. 섹션 매핑 자체는 전체 세부규칙 준수증거가 아님.</x:v>
      </x:c>
    </x:row>
    <x:row r="54" ht="37.5" customHeight="1">
      <x:c r="A54" s="14" t="str">
        <x:v>KRDS-SEC-048</x:v>
      </x:c>
      <x:c r="B54" s="14" t="str">
        <x:v>컴포넌트</x:v>
      </x:c>
      <x:c r="C54" s="14" t="str">
        <x:v>피드백</x:v>
      </x:c>
      <x:c r="D54" s="14" t="str">
        <x:v>단계 표시기</x:v>
      </x:c>
      <x:c r="E54" s="14" t="n">
        <x:v>582</x:v>
      </x:c>
      <x:c r="F54" s="14" t="n">
        <x:v>588</x:v>
      </x:c>
      <x:c r="G54" s="14" t="n">
        <x:v>9</x:v>
      </x:c>
      <x:c r="H54" s="14" t="str">
        <x:v>UI-047</x:v>
      </x:c>
      <x:c r="I54" s="14" t="str">
        <x:v>소개·개요 또는 번호 없는 스타일/원칙/상호작용·예시의 개별 기준은 원문으로 보완해야 함. 섹션 매핑 자체는 전체 세부규칙 준수증거가 아님.</x:v>
      </x:c>
    </x:row>
    <x:row r="55" ht="37.5" customHeight="1">
      <x:c r="A55" s="13" t="str">
        <x:v>KRDS-SEC-049</x:v>
      </x:c>
      <x:c r="B55" s="13" t="str">
        <x:v>컴포넌트</x:v>
      </x:c>
      <x:c r="C55" s="13" t="str">
        <x:v>피드백</x:v>
      </x:c>
      <x:c r="D55" s="13" t="str">
        <x:v>스피너</x:v>
      </x:c>
      <x:c r="E55" s="13" t="n">
        <x:v>589</x:v>
      </x:c>
      <x:c r="F55" s="13" t="n">
        <x:v>597</x:v>
      </x:c>
      <x:c r="G55" s="13" t="n">
        <x:v>7</x:v>
      </x:c>
      <x:c r="H55" s="13" t="str">
        <x:v>UI-048</x:v>
      </x:c>
      <x:c r="I55" s="13" t="str">
        <x:v>소개·개요 또는 번호 없는 스타일/원칙/상호작용·예시의 개별 기준은 원문으로 보완해야 함. 섹션 매핑 자체는 전체 세부규칙 준수증거가 아님.</x:v>
      </x:c>
    </x:row>
    <x:row r="56" ht="37.5" customHeight="1">
      <x:c r="A56" s="14" t="str">
        <x:v>KRDS-SEC-050</x:v>
      </x:c>
      <x:c r="B56" s="14" t="str">
        <x:v>컴포넌트</x:v>
      </x:c>
      <x:c r="C56" s="14" t="str">
        <x:v>도움</x:v>
      </x:c>
      <x:c r="D56" s="14" t="str">
        <x:v>도움 패널</x:v>
      </x:c>
      <x:c r="E56" s="14" t="n">
        <x:v>598</x:v>
      </x:c>
      <x:c r="F56" s="14" t="n">
        <x:v>610</x:v>
      </x:c>
      <x:c r="G56" s="14" t="n">
        <x:v>15</x:v>
      </x:c>
      <x:c r="H56" s="14" t="str">
        <x:v>UI-049</x:v>
      </x:c>
      <x:c r="I56" s="14" t="str">
        <x:v>소개·개요 또는 번호 없는 스타일/원칙/상호작용·예시의 개별 기준은 원문으로 보완해야 함. 섹션 매핑 자체는 전체 세부규칙 준수증거가 아님.</x:v>
      </x:c>
    </x:row>
    <x:row r="57" ht="37.5" customHeight="1">
      <x:c r="A57" s="13" t="str">
        <x:v>KRDS-SEC-051</x:v>
      </x:c>
      <x:c r="B57" s="13" t="str">
        <x:v>컴포넌트</x:v>
      </x:c>
      <x:c r="C57" s="13" t="str">
        <x:v>도움</x:v>
      </x:c>
      <x:c r="D57" s="13" t="str">
        <x:v>따라하기 패널</x:v>
      </x:c>
      <x:c r="E57" s="13" t="n">
        <x:v>611</x:v>
      </x:c>
      <x:c r="F57" s="13" t="n">
        <x:v>619</x:v>
      </x:c>
      <x:c r="G57" s="13" t="n">
        <x:v>7</x:v>
      </x:c>
      <x:c r="H57" s="13" t="str">
        <x:v>UI-050</x:v>
      </x:c>
      <x:c r="I57" s="13" t="str">
        <x:v>소개·개요 또는 번호 없는 스타일/원칙/상호작용·예시의 개별 기준은 원문으로 보완해야 함. 섹션 매핑 자체는 전체 세부규칙 준수증거가 아님.</x:v>
      </x:c>
    </x:row>
    <x:row r="58" ht="37.5" customHeight="1">
      <x:c r="A58" s="14" t="str">
        <x:v>KRDS-SEC-052</x:v>
      </x:c>
      <x:c r="B58" s="14" t="str">
        <x:v>컴포넌트</x:v>
      </x:c>
      <x:c r="C58" s="14" t="str">
        <x:v>도움</x:v>
      </x:c>
      <x:c r="D58" s="14" t="str">
        <x:v>맥락적 도움말</x:v>
      </x:c>
      <x:c r="E58" s="14" t="n">
        <x:v>620</x:v>
      </x:c>
      <x:c r="F58" s="14" t="n">
        <x:v>635</x:v>
      </x:c>
      <x:c r="G58" s="14" t="n">
        <x:v>15</x:v>
      </x:c>
      <x:c r="H58" s="14" t="str">
        <x:v>UI-051</x:v>
      </x:c>
      <x:c r="I58" s="14" t="str">
        <x:v>소개·개요 또는 번호 없는 스타일/원칙/상호작용·예시의 개별 기준은 원문으로 보완해야 함. 섹션 매핑 자체는 전체 세부규칙 준수증거가 아님.</x:v>
      </x:c>
    </x:row>
    <x:row r="59" ht="37.5" customHeight="1">
      <x:c r="A59" s="13" t="str">
        <x:v>KRDS-SEC-053</x:v>
      </x:c>
      <x:c r="B59" s="13" t="str">
        <x:v>컴포넌트</x:v>
      </x:c>
      <x:c r="C59" s="13" t="str">
        <x:v>도움</x:v>
      </x:c>
      <x:c r="D59" s="13" t="str">
        <x:v>코치마크</x:v>
      </x:c>
      <x:c r="E59" s="13" t="n">
        <x:v>636</x:v>
      </x:c>
      <x:c r="F59" s="13" t="n">
        <x:v>648</x:v>
      </x:c>
      <x:c r="G59" s="13" t="n">
        <x:v>16</x:v>
      </x:c>
      <x:c r="H59" s="13" t="str">
        <x:v>UI-052</x:v>
      </x:c>
      <x:c r="I59" s="13" t="str">
        <x:v>소개·개요 또는 번호 없는 스타일/원칙/상호작용·예시의 개별 기준은 원문으로 보완해야 함. 섹션 매핑 자체는 전체 세부규칙 준수증거가 아님.</x:v>
      </x:c>
    </x:row>
    <x:row r="60" ht="37.5" customHeight="1">
      <x:c r="A60" s="14" t="str">
        <x:v>KRDS-SEC-054</x:v>
      </x:c>
      <x:c r="B60" s="14" t="str">
        <x:v>컴포넌트</x:v>
      </x:c>
      <x:c r="C60" s="14" t="str">
        <x:v>도움</x:v>
      </x:c>
      <x:c r="D60" s="14" t="str">
        <x:v>툴팁</x:v>
      </x:c>
      <x:c r="E60" s="14" t="n">
        <x:v>649</x:v>
      </x:c>
      <x:c r="F60" s="14" t="n">
        <x:v>663</x:v>
      </x:c>
      <x:c r="G60" s="14" t="n">
        <x:v>12</x:v>
      </x:c>
      <x:c r="H60" s="14" t="str">
        <x:v>UI-053, UI-110</x:v>
      </x:c>
      <x:c r="I60" s="14" t="str">
        <x:v>소개·개요 또는 번호 없는 스타일/원칙/상호작용·예시의 개별 기준은 원문으로 보완해야 함. 섹션 매핑 자체는 전체 세부규칙 준수증거가 아님.</x:v>
      </x:c>
    </x:row>
    <x:row r="61" ht="37.5" customHeight="1">
      <x:c r="A61" s="13" t="str">
        <x:v>KRDS-SEC-055</x:v>
      </x:c>
      <x:c r="B61" s="13" t="str">
        <x:v>컴포넌트</x:v>
      </x:c>
      <x:c r="C61" s="13" t="str">
        <x:v>입력</x:v>
      </x:c>
      <x:c r="D61" s="13" t="str">
        <x:v>날짜 입력 필드</x:v>
      </x:c>
      <x:c r="E61" s="13" t="n">
        <x:v>664</x:v>
      </x:c>
      <x:c r="F61" s="13" t="n">
        <x:v>676</x:v>
      </x:c>
      <x:c r="G61" s="13" t="n">
        <x:v>8</x:v>
      </x:c>
      <x:c r="H61" s="13" t="str">
        <x:v>UI-054</x:v>
      </x:c>
      <x:c r="I61" s="13" t="str">
        <x:v>소개·개요 또는 번호 없는 스타일/원칙/상호작용·예시의 개별 기준은 원문으로 보완해야 함. 섹션 매핑 자체는 전체 세부규칙 준수증거가 아님.</x:v>
      </x:c>
    </x:row>
    <x:row r="62" ht="37.5" customHeight="1">
      <x:c r="A62" s="14" t="str">
        <x:v>KRDS-SEC-056</x:v>
      </x:c>
      <x:c r="B62" s="14" t="str">
        <x:v>컴포넌트</x:v>
      </x:c>
      <x:c r="C62" s="14" t="str">
        <x:v>입력</x:v>
      </x:c>
      <x:c r="D62" s="14" t="str">
        <x:v>텍스트 영역</x:v>
      </x:c>
      <x:c r="E62" s="14" t="n">
        <x:v>677</x:v>
      </x:c>
      <x:c r="F62" s="14" t="n">
        <x:v>685</x:v>
      </x:c>
      <x:c r="G62" s="14" t="n">
        <x:v>7</x:v>
      </x:c>
      <x:c r="H62" s="14" t="str">
        <x:v>UI-055</x:v>
      </x:c>
      <x:c r="I62" s="14" t="str">
        <x:v>소개·개요 또는 번호 없는 스타일/원칙/상호작용·예시의 개별 기준은 원문으로 보완해야 함. 섹션 매핑 자체는 전체 세부규칙 준수증거가 아님.</x:v>
      </x:c>
    </x:row>
    <x:row r="63" ht="37.5" customHeight="1">
      <x:c r="A63" s="13" t="str">
        <x:v>KRDS-SEC-057</x:v>
      </x:c>
      <x:c r="B63" s="13" t="str">
        <x:v>컴포넌트</x:v>
      </x:c>
      <x:c r="C63" s="13" t="str">
        <x:v>입력</x:v>
      </x:c>
      <x:c r="D63" s="13" t="str">
        <x:v>텍스트 입력 필드</x:v>
      </x:c>
      <x:c r="E63" s="13" t="n">
        <x:v>686</x:v>
      </x:c>
      <x:c r="F63" s="13" t="n">
        <x:v>696</x:v>
      </x:c>
      <x:c r="G63" s="13" t="n">
        <x:v>8</x:v>
      </x:c>
      <x:c r="H63" s="13" t="str">
        <x:v>UI-056</x:v>
      </x:c>
      <x:c r="I63" s="13" t="str">
        <x:v>소개·개요 또는 번호 없는 스타일/원칙/상호작용·예시의 개별 기준은 원문으로 보완해야 함. 섹션 매핑 자체는 전체 세부규칙 준수증거가 아님.</x:v>
      </x:c>
    </x:row>
    <x:row r="64" ht="37.5" customHeight="1">
      <x:c r="A64" s="14" t="str">
        <x:v>KRDS-SEC-058</x:v>
      </x:c>
      <x:c r="B64" s="14" t="str">
        <x:v>컴포넌트</x:v>
      </x:c>
      <x:c r="C64" s="14" t="str">
        <x:v>입력</x:v>
      </x:c>
      <x:c r="D64" s="14" t="str">
        <x:v>파일 업로드</x:v>
      </x:c>
      <x:c r="E64" s="14" t="n">
        <x:v>697</x:v>
      </x:c>
      <x:c r="F64" s="14" t="n">
        <x:v>715</x:v>
      </x:c>
      <x:c r="G64" s="14" t="n">
        <x:v>16</x:v>
      </x:c>
      <x:c r="H64" s="14" t="str">
        <x:v>UI-057, UI-111, UI-112, UI-113, UI-114</x:v>
      </x:c>
      <x:c r="I64" s="14" t="str">
        <x:v>소개·개요 또는 번호 없는 스타일/원칙/상호작용·예시의 개별 기준은 원문으로 보완해야 함. 섹션 매핑 자체는 전체 세부규칙 준수증거가 아님.</x:v>
      </x:c>
    </x:row>
    <x:row r="65" ht="37.5" customHeight="1">
      <x:c r="A65" s="13" t="str">
        <x:v>KRDS-SEC-059</x:v>
      </x:c>
      <x:c r="B65" s="13" t="str">
        <x:v>컴포넌트</x:v>
      </x:c>
      <x:c r="C65" s="13" t="str">
        <x:v>설정</x:v>
      </x:c>
      <x:c r="D65" s="13" t="str">
        <x:v>언어 변경</x:v>
      </x:c>
      <x:c r="E65" s="13" t="n">
        <x:v>716</x:v>
      </x:c>
      <x:c r="F65" s="13" t="n">
        <x:v>726</x:v>
      </x:c>
      <x:c r="G65" s="13" t="n">
        <x:v>6</x:v>
      </x:c>
      <x:c r="H65" s="13" t="str">
        <x:v>UI-058</x:v>
      </x:c>
      <x:c r="I65" s="13" t="str">
        <x:v>소개·개요 또는 번호 없는 스타일/원칙/상호작용·예시의 개별 기준은 원문으로 보완해야 함. 섹션 매핑 자체는 전체 세부규칙 준수증거가 아님.</x:v>
      </x:c>
    </x:row>
    <x:row r="66" ht="37.5" customHeight="1">
      <x:c r="A66" s="14" t="str">
        <x:v>KRDS-SEC-060</x:v>
      </x:c>
      <x:c r="B66" s="14" t="str">
        <x:v>컴포넌트</x:v>
      </x:c>
      <x:c r="C66" s="14" t="str">
        <x:v>설정</x:v>
      </x:c>
      <x:c r="D66" s="14" t="str">
        <x:v>화면 크기 조정</x:v>
      </x:c>
      <x:c r="E66" s="14" t="n">
        <x:v>727</x:v>
      </x:c>
      <x:c r="F66" s="14" t="n">
        <x:v>737</x:v>
      </x:c>
      <x:c r="G66" s="14" t="n">
        <x:v>6</x:v>
      </x:c>
      <x:c r="H66" s="14" t="str">
        <x:v>UI-059</x:v>
      </x:c>
      <x:c r="I66" s="14" t="str">
        <x:v>소개·개요 또는 번호 없는 스타일/원칙/상호작용·예시의 개별 기준은 원문으로 보완해야 함. 섹션 매핑 자체는 전체 세부규칙 준수증거가 아님.</x:v>
      </x:c>
    </x:row>
    <x:row r="67" ht="37.5" customHeight="1">
      <x:c r="A67" s="13" t="str">
        <x:v>KRDS-SEC-061</x:v>
      </x:c>
      <x:c r="B67" s="13" t="str">
        <x:v>컴포넌트</x:v>
      </x:c>
      <x:c r="C67" s="13" t="str">
        <x:v>콘텐츠</x:v>
      </x:c>
      <x:c r="D67" s="13" t="str">
        <x:v>접근 가능한 미디어</x:v>
      </x:c>
      <x:c r="E67" s="13" t="n">
        <x:v>738</x:v>
      </x:c>
      <x:c r="F67" s="13" t="n">
        <x:v>746</x:v>
      </x:c>
      <x:c r="G67" s="13" t="n">
        <x:v>7</x:v>
      </x:c>
      <x:c r="H67" s="13" t="str">
        <x:v>UI-060</x:v>
      </x:c>
      <x:c r="I67" s="13" t="str">
        <x:v>소개·개요 또는 번호 없는 스타일/원칙/상호작용·예시의 개별 기준은 원문으로 보완해야 함. 섹션 매핑 자체는 전체 세부규칙 준수증거가 아님.</x:v>
      </x:c>
    </x:row>
    <x:row r="68" ht="37.5" customHeight="1">
      <x:c r="A68" s="14" t="str">
        <x:v>KRDS-SEC-062</x:v>
      </x:c>
      <x:c r="B68" s="14" t="str">
        <x:v>컴포넌트</x:v>
      </x:c>
      <x:c r="C68" s="14" t="str">
        <x:v>콘텐츠</x:v>
      </x:c>
      <x:c r="D68" s="14" t="str">
        <x:v>숨긴 콘텐츠</x:v>
      </x:c>
      <x:c r="E68" s="14" t="n">
        <x:v>747</x:v>
      </x:c>
      <x:c r="F68" s="14" t="n">
        <x:v>753</x:v>
      </x:c>
      <x:c r="G68" s="14" t="n">
        <x:v>9</x:v>
      </x:c>
      <x:c r="H68" s="14" t="str">
        <x:v>UI-061, UI-115</x:v>
      </x:c>
      <x:c r="I68" s="14" t="str">
        <x:v>소개·개요 또는 번호 없는 스타일/원칙/상호작용·예시의 개별 기준은 원문으로 보완해야 함. 섹션 매핑 자체는 전체 세부규칙 준수증거가 아님.</x:v>
      </x:c>
    </x:row>
    <x:row r="69" ht="37.5" customHeight="1">
      <x:c r="A69" s="13" t="str">
        <x:v>KRDS-SEC-063</x:v>
      </x:c>
      <x:c r="B69" s="13" t="str">
        <x:v>기본 패턴</x:v>
      </x:c>
      <x:c r="C69" s="13" t="str">
        <x:v>패턴</x:v>
      </x:c>
      <x:c r="D69" s="13" t="str">
        <x:v>개인 식별 정보 입력</x:v>
      </x:c>
      <x:c r="E69" s="13" t="n">
        <x:v>754</x:v>
      </x:c>
      <x:c r="F69" s="13" t="n">
        <x:v>773</x:v>
      </x:c>
      <x:c r="G69" s="13" t="n">
        <x:v>7</x:v>
      </x:c>
      <x:c r="H69" s="13" t="str">
        <x:v>UI-062</x:v>
      </x:c>
      <x:c r="I69" s="13" t="str">
        <x:v>소개·개요 또는 번호 없는 스타일/원칙/상호작용·예시의 개별 기준은 원문으로 보완해야 함. 섹션 매핑 자체는 전체 세부규칙 준수증거가 아님.</x:v>
      </x:c>
    </x:row>
    <x:row r="70" ht="37.5" customHeight="1">
      <x:c r="A70" s="14" t="str">
        <x:v>KRDS-SEC-064</x:v>
      </x:c>
      <x:c r="B70" s="14" t="str">
        <x:v>기본 패턴</x:v>
      </x:c>
      <x:c r="C70" s="14" t="str">
        <x:v>패턴</x:v>
      </x:c>
      <x:c r="D70" s="14" t="str">
        <x:v>도움</x:v>
      </x:c>
      <x:c r="E70" s="14" t="n">
        <x:v>774</x:v>
      </x:c>
      <x:c r="F70" s="14" t="n">
        <x:v>790</x:v>
      </x:c>
      <x:c r="G70" s="14" t="n">
        <x:v>6</x:v>
      </x:c>
      <x:c r="H70" s="14" t="str">
        <x:v>UI-063</x:v>
      </x:c>
      <x:c r="I70" s="14" t="str">
        <x:v>소개·개요 또는 번호 없는 스타일/원칙/상호작용·예시의 개별 기준은 원문으로 보완해야 함. 섹션 매핑 자체는 전체 세부규칙 준수증거가 아님.</x:v>
      </x:c>
    </x:row>
    <x:row r="71" ht="37.5" customHeight="1">
      <x:c r="A71" s="13" t="str">
        <x:v>KRDS-SEC-065</x:v>
      </x:c>
      <x:c r="B71" s="13" t="str">
        <x:v>기본 패턴</x:v>
      </x:c>
      <x:c r="C71" s="13" t="str">
        <x:v>패턴</x:v>
      </x:c>
      <x:c r="D71" s="13" t="str">
        <x:v>동의</x:v>
      </x:c>
      <x:c r="E71" s="13" t="n">
        <x:v>791</x:v>
      </x:c>
      <x:c r="F71" s="13" t="n">
        <x:v>797</x:v>
      </x:c>
      <x:c r="G71" s="13" t="n">
        <x:v>6</x:v>
      </x:c>
      <x:c r="H71" s="13" t="str">
        <x:v>UI-064</x:v>
      </x:c>
      <x:c r="I71" s="13" t="str">
        <x:v>소개·개요 또는 번호 없는 스타일/원칙/상호작용·예시의 개별 기준은 원문으로 보완해야 함. 섹션 매핑 자체는 전체 세부규칙 준수증거가 아님.</x:v>
      </x:c>
    </x:row>
    <x:row r="72" ht="37.5" customHeight="1">
      <x:c r="A72" s="14" t="str">
        <x:v>KRDS-SEC-066</x:v>
      </x:c>
      <x:c r="B72" s="14" t="str">
        <x:v>기본 패턴</x:v>
      </x:c>
      <x:c r="C72" s="14" t="str">
        <x:v>패턴</x:v>
      </x:c>
      <x:c r="D72" s="14" t="str">
        <x:v>목록 탐색</x:v>
      </x:c>
      <x:c r="E72" s="14" t="n">
        <x:v>798</x:v>
      </x:c>
      <x:c r="F72" s="14" t="n">
        <x:v>802</x:v>
      </x:c>
      <x:c r="G72" s="14" t="n">
        <x:v>9</x:v>
      </x:c>
      <x:c r="H72" s="14" t="str">
        <x:v>UI-065</x:v>
      </x:c>
      <x:c r="I72" s="14" t="str">
        <x:v>소개·개요 또는 번호 없는 스타일/원칙/상호작용·예시의 개별 기준은 원문으로 보완해야 함. 섹션 매핑 자체는 전체 세부규칙 준수증거가 아님.</x:v>
      </x:c>
    </x:row>
    <x:row r="73" ht="37.5" customHeight="1">
      <x:c r="A73" s="13" t="str">
        <x:v>KRDS-SEC-067</x:v>
      </x:c>
      <x:c r="B73" s="13" t="str">
        <x:v>기본 패턴</x:v>
      </x:c>
      <x:c r="C73" s="13" t="str">
        <x:v>패턴</x:v>
      </x:c>
      <x:c r="D73" s="13" t="str">
        <x:v>사용자 피드백</x:v>
      </x:c>
      <x:c r="E73" s="13" t="n">
        <x:v>803</x:v>
      </x:c>
      <x:c r="F73" s="13" t="n">
        <x:v>812</x:v>
      </x:c>
      <x:c r="G73" s="13" t="n">
        <x:v>9</x:v>
      </x:c>
      <x:c r="H73" s="13" t="str">
        <x:v>UI-066</x:v>
      </x:c>
      <x:c r="I73" s="13" t="str">
        <x:v>소개·개요 또는 번호 없는 스타일/원칙/상호작용·예시의 개별 기준은 원문으로 보완해야 함. 섹션 매핑 자체는 전체 세부규칙 준수증거가 아님.</x:v>
      </x:c>
    </x:row>
    <x:row r="74" ht="37.5" customHeight="1">
      <x:c r="A74" s="14" t="str">
        <x:v>KRDS-SEC-068</x:v>
      </x:c>
      <x:c r="B74" s="14" t="str">
        <x:v>기본 패턴</x:v>
      </x:c>
      <x:c r="C74" s="14" t="str">
        <x:v>패턴</x:v>
      </x:c>
      <x:c r="D74" s="14" t="str">
        <x:v>상세 정보 확인</x:v>
      </x:c>
      <x:c r="E74" s="14" t="n">
        <x:v>813</x:v>
      </x:c>
      <x:c r="F74" s="14" t="n">
        <x:v>826</x:v>
      </x:c>
      <x:c r="G74" s="14" t="n">
        <x:v>16</x:v>
      </x:c>
      <x:c r="H74" s="14" t="str">
        <x:v>UI-067</x:v>
      </x:c>
      <x:c r="I74" s="14" t="str">
        <x:v>소개·개요 또는 번호 없는 스타일/원칙/상호작용·예시의 개별 기준은 원문으로 보완해야 함. 섹션 매핑 자체는 전체 세부규칙 준수증거가 아님.</x:v>
      </x:c>
    </x:row>
    <x:row r="75" ht="37.5" customHeight="1">
      <x:c r="A75" s="13" t="str">
        <x:v>KRDS-SEC-069</x:v>
      </x:c>
      <x:c r="B75" s="13" t="str">
        <x:v>기본 패턴</x:v>
      </x:c>
      <x:c r="C75" s="13" t="str">
        <x:v>패턴</x:v>
      </x:c>
      <x:c r="D75" s="13" t="str">
        <x:v>오류</x:v>
      </x:c>
      <x:c r="E75" s="13" t="n">
        <x:v>827</x:v>
      </x:c>
      <x:c r="F75" s="13" t="n">
        <x:v>831</x:v>
      </x:c>
      <x:c r="G75" s="13" t="n">
        <x:v>6</x:v>
      </x:c>
      <x:c r="H75" s="13" t="str">
        <x:v>UI-068, UI-116</x:v>
      </x:c>
      <x:c r="I75" s="13" t="str">
        <x:v>소개·개요 또는 번호 없는 스타일/원칙/상호작용·예시의 개별 기준은 원문으로 보완해야 함. 섹션 매핑 자체는 전체 세부규칙 준수증거가 아님.</x:v>
      </x:c>
    </x:row>
    <x:row r="76" ht="37.5" customHeight="1">
      <x:c r="A76" s="14" t="str">
        <x:v>KRDS-SEC-070</x:v>
      </x:c>
      <x:c r="B76" s="14" t="str">
        <x:v>기본 패턴</x:v>
      </x:c>
      <x:c r="C76" s="14" t="str">
        <x:v>패턴</x:v>
      </x:c>
      <x:c r="D76" s="14" t="str">
        <x:v>입력폼</x:v>
      </x:c>
      <x:c r="E76" s="14" t="n">
        <x:v>832</x:v>
      </x:c>
      <x:c r="F76" s="14" t="n">
        <x:v>851</x:v>
      </x:c>
      <x:c r="G76" s="14" t="n">
        <x:v>18</x:v>
      </x:c>
      <x:c r="H76" s="14" t="str">
        <x:v>UI-069, UI-117, UI-118, UI-119</x:v>
      </x:c>
      <x:c r="I76" s="14" t="str">
        <x:v>소개·개요 또는 번호 없는 스타일/원칙/상호작용·예시의 개별 기준은 원문으로 보완해야 함. 섹션 매핑 자체는 전체 세부규칙 준수증거가 아님.</x:v>
      </x:c>
    </x:row>
    <x:row r="77" ht="37.5" customHeight="1">
      <x:c r="A77" s="13" t="str">
        <x:v>KRDS-SEC-071</x:v>
      </x:c>
      <x:c r="B77" s="13" t="str">
        <x:v>기본 패턴</x:v>
      </x:c>
      <x:c r="C77" s="13" t="str">
        <x:v>패턴</x:v>
      </x:c>
      <x:c r="D77" s="13" t="str">
        <x:v>첨부파일</x:v>
      </x:c>
      <x:c r="E77" s="13" t="n">
        <x:v>852</x:v>
      </x:c>
      <x:c r="F77" s="13" t="n">
        <x:v>856</x:v>
      </x:c>
      <x:c r="G77" s="13" t="n">
        <x:v>5</x:v>
      </x:c>
      <x:c r="H77" s="13" t="str">
        <x:v>UI-070</x:v>
      </x:c>
      <x:c r="I77" s="13" t="str">
        <x:v>소개·개요 또는 번호 없는 스타일/원칙/상호작용·예시의 개별 기준은 원문으로 보완해야 함. 섹션 매핑 자체는 전체 세부규칙 준수증거가 아님.</x:v>
      </x:c>
    </x:row>
    <x:row r="78" ht="37.5" customHeight="1">
      <x:c r="A78" s="14" t="str">
        <x:v>KRDS-SEC-072</x:v>
      </x:c>
      <x:c r="B78" s="14" t="str">
        <x:v>기본 패턴</x:v>
      </x:c>
      <x:c r="C78" s="14" t="str">
        <x:v>패턴</x:v>
      </x:c>
      <x:c r="D78" s="14" t="str">
        <x:v>필터링·정렬</x:v>
      </x:c>
      <x:c r="E78" s="14" t="n">
        <x:v>857</x:v>
      </x:c>
      <x:c r="F78" s="14" t="n">
        <x:v>877</x:v>
      </x:c>
      <x:c r="G78" s="14" t="n">
        <x:v>15</x:v>
      </x:c>
      <x:c r="H78" s="14" t="str">
        <x:v>UI-071</x:v>
      </x:c>
      <x:c r="I78" s="14" t="str">
        <x:v>소개·개요 또는 번호 없는 스타일/원칙/상호작용·예시의 개별 기준은 원문으로 보완해야 함. 섹션 매핑 자체는 전체 세부규칙 준수증거가 아님.</x:v>
      </x:c>
    </x:row>
    <x:row r="79" ht="37.5" customHeight="1">
      <x:c r="A79" s="13" t="str">
        <x:v>KRDS-SEC-073</x:v>
      </x:c>
      <x:c r="B79" s="13" t="str">
        <x:v>기본 패턴</x:v>
      </x:c>
      <x:c r="C79" s="13" t="str">
        <x:v>패턴</x:v>
      </x:c>
      <x:c r="D79" s="13" t="str">
        <x:v>확인</x:v>
      </x:c>
      <x:c r="E79" s="13" t="n">
        <x:v>878</x:v>
      </x:c>
      <x:c r="F79" s="13" t="n">
        <x:v>884</x:v>
      </x:c>
      <x:c r="G79" s="13" t="n">
        <x:v>4</x:v>
      </x:c>
      <x:c r="H79" s="13" t="str">
        <x:v>UI-072</x:v>
      </x:c>
      <x:c r="I79" s="13" t="str">
        <x:v>소개·개요 또는 번호 없는 스타일/원칙/상호작용·예시의 개별 기준은 원문으로 보완해야 함. 섹션 매핑 자체는 전체 세부규칙 준수증거가 아님.</x:v>
      </x:c>
    </x:row>
    <x:row r="80" ht="37.5" customHeight="1">
      <x:c r="A80" s="14" t="str">
        <x:v>KRDS-SEC-074</x:v>
      </x:c>
      <x:c r="B80" s="14" t="str">
        <x:v>서비스 패턴</x:v>
      </x:c>
      <x:c r="C80" s="14" t="str">
        <x:v>방문</x:v>
      </x:c>
      <x:c r="D80" s="14" t="str">
        <x:v>방문 개요</x:v>
      </x:c>
      <x:c r="E80" s="14" t="n">
        <x:v>885</x:v>
      </x:c>
      <x:c r="F80" s="14" t="n">
        <x:v>887</x:v>
      </x:c>
      <x:c r="G80" s="14" t="n">
        <x:v>0</x:v>
      </x:c>
      <x:c r="H80" s="14" t="str"/>
      <x:c r="I80" s="14" t="str">
        <x:v>소개·개요 또는 번호 없는 스타일/원칙/상호작용·예시의 개별 기준은 원문으로 보완해야 함. 섹션 매핑 자체는 전체 세부규칙 준수증거가 아님.</x:v>
      </x:c>
    </x:row>
    <x:row r="81" ht="37.5" customHeight="1">
      <x:c r="A81" s="13" t="str">
        <x:v>KRDS-SEC-075</x:v>
      </x:c>
      <x:c r="B81" s="13" t="str">
        <x:v>서비스 패턴</x:v>
      </x:c>
      <x:c r="C81" s="13" t="str">
        <x:v>방문</x:v>
      </x:c>
      <x:c r="D81" s="13" t="str">
        <x:v>방문</x:v>
      </x:c>
      <x:c r="E81" s="13" t="n">
        <x:v>888</x:v>
      </x:c>
      <x:c r="F81" s="13" t="n">
        <x:v>898</x:v>
      </x:c>
      <x:c r="G81" s="13" t="n">
        <x:v>9</x:v>
      </x:c>
      <x:c r="H81" s="13" t="str">
        <x:v>UI-073</x:v>
      </x:c>
      <x:c r="I81" s="13" t="str">
        <x:v>소개·개요 또는 번호 없는 스타일/원칙/상호작용·예시의 개별 기준은 원문으로 보완해야 함. 섹션 매핑 자체는 전체 세부규칙 준수증거가 아님.</x:v>
      </x:c>
    </x:row>
    <x:row r="82" ht="37.5" customHeight="1">
      <x:c r="A82" s="14" t="str">
        <x:v>KRDS-SEC-076</x:v>
      </x:c>
      <x:c r="B82" s="14" t="str">
        <x:v>서비스 패턴</x:v>
      </x:c>
      <x:c r="C82" s="14" t="str">
        <x:v>검색</x:v>
      </x:c>
      <x:c r="D82" s="14" t="str">
        <x:v>검색 개요</x:v>
      </x:c>
      <x:c r="E82" s="14" t="n">
        <x:v>899</x:v>
      </x:c>
      <x:c r="F82" s="14" t="n">
        <x:v>903</x:v>
      </x:c>
      <x:c r="G82" s="14" t="n">
        <x:v>0</x:v>
      </x:c>
      <x:c r="H82" s="14" t="str"/>
      <x:c r="I82" s="14" t="str">
        <x:v>소개·개요 또는 번호 없는 스타일/원칙/상호작용·예시의 개별 기준은 원문으로 보완해야 함. 섹션 매핑 자체는 전체 세부규칙 준수증거가 아님.</x:v>
      </x:c>
    </x:row>
    <x:row r="83" ht="37.5" customHeight="1">
      <x:c r="A83" s="13" t="str">
        <x:v>KRDS-SEC-077</x:v>
      </x:c>
      <x:c r="B83" s="13" t="str">
        <x:v>서비스 패턴</x:v>
      </x:c>
      <x:c r="C83" s="13" t="str">
        <x:v>검색</x:v>
      </x:c>
      <x:c r="D83" s="13" t="str">
        <x:v>검색 기능 찾기</x:v>
      </x:c>
      <x:c r="E83" s="13" t="n">
        <x:v>904</x:v>
      </x:c>
      <x:c r="F83" s="13" t="n">
        <x:v>912</x:v>
      </x:c>
      <x:c r="G83" s="13" t="n">
        <x:v>7</x:v>
      </x:c>
      <x:c r="H83" s="13" t="str">
        <x:v>UI-074</x:v>
      </x:c>
      <x:c r="I83" s="13" t="str">
        <x:v>소개·개요 또는 번호 없는 스타일/원칙/상호작용·예시의 개별 기준은 원문으로 보완해야 함. 섹션 매핑 자체는 전체 세부규칙 준수증거가 아님.</x:v>
      </x:c>
    </x:row>
    <x:row r="84" ht="37.5" customHeight="1">
      <x:c r="A84" s="14" t="str">
        <x:v>KRDS-SEC-078</x:v>
      </x:c>
      <x:c r="B84" s="14" t="str">
        <x:v>서비스 패턴</x:v>
      </x:c>
      <x:c r="C84" s="14" t="str">
        <x:v>검색</x:v>
      </x:c>
      <x:c r="D84" s="14" t="str">
        <x:v>검색어 입력</x:v>
      </x:c>
      <x:c r="E84" s="14" t="n">
        <x:v>913</x:v>
      </x:c>
      <x:c r="F84" s="14" t="n">
        <x:v>928</x:v>
      </x:c>
      <x:c r="G84" s="14" t="n">
        <x:v>14</x:v>
      </x:c>
      <x:c r="H84" s="14" t="str">
        <x:v>UI-075</x:v>
      </x:c>
      <x:c r="I84" s="14" t="str">
        <x:v>소개·개요 또는 번호 없는 스타일/원칙/상호작용·예시의 개별 기준은 원문으로 보완해야 함. 섹션 매핑 자체는 전체 세부규칙 준수증거가 아님.</x:v>
      </x:c>
    </x:row>
    <x:row r="85" ht="37.5" customHeight="1">
      <x:c r="A85" s="13" t="str">
        <x:v>KRDS-SEC-079</x:v>
      </x:c>
      <x:c r="B85" s="13" t="str">
        <x:v>서비스 패턴</x:v>
      </x:c>
      <x:c r="C85" s="13" t="str">
        <x:v>검색</x:v>
      </x:c>
      <x:c r="D85" s="13" t="str">
        <x:v>검색 결과 확인</x:v>
      </x:c>
      <x:c r="E85" s="13" t="n">
        <x:v>929</x:v>
      </x:c>
      <x:c r="F85" s="13" t="n">
        <x:v>943</x:v>
      </x:c>
      <x:c r="G85" s="13" t="n">
        <x:v>10</x:v>
      </x:c>
      <x:c r="H85" s="13" t="str">
        <x:v>UI-076</x:v>
      </x:c>
      <x:c r="I85" s="13" t="str">
        <x:v>소개·개요 또는 번호 없는 스타일/원칙/상호작용·예시의 개별 기준은 원문으로 보완해야 함. 섹션 매핑 자체는 전체 세부규칙 준수증거가 아님.</x:v>
      </x:c>
    </x:row>
    <x:row r="86" ht="37.5" customHeight="1">
      <x:c r="A86" s="14" t="str">
        <x:v>KRDS-SEC-080</x:v>
      </x:c>
      <x:c r="B86" s="14" t="str">
        <x:v>서비스 패턴</x:v>
      </x:c>
      <x:c r="C86" s="14" t="str">
        <x:v>검색</x:v>
      </x:c>
      <x:c r="D86" s="14" t="str">
        <x:v>상세 검색</x:v>
      </x:c>
      <x:c r="E86" s="14" t="n">
        <x:v>944</x:v>
      </x:c>
      <x:c r="F86" s="14" t="n">
        <x:v>955</x:v>
      </x:c>
      <x:c r="G86" s="14" t="n">
        <x:v>6</x:v>
      </x:c>
      <x:c r="H86" s="14" t="str">
        <x:v>UI-077, UI-120</x:v>
      </x:c>
      <x:c r="I86" s="14" t="str">
        <x:v>소개·개요 또는 번호 없는 스타일/원칙/상호작용·예시의 개별 기준은 원문으로 보완해야 함. 섹션 매핑 자체는 전체 세부규칙 준수증거가 아님.</x:v>
      </x:c>
    </x:row>
    <x:row r="87" ht="37.5" customHeight="1">
      <x:c r="A87" s="13" t="str">
        <x:v>KRDS-SEC-081</x:v>
      </x:c>
      <x:c r="B87" s="13" t="str">
        <x:v>서비스 패턴</x:v>
      </x:c>
      <x:c r="C87" s="13" t="str">
        <x:v>검색</x:v>
      </x:c>
      <x:c r="D87" s="13" t="str">
        <x:v>검색 결과 이용</x:v>
      </x:c>
      <x:c r="E87" s="13" t="n">
        <x:v>956</x:v>
      </x:c>
      <x:c r="F87" s="13" t="n">
        <x:v>967</x:v>
      </x:c>
      <x:c r="G87" s="13" t="n">
        <x:v>8</x:v>
      </x:c>
      <x:c r="H87" s="13" t="str">
        <x:v>UI-078</x:v>
      </x:c>
      <x:c r="I87" s="13" t="str">
        <x:v>소개·개요 또는 번호 없는 스타일/원칙/상호작용·예시의 개별 기준은 원문으로 보완해야 함. 섹션 매핑 자체는 전체 세부규칙 준수증거가 아님.</x:v>
      </x:c>
    </x:row>
    <x:row r="88" ht="37.5" customHeight="1">
      <x:c r="A88" s="14" t="str">
        <x:v>KRDS-SEC-082</x:v>
      </x:c>
      <x:c r="B88" s="14" t="str">
        <x:v>서비스 패턴</x:v>
      </x:c>
      <x:c r="C88" s="14" t="str">
        <x:v>검색</x:v>
      </x:c>
      <x:c r="D88" s="14" t="str">
        <x:v>재검색</x:v>
      </x:c>
      <x:c r="E88" s="14" t="n">
        <x:v>968</x:v>
      </x:c>
      <x:c r="F88" s="14" t="n">
        <x:v>972</x:v>
      </x:c>
      <x:c r="G88" s="14" t="n">
        <x:v>3</x:v>
      </x:c>
      <x:c r="H88" s="14" t="str">
        <x:v>UI-079</x:v>
      </x:c>
      <x:c r="I88" s="14" t="str">
        <x:v>소개·개요 또는 번호 없는 스타일/원칙/상호작용·예시의 개별 기준은 원문으로 보완해야 함. 섹션 매핑 자체는 전체 세부규칙 준수증거가 아님.</x:v>
      </x:c>
    </x:row>
    <x:row r="89" ht="37.5" customHeight="1">
      <x:c r="A89" s="13" t="str">
        <x:v>KRDS-SEC-083</x:v>
      </x:c>
      <x:c r="B89" s="13" t="str">
        <x:v>서비스 패턴</x:v>
      </x:c>
      <x:c r="C89" s="13" t="str">
        <x:v>검색</x:v>
      </x:c>
      <x:c r="D89" s="13" t="str">
        <x:v>검색 종료</x:v>
      </x:c>
      <x:c r="E89" s="13" t="n">
        <x:v>973</x:v>
      </x:c>
      <x:c r="F89" s="13" t="n">
        <x:v>976</x:v>
      </x:c>
      <x:c r="G89" s="13" t="n">
        <x:v>1</x:v>
      </x:c>
      <x:c r="H89" s="13" t="str">
        <x:v>UI-080</x:v>
      </x:c>
      <x:c r="I89" s="13" t="str">
        <x:v>소개·개요 또는 번호 없는 스타일/원칙/상호작용·예시의 개별 기준은 원문으로 보완해야 함. 섹션 매핑 자체는 전체 세부규칙 준수증거가 아님.</x:v>
      </x:c>
    </x:row>
    <x:row r="90" ht="37.5" customHeight="1">
      <x:c r="A90" s="14" t="str">
        <x:v>KRDS-SEC-084</x:v>
      </x:c>
      <x:c r="B90" s="14" t="str">
        <x:v>서비스 패턴</x:v>
      </x:c>
      <x:c r="C90" s="14" t="str">
        <x:v>로그인</x:v>
      </x:c>
      <x:c r="D90" s="14" t="str">
        <x:v>로그인 개요</x:v>
      </x:c>
      <x:c r="E90" s="14" t="n">
        <x:v>977</x:v>
      </x:c>
      <x:c r="F90" s="14" t="n">
        <x:v>979</x:v>
      </x:c>
      <x:c r="G90" s="14" t="n">
        <x:v>0</x:v>
      </x:c>
      <x:c r="H90" s="14" t="str"/>
      <x:c r="I90" s="14" t="str">
        <x:v>소개·개요 또는 번호 없는 스타일/원칙/상호작용·예시의 개별 기준은 원문으로 보완해야 함. 섹션 매핑 자체는 전체 세부규칙 준수증거가 아님.</x:v>
      </x:c>
    </x:row>
    <x:row r="91" ht="37.5" customHeight="1">
      <x:c r="A91" s="13" t="str">
        <x:v>KRDS-SEC-085</x:v>
      </x:c>
      <x:c r="B91" s="13" t="str">
        <x:v>서비스 패턴</x:v>
      </x:c>
      <x:c r="C91" s="13" t="str">
        <x:v>로그인</x:v>
      </x:c>
      <x:c r="D91" s="13" t="str">
        <x:v>로그인 기능 찾기</x:v>
      </x:c>
      <x:c r="E91" s="13" t="n">
        <x:v>980</x:v>
      </x:c>
      <x:c r="F91" s="13" t="n">
        <x:v>987</x:v>
      </x:c>
      <x:c r="G91" s="13" t="n">
        <x:v>5</x:v>
      </x:c>
      <x:c r="H91" s="13" t="str">
        <x:v>UI-081</x:v>
      </x:c>
      <x:c r="I91" s="13" t="str">
        <x:v>소개·개요 또는 번호 없는 스타일/원칙/상호작용·예시의 개별 기준은 원문으로 보완해야 함. 섹션 매핑 자체는 전체 세부규칙 준수증거가 아님.</x:v>
      </x:c>
    </x:row>
    <x:row r="92" ht="37.5" customHeight="1">
      <x:c r="A92" s="14" t="str">
        <x:v>KRDS-SEC-086</x:v>
      </x:c>
      <x:c r="B92" s="14" t="str">
        <x:v>서비스 패턴</x:v>
      </x:c>
      <x:c r="C92" s="14" t="str">
        <x:v>로그인</x:v>
      </x:c>
      <x:c r="D92" s="14" t="str">
        <x:v>로그인 안내</x:v>
      </x:c>
      <x:c r="E92" s="14" t="n">
        <x:v>988</x:v>
      </x:c>
      <x:c r="F92" s="14" t="n">
        <x:v>997</x:v>
      </x:c>
      <x:c r="G92" s="14" t="n">
        <x:v>5</x:v>
      </x:c>
      <x:c r="H92" s="14" t="str">
        <x:v>UI-082</x:v>
      </x:c>
      <x:c r="I92" s="14" t="str">
        <x:v>소개·개요 또는 번호 없는 스타일/원칙/상호작용·예시의 개별 기준은 원문으로 보완해야 함. 섹션 매핑 자체는 전체 세부규칙 준수증거가 아님.</x:v>
      </x:c>
    </x:row>
    <x:row r="93" ht="37.5" customHeight="1">
      <x:c r="A93" s="13" t="str">
        <x:v>KRDS-SEC-087</x:v>
      </x:c>
      <x:c r="B93" s="13" t="str">
        <x:v>서비스 패턴</x:v>
      </x:c>
      <x:c r="C93" s="13" t="str">
        <x:v>로그인</x:v>
      </x:c>
      <x:c r="D93" s="13" t="str">
        <x:v>로그인 방식 확인·선택</x:v>
      </x:c>
      <x:c r="E93" s="13" t="n">
        <x:v>998</x:v>
      </x:c>
      <x:c r="F93" s="13" t="n">
        <x:v>1013</x:v>
      </x:c>
      <x:c r="G93" s="13" t="n">
        <x:v>8</x:v>
      </x:c>
      <x:c r="H93" s="13" t="str">
        <x:v>UI-083, UI-121, UI-128</x:v>
      </x:c>
      <x:c r="I93" s="13" t="str">
        <x:v>소개·개요 또는 번호 없는 스타일/원칙/상호작용·예시의 개별 기준은 원문으로 보완해야 함. 섹션 매핑 자체는 전체 세부규칙 준수증거가 아님.</x:v>
      </x:c>
    </x:row>
    <x:row r="94" ht="37.5" customHeight="1">
      <x:c r="A94" s="14" t="str">
        <x:v>KRDS-SEC-088</x:v>
      </x:c>
      <x:c r="B94" s="14" t="str">
        <x:v>서비스 패턴</x:v>
      </x:c>
      <x:c r="C94" s="14" t="str">
        <x:v>로그인</x:v>
      </x:c>
      <x:c r="D94" s="14" t="str">
        <x:v>로그인 정보 입력</x:v>
      </x:c>
      <x:c r="E94" s="14" t="n">
        <x:v>1014</x:v>
      </x:c>
      <x:c r="F94" s="14" t="n">
        <x:v>1026</x:v>
      </x:c>
      <x:c r="G94" s="14" t="n">
        <x:v>8</x:v>
      </x:c>
      <x:c r="H94" s="14" t="str">
        <x:v>UI-084, UI-122</x:v>
      </x:c>
      <x:c r="I94" s="14" t="str">
        <x:v>소개·개요 또는 번호 없는 스타일/원칙/상호작용·예시의 개별 기준은 원문으로 보완해야 함. 섹션 매핑 자체는 전체 세부규칙 준수증거가 아님.</x:v>
      </x:c>
    </x:row>
    <x:row r="95" ht="37.5" customHeight="1">
      <x:c r="A95" s="13" t="str">
        <x:v>KRDS-SEC-089</x:v>
      </x:c>
      <x:c r="B95" s="13" t="str">
        <x:v>서비스 패턴</x:v>
      </x:c>
      <x:c r="C95" s="13" t="str">
        <x:v>로그인</x:v>
      </x:c>
      <x:c r="D95" s="13" t="str">
        <x:v>로그인 완료</x:v>
      </x:c>
      <x:c r="E95" s="13" t="n">
        <x:v>1027</x:v>
      </x:c>
      <x:c r="F95" s="13" t="n">
        <x:v>1033</x:v>
      </x:c>
      <x:c r="G95" s="13" t="n">
        <x:v>3</x:v>
      </x:c>
      <x:c r="H95" s="13" t="str">
        <x:v>UI-085</x:v>
      </x:c>
      <x:c r="I95" s="13" t="str">
        <x:v>소개·개요 또는 번호 없는 스타일/원칙/상호작용·예시의 개별 기준은 원문으로 보완해야 함. 섹션 매핑 자체는 전체 세부규칙 준수증거가 아님.</x:v>
      </x:c>
    </x:row>
    <x:row r="96" ht="37.5" customHeight="1">
      <x:c r="A96" s="14" t="str">
        <x:v>KRDS-SEC-090</x:v>
      </x:c>
      <x:c r="B96" s="14" t="str">
        <x:v>서비스 패턴</x:v>
      </x:c>
      <x:c r="C96" s="14" t="str">
        <x:v>로그인</x:v>
      </x:c>
      <x:c r="D96" s="14" t="str">
        <x:v>서비스 이용</x:v>
      </x:c>
      <x:c r="E96" s="14" t="n">
        <x:v>1034</x:v>
      </x:c>
      <x:c r="F96" s="14" t="n">
        <x:v>1042</x:v>
      </x:c>
      <x:c r="G96" s="14" t="n">
        <x:v>6</x:v>
      </x:c>
      <x:c r="H96" s="14" t="str">
        <x:v>UI-086, UI-123</x:v>
      </x:c>
      <x:c r="I96" s="14" t="str">
        <x:v>소개·개요 또는 번호 없는 스타일/원칙/상호작용·예시의 개별 기준은 원문으로 보완해야 함. 섹션 매핑 자체는 전체 세부규칙 준수증거가 아님.</x:v>
      </x:c>
    </x:row>
    <x:row r="97" ht="37.5" customHeight="1">
      <x:c r="A97" s="13" t="str">
        <x:v>KRDS-SEC-091</x:v>
      </x:c>
      <x:c r="B97" s="13" t="str">
        <x:v>서비스 패턴</x:v>
      </x:c>
      <x:c r="C97" s="13" t="str">
        <x:v>로그인</x:v>
      </x:c>
      <x:c r="D97" s="13" t="str">
        <x:v>로그아웃</x:v>
      </x:c>
      <x:c r="E97" s="13" t="n">
        <x:v>1043</x:v>
      </x:c>
      <x:c r="F97" s="13" t="n">
        <x:v>1051</x:v>
      </x:c>
      <x:c r="G97" s="13" t="n">
        <x:v>5</x:v>
      </x:c>
      <x:c r="H97" s="13" t="str">
        <x:v>UI-087</x:v>
      </x:c>
      <x:c r="I97" s="13" t="str">
        <x:v>소개·개요 또는 번호 없는 스타일/원칙/상호작용·예시의 개별 기준은 원문으로 보완해야 함. 섹션 매핑 자체는 전체 세부규칙 준수증거가 아님.</x:v>
      </x:c>
    </x:row>
    <x:row r="98" ht="37.5" customHeight="1">
      <x:c r="A98" s="14" t="str">
        <x:v>KRDS-SEC-092</x:v>
      </x:c>
      <x:c r="B98" s="14" t="str">
        <x:v>서비스 패턴</x:v>
      </x:c>
      <x:c r="C98" s="14" t="str">
        <x:v>신청</x:v>
      </x:c>
      <x:c r="D98" s="14" t="str">
        <x:v>신청 개요</x:v>
      </x:c>
      <x:c r="E98" s="14" t="n">
        <x:v>1052</x:v>
      </x:c>
      <x:c r="F98" s="14" t="n">
        <x:v>1054</x:v>
      </x:c>
      <x:c r="G98" s="14" t="n">
        <x:v>0</x:v>
      </x:c>
      <x:c r="H98" s="14" t="str"/>
      <x:c r="I98" s="14" t="str">
        <x:v>소개·개요 또는 번호 없는 스타일/원칙/상호작용·예시의 개별 기준은 원문으로 보완해야 함. 섹션 매핑 자체는 전체 세부규칙 준수증거가 아님.</x:v>
      </x:c>
    </x:row>
    <x:row r="99" ht="37.5" customHeight="1">
      <x:c r="A99" s="13" t="str">
        <x:v>KRDS-SEC-093</x:v>
      </x:c>
      <x:c r="B99" s="13" t="str">
        <x:v>서비스 패턴</x:v>
      </x:c>
      <x:c r="C99" s="13" t="str">
        <x:v>신청</x:v>
      </x:c>
      <x:c r="D99" s="13" t="str">
        <x:v>신청 대상 탐색</x:v>
      </x:c>
      <x:c r="E99" s="13" t="n">
        <x:v>1055</x:v>
      </x:c>
      <x:c r="F99" s="13" t="n">
        <x:v>1068</x:v>
      </x:c>
      <x:c r="G99" s="13" t="n">
        <x:v>10</x:v>
      </x:c>
      <x:c r="H99" s="13" t="str">
        <x:v>UI-088</x:v>
      </x:c>
      <x:c r="I99" s="13" t="str">
        <x:v>소개·개요 또는 번호 없는 스타일/원칙/상호작용·예시의 개별 기준은 원문으로 보완해야 함. 섹션 매핑 자체는 전체 세부규칙 준수증거가 아님.</x:v>
      </x:c>
    </x:row>
    <x:row r="100" ht="37.5" customHeight="1">
      <x:c r="A100" s="14" t="str">
        <x:v>KRDS-SEC-094</x:v>
      </x:c>
      <x:c r="B100" s="14" t="str">
        <x:v>서비스 패턴</x:v>
      </x:c>
      <x:c r="C100" s="14" t="str">
        <x:v>신청</x:v>
      </x:c>
      <x:c r="D100" s="14" t="str">
        <x:v>서비스 정보 확인</x:v>
      </x:c>
      <x:c r="E100" s="14" t="n">
        <x:v>1069</x:v>
      </x:c>
      <x:c r="F100" s="14" t="n">
        <x:v>1087</x:v>
      </x:c>
      <x:c r="G100" s="14" t="n">
        <x:v>14</x:v>
      </x:c>
      <x:c r="H100" s="14" t="str">
        <x:v>UI-089</x:v>
      </x:c>
      <x:c r="I100" s="14" t="str">
        <x:v>소개·개요 또는 번호 없는 스타일/원칙/상호작용·예시의 개별 기준은 원문으로 보완해야 함. 섹션 매핑 자체는 전체 세부규칙 준수증거가 아님.</x:v>
      </x:c>
    </x:row>
    <x:row r="101" ht="37.5" customHeight="1">
      <x:c r="A101" s="13" t="str">
        <x:v>KRDS-SEC-095</x:v>
      </x:c>
      <x:c r="B101" s="13" t="str">
        <x:v>서비스 패턴</x:v>
      </x:c>
      <x:c r="C101" s="13" t="str">
        <x:v>신청</x:v>
      </x:c>
      <x:c r="D101" s="13" t="str">
        <x:v>유의 사항·자격 확인</x:v>
      </x:c>
      <x:c r="E101" s="13" t="n">
        <x:v>1088</x:v>
      </x:c>
      <x:c r="F101" s="13" t="n">
        <x:v>1096</x:v>
      </x:c>
      <x:c r="G101" s="13" t="n">
        <x:v>4</x:v>
      </x:c>
      <x:c r="H101" s="13" t="str">
        <x:v>UI-090</x:v>
      </x:c>
      <x:c r="I101" s="13" t="str">
        <x:v>소개·개요 또는 번호 없는 스타일/원칙/상호작용·예시의 개별 기준은 원문으로 보완해야 함. 섹션 매핑 자체는 전체 세부규칙 준수증거가 아님.</x:v>
      </x:c>
    </x:row>
    <x:row r="102" ht="37.5" customHeight="1">
      <x:c r="A102" s="14" t="str">
        <x:v>KRDS-SEC-096</x:v>
      </x:c>
      <x:c r="B102" s="14" t="str">
        <x:v>서비스 패턴</x:v>
      </x:c>
      <x:c r="C102" s="14" t="str">
        <x:v>신청</x:v>
      </x:c>
      <x:c r="D102" s="14" t="str">
        <x:v>신청서 작성</x:v>
      </x:c>
      <x:c r="E102" s="14" t="n">
        <x:v>1097</x:v>
      </x:c>
      <x:c r="F102" s="14" t="n">
        <x:v>1111</x:v>
      </x:c>
      <x:c r="G102" s="14" t="n">
        <x:v>12</x:v>
      </x:c>
      <x:c r="H102" s="14" t="str">
        <x:v>UI-091</x:v>
      </x:c>
      <x:c r="I102" s="14" t="str">
        <x:v>소개·개요 또는 번호 없는 스타일/원칙/상호작용·예시의 개별 기준은 원문으로 보완해야 함. 섹션 매핑 자체는 전체 세부규칙 준수증거가 아님.</x:v>
      </x:c>
    </x:row>
    <x:row r="103" ht="37.5" customHeight="1">
      <x:c r="A103" s="13" t="str">
        <x:v>KRDS-SEC-097</x:v>
      </x:c>
      <x:c r="B103" s="13" t="str">
        <x:v>서비스 패턴</x:v>
      </x:c>
      <x:c r="C103" s="13" t="str">
        <x:v>신청</x:v>
      </x:c>
      <x:c r="D103" s="13" t="str">
        <x:v>확인·확정</x:v>
      </x:c>
      <x:c r="E103" s="13" t="n">
        <x:v>1112</x:v>
      </x:c>
      <x:c r="F103" s="13" t="n">
        <x:v>1120</x:v>
      </x:c>
      <x:c r="G103" s="13" t="n">
        <x:v>4</x:v>
      </x:c>
      <x:c r="H103" s="13" t="str">
        <x:v>UI-092, UI-124</x:v>
      </x:c>
      <x:c r="I103" s="13" t="str">
        <x:v>소개·개요 또는 번호 없는 스타일/원칙/상호작용·예시의 개별 기준은 원문으로 보완해야 함. 섹션 매핑 자체는 전체 세부규칙 준수증거가 아님.</x:v>
      </x:c>
    </x:row>
    <x:row r="104" ht="37.5" customHeight="1">
      <x:c r="A104" s="14" t="str">
        <x:v>KRDS-SEC-098</x:v>
      </x:c>
      <x:c r="B104" s="14" t="str">
        <x:v>서비스 패턴</x:v>
      </x:c>
      <x:c r="C104" s="14" t="str">
        <x:v>신청</x:v>
      </x:c>
      <x:c r="D104" s="14" t="str">
        <x:v>완료</x:v>
      </x:c>
      <x:c r="E104" s="14" t="n">
        <x:v>1121</x:v>
      </x:c>
      <x:c r="F104" s="14" t="n">
        <x:v>1128</x:v>
      </x:c>
      <x:c r="G104" s="14" t="n">
        <x:v>5</x:v>
      </x:c>
      <x:c r="H104" s="14" t="str">
        <x:v>UI-093</x:v>
      </x:c>
      <x:c r="I104" s="14" t="str">
        <x:v>소개·개요 또는 번호 없는 스타일/원칙/상호작용·예시의 개별 기준은 원문으로 보완해야 함. 섹션 매핑 자체는 전체 세부규칙 준수증거가 아님.</x:v>
      </x:c>
    </x:row>
    <x:row r="105" ht="37.5" customHeight="1">
      <x:c r="A105" s="13" t="str">
        <x:v>KRDS-SEC-099</x:v>
      </x:c>
      <x:c r="B105" s="13" t="str">
        <x:v>서비스 패턴</x:v>
      </x:c>
      <x:c r="C105" s="13" t="str">
        <x:v>신청</x:v>
      </x:c>
      <x:c r="D105" s="13" t="str">
        <x:v>신청 결과 확인</x:v>
      </x:c>
      <x:c r="E105" s="13" t="n">
        <x:v>1129</x:v>
      </x:c>
      <x:c r="F105" s="13" t="n">
        <x:v>1142</x:v>
      </x:c>
      <x:c r="G105" s="13" t="n">
        <x:v>9</x:v>
      </x:c>
      <x:c r="H105" s="13" t="str">
        <x:v>UI-094</x:v>
      </x:c>
      <x:c r="I105" s="13" t="str">
        <x:v>소개·개요 또는 번호 없는 스타일/원칙/상호작용·예시의 개별 기준은 원문으로 보완해야 함. 섹션 매핑 자체는 전체 세부규칙 준수증거가 아님.</x:v>
      </x:c>
    </x:row>
    <x:row r="106" ht="37.5" customHeight="1">
      <x:c r="A106" s="14" t="str">
        <x:v>KRDS-SEC-100</x:v>
      </x:c>
      <x:c r="B106" s="14" t="str">
        <x:v>서비스 패턴</x:v>
      </x:c>
      <x:c r="C106" s="14" t="str">
        <x:v>정책 정보 확인</x:v>
      </x:c>
      <x:c r="D106" s="14" t="str">
        <x:v>정책 정보 확인 개요</x:v>
      </x:c>
      <x:c r="E106" s="14" t="n">
        <x:v>1143</x:v>
      </x:c>
      <x:c r="F106" s="14" t="n">
        <x:v>1145</x:v>
      </x:c>
      <x:c r="G106" s="14" t="n">
        <x:v>0</x:v>
      </x:c>
      <x:c r="H106" s="14" t="str"/>
      <x:c r="I106" s="14" t="str">
        <x:v>소개·개요 또는 번호 없는 스타일/원칙/상호작용·예시의 개별 기준은 원문으로 보완해야 함. 섹션 매핑 자체는 전체 세부규칙 준수증거가 아님.</x:v>
      </x:c>
    </x:row>
    <x:row r="107" ht="37.5" customHeight="1">
      <x:c r="A107" s="13" t="str">
        <x:v>KRDS-SEC-101</x:v>
      </x:c>
      <x:c r="B107" s="13" t="str">
        <x:v>서비스 패턴</x:v>
      </x:c>
      <x:c r="C107" s="13" t="str">
        <x:v>정책 정보 확인</x:v>
      </x:c>
      <x:c r="D107" s="13" t="str">
        <x:v>정책 탐색</x:v>
      </x:c>
      <x:c r="E107" s="13" t="n">
        <x:v>1146</x:v>
      </x:c>
      <x:c r="F107" s="13" t="n">
        <x:v>1154</x:v>
      </x:c>
      <x:c r="G107" s="13" t="n">
        <x:v>5</x:v>
      </x:c>
      <x:c r="H107" s="13" t="str">
        <x:v>UI-095</x:v>
      </x:c>
      <x:c r="I107" s="13" t="str">
        <x:v>소개·개요 또는 번호 없는 스타일/원칙/상호작용·예시의 개별 기준은 원문으로 보완해야 함. 섹션 매핑 자체는 전체 세부규칙 준수증거가 아님.</x:v>
      </x:c>
    </x:row>
    <x:row r="108" ht="37.5" customHeight="1">
      <x:c r="A108" s="14" t="str">
        <x:v>KRDS-SEC-102</x:v>
      </x:c>
      <x:c r="B108" s="14" t="str">
        <x:v>서비스 패턴</x:v>
      </x:c>
      <x:c r="C108" s="14" t="str">
        <x:v>정책 정보 확인</x:v>
      </x:c>
      <x:c r="D108" s="14" t="str">
        <x:v>정보 확인</x:v>
      </x:c>
      <x:c r="E108" s="14" t="n">
        <x:v>1155</x:v>
      </x:c>
      <x:c r="F108" s="14" t="n">
        <x:v>1164</x:v>
      </x:c>
      <x:c r="G108" s="14" t="n">
        <x:v>8</x:v>
      </x:c>
      <x:c r="H108" s="14" t="str">
        <x:v>UI-096</x:v>
      </x:c>
      <x:c r="I108" s="14" t="str">
        <x:v>소개·개요 또는 번호 없는 스타일/원칙/상호작용·예시의 개별 기준은 원문으로 보완해야 함. 섹션 매핑 자체는 전체 세부규칙 준수증거가 아님.</x:v>
      </x:c>
    </x:row>
    <x:row r="109" ht="37.5" customHeight="1">
      <x:c r="A109" s="13" t="str">
        <x:v>KRDS-SEC-103</x:v>
      </x:c>
      <x:c r="B109" s="13" t="str">
        <x:v>서비스 패턴</x:v>
      </x:c>
      <x:c r="C109" s="13" t="str">
        <x:v>정책 정보 확인</x:v>
      </x:c>
      <x:c r="D109" s="13" t="str">
        <x:v>정책 자료 탐색</x:v>
      </x:c>
      <x:c r="E109" s="13" t="n">
        <x:v>1165</x:v>
      </x:c>
      <x:c r="F109" s="13" t="n">
        <x:v>1173</x:v>
      </x:c>
      <x:c r="G109" s="13" t="n">
        <x:v>3</x:v>
      </x:c>
      <x:c r="H109" s="13" t="str">
        <x:v>UI-097</x:v>
      </x:c>
      <x:c r="I109" s="13" t="str">
        <x:v>소개·개요 또는 번호 없는 스타일/원칙/상호작용·예시의 개별 기준은 원문으로 보완해야 함. 섹션 매핑 자체는 전체 세부규칙 준수증거가 아님.</x:v>
      </x:c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30" customHeight="1">
      <x:c r="A114" s="9" t="str">
        <x:v>상호작용 ID</x:v>
      </x:c>
      <x:c r="B114" s="10" t="str">
        <x:v>섹션 ID</x:v>
      </x:c>
      <x:c r="C114" s="10" t="str">
        <x:v>원문 섹션</x:v>
      </x:c>
      <x:c r="D114" s="10" t="str">
        <x:v>원문 쪽</x:v>
      </x:c>
      <x:c r="E114" s="10" t="str">
        <x:v>주제 / 동작 후보</x:v>
      </x:c>
      <x:c r="F114" s="10" t="str">
        <x:v>회사규칙</x:v>
      </x:c>
      <x:c r="G114" s="10" t="str">
        <x:v>추가 검토</x:v>
      </x:c>
      <x:c r="H114" s="10" t="str">
        <x:v>상태</x:v>
      </x:c>
      <x:c r="I114" s="11" t="str">
        <x:v>범위 메모</x:v>
      </x:c>
    </x:row>
    <x:row r="115" ht="64.5" customHeight="1">
      <x:c r="A115" s="13" t="str">
        <x:v>KRDS-INT-P0262</x:v>
      </x:c>
      <x:c r="B115" s="13" t="str">
        <x:v>KRDS-SEC-021</x:v>
      </x:c>
      <x:c r="C115" s="13" t="str">
        <x:v>컴포넌트 / 탐색 / 건너뛰기 링크</x:v>
      </x:c>
      <x:c r="D115" s="13" t="n">
        <x:v>262</x:v>
      </x:c>
      <x:c r="E115" s="13" t="str">
        <x:v>목적지 섹션으로의 이동 / 건너뛰기 링크가 초점을 가진 상태에서 Enter 키를 누르면 목적지 섹션으로 / 건너뛰기 링크 영역을 Tap 하면 목적지 섹션으로 화면이 스크롤 된다. 만약 / Tap / 콘텐츠 탐색 / 목적지 섹션으로 스크롤 된 상태에서 Tab 키를 누르면 이동한 섹션 내부</x:v>
      </x:c>
      <x:c r="F115" s="13" t="str">
        <x:v>UI-020, UI-102</x:v>
      </x:c>
      <x:c r="G115" s="13" t="str">
        <x:v>마우스·키보드·터치·보조기술의 원문 동작과 초점·열림/선택 상태를 각각 검사 사례로 분해</x:v>
      </x:c>
      <x:c r="H115" s="13" t="str">
        <x:v>원문 재검토·시험사례 분해 필요</x:v>
      </x:c>
      <x:c r="I115" s="13" t="str">
        <x:v>페이지 색인이다. 독립 검사항목 개수나 적용 완료 수가 아니다.</x:v>
      </x:c>
    </x:row>
    <x:row r="116" ht="64.5" customHeight="1">
      <x:c r="A116" s="14" t="str">
        <x:v>KRDS-INT-P0279</x:v>
      </x:c>
      <x:c r="B116" s="14" t="str">
        <x:v>KRDS-SEC-022</x:v>
      </x:c>
      <x:c r="C116" s="14" t="str">
        <x:v>컴포넌트 / 탐색 / 메인 메뉴</x:v>
      </x:c>
      <x:c r="D116" s="14" t="n">
        <x:v>279</x:v>
      </x:c>
      <x:c r="E116" s="14" t="str">
        <x:v>메뉴 영역 확장 및 축소 / 메뉴 링크를 Click 하였을 때 하위 수준 메뉴가 펼쳐진다. 활성화된 1수준 / 메뉴 링크가 초점을 가진 상태에서 Enter 키를 눌렀을 때 하위 수준 메뉴가 / 펼쳐진 드롭다운 메뉴가 모두 축소되며 펼쳐졌던 메뉴의 상위 수준에 속하는 / Esc / 메뉴 링크 탐색</x:v>
      </x:c>
      <x:c r="F116" s="14" t="str">
        <x:v>UI-021, UI-103</x:v>
      </x:c>
      <x:c r="G116" s="14" t="str">
        <x:v>마우스·키보드·터치·보조기술의 원문 동작과 초점·열림/선택 상태를 각각 검사 사례로 분해</x:v>
      </x:c>
      <x:c r="H116" s="14" t="str">
        <x:v>원문 재검토·시험사례 분해 필요</x:v>
      </x:c>
      <x:c r="I116" s="14" t="str">
        <x:v>페이지 색인이다. 독립 검사항목 개수나 적용 완료 수가 아니다.</x:v>
      </x:c>
    </x:row>
    <x:row r="117" ht="37.5" customHeight="1">
      <x:c r="A117" s="13" t="str">
        <x:v>KRDS-INT-P0292</x:v>
      </x:c>
      <x:c r="B117" s="13" t="str">
        <x:v>KRDS-SEC-023</x:v>
      </x:c>
      <x:c r="C117" s="13" t="str">
        <x:v>컴포넌트 / 탐색 / 브레드크럼</x:v>
      </x:c>
      <x:c r="D117" s="13" t="n">
        <x:v>292</x:v>
      </x:c>
      <x:c r="E117" s="13" t="str">
        <x:v>탐색 / 관련 화면으로 이동</x:v>
      </x:c>
      <x:c r="F117" s="13" t="str">
        <x:v>UI-022</x:v>
      </x:c>
      <x:c r="G117" s="13" t="str">
        <x:v>마우스·키보드·터치·보조기술의 원문 동작과 초점·열림/선택 상태를 각각 검사 사례로 분해</x:v>
      </x:c>
      <x:c r="H117" s="13" t="str">
        <x:v>원문 재검토·시험사례 분해 필요</x:v>
      </x:c>
      <x:c r="I117" s="13" t="str">
        <x:v>페이지 색인이다. 독립 검사항목 개수나 적용 완료 수가 아니다.</x:v>
      </x:c>
    </x:row>
    <x:row r="118" ht="91.5" customHeight="1">
      <x:c r="A118" s="14" t="str">
        <x:v>KRDS-INT-P0307</x:v>
      </x:c>
      <x:c r="B118" s="14" t="str">
        <x:v>KRDS-SEC-024</x:v>
      </x:c>
      <x:c r="C118" s="14" t="str">
        <x:v>컴포넌트 / 탐색 / 사이드 메뉴</x:v>
      </x:c>
      <x:c r="D118" s="14" t="n">
        <x:v>307</x:v>
      </x:c>
      <x:c r="E118" s="14" t="str">
        <x:v>메뉴 링크 탐색 / 메뉴 영역 확장 및 축소 / 꺾쇠 아이콘이 있는 메뉴 링크가 초점을 가진 상태에서 마우스 Click 이벤트가 / 않는다. 즉, 어떤 하위 메뉴가 확장되어 있는 상태에서 다른 하위 링크 목록이 / 꺾쇠 아이콘이 있는 메뉴 링크가 초점을 가진 상태에서 키보드 Enter 이벤트가 / 않는다. 즉, 어떤 하위 메뉴가 확장되어 있는 상태에서 다른 하위 링크 목록이</x:v>
      </x:c>
      <x:c r="F118" s="14" t="str">
        <x:v>UI-023</x:v>
      </x:c>
      <x:c r="G118" s="14" t="str">
        <x:v>마우스·키보드·터치·보조기술의 원문 동작과 초점·열림/선택 상태를 각각 검사 사례로 분해</x:v>
      </x:c>
      <x:c r="H118" s="14" t="str">
        <x:v>원문 재검토·시험사례 분해 필요</x:v>
      </x:c>
      <x:c r="I118" s="14" t="str">
        <x:v>페이지 색인이다. 독립 검사항목 개수나 적용 완료 수가 아니다.</x:v>
      </x:c>
    </x:row>
    <x:row r="119" ht="37.5" customHeight="1">
      <x:c r="A119" s="13" t="str">
        <x:v>KRDS-INT-P0316</x:v>
      </x:c>
      <x:c r="B119" s="13" t="str">
        <x:v>KRDS-SEC-025</x:v>
      </x:c>
      <x:c r="C119" s="13" t="str">
        <x:v>컴포넌트 / 탐색 / 콘텐츠 내 탐색</x:v>
      </x:c>
      <x:c r="D119" s="13" t="n">
        <x:v>316</x:v>
      </x:c>
      <x:c r="E119" s="13" t="str">
        <x:v>목록 탐색 / 콘텐츠 섹션 이동</x:v>
      </x:c>
      <x:c r="F119" s="13" t="str">
        <x:v>UI-024</x:v>
      </x:c>
      <x:c r="G119" s="13" t="str">
        <x:v>마우스·키보드·터치·보조기술의 원문 동작과 초점·열림/선택 상태를 각각 검사 사례로 분해</x:v>
      </x:c>
      <x:c r="H119" s="13" t="str">
        <x:v>원문 재검토·시험사례 분해 필요</x:v>
      </x:c>
      <x:c r="I119" s="13" t="str">
        <x:v>페이지 색인이다. 독립 검사항목 개수나 적용 완료 수가 아니다.</x:v>
      </x:c>
    </x:row>
    <x:row r="120" ht="64.5" customHeight="1">
      <x:c r="A120" s="14" t="str">
        <x:v>KRDS-INT-P0337</x:v>
      </x:c>
      <x:c r="B120" s="14" t="str">
        <x:v>KRDS-SEC-026</x:v>
      </x:c>
      <x:c r="C120" s="14" t="str">
        <x:v>컴포넌트 / 탐색 / 페이지네이션</x:v>
      </x:c>
      <x:c r="D120" s="14" t="n">
        <x:v>337</x:v>
      </x:c>
      <x:c r="E120" s="14" t="str">
        <x:v>숫자 링크 목록 / 기본 상태의 이전/다음 버튼, 숫자 링크를 Click 하면 해당 화면으로 / Click / 기본 상태의 이전/다음 버튼, 숫자 링크가 초점을 가진 상태에서 Enter 키를 / 화면 직접 이동 / 숫자 입력 필드에 숫자를 입력한 후 이동 버튼을 Click 하면 해당 화면으로</x:v>
      </x:c>
      <x:c r="F120" s="14" t="str">
        <x:v>UI-025</x:v>
      </x:c>
      <x:c r="G120" s="14" t="str">
        <x:v>마우스·키보드·터치·보조기술의 원문 동작과 초점·열림/선택 상태를 각각 검사 사례로 분해</x:v>
      </x:c>
      <x:c r="H120" s="14" t="str">
        <x:v>원문 재검토·시험사례 분해 필요</x:v>
      </x:c>
      <x:c r="I120" s="14" t="str">
        <x:v>페이지 색인이다. 독립 검사항목 개수나 적용 완료 수가 아니다.</x:v>
      </x:c>
    </x:row>
    <x:row r="121" ht="78" customHeight="1">
      <x:c r="A121" s="13" t="str">
        <x:v>KRDS-INT-P0338</x:v>
      </x:c>
      <x:c r="B121" s="13" t="str">
        <x:v>KRDS-SEC-026</x:v>
      </x:c>
      <x:c r="C121" s="13" t="str">
        <x:v>컴포넌트 / 탐색 / 페이지네이션</x:v>
      </x:c>
      <x:c r="D121" s="13" t="n">
        <x:v>338</x:v>
      </x:c>
      <x:c r="E121" s="13" t="str">
        <x:v>목록 확장 / 더보기 버튼을 Click 하면 목록과 더보기 버튼 사이에 새로운 항목이 / Focus 이벤트가 발생한다. 표시된 항목 수 정보가 실제 내용에 맞추어 / 더보기 버튼이 초점을 가진 상태에서 Space 키를 누르면 목록과 더보기 / Focus 이벤트가 발생한다. 표시된 항목 수 정보가 실제 내용에 맞추어</x:v>
      </x:c>
      <x:c r="F121" s="13" t="str">
        <x:v>UI-025</x:v>
      </x:c>
      <x:c r="G121" s="13" t="str">
        <x:v>마우스·키보드·터치·보조기술의 원문 동작과 초점·열림/선택 상태를 각각 검사 사례로 분해</x:v>
      </x:c>
      <x:c r="H121" s="13" t="str">
        <x:v>원문 재검토·시험사례 분해 필요</x:v>
      </x:c>
      <x:c r="I121" s="13" t="str">
        <x:v>페이지 색인이다. 독립 검사항목 개수나 적용 완료 수가 아니다.</x:v>
      </x:c>
    </x:row>
    <x:row r="122" ht="37.5" customHeight="1">
      <x:c r="A122" s="14" t="str">
        <x:v>KRDS-INT-P0359</x:v>
      </x:c>
      <x:c r="B122" s="14" t="str">
        <x:v>KRDS-SEC-028</x:v>
      </x:c>
      <x:c r="C122" s="14" t="str">
        <x:v>컴포넌트 / 레이아웃·표현 / 구조화 목록</x:v>
      </x:c>
      <x:c r="D122" s="14" t="n">
        <x:v>359</x:v>
      </x:c>
      <x:c r="E122" s="14" t="str">
        <x:v>탐색 / 기능 실행 또는 이동</x:v>
      </x:c>
      <x:c r="F122" s="14" t="str">
        <x:v>UI-027</x:v>
      </x:c>
      <x:c r="G122" s="14" t="str">
        <x:v>마우스·키보드·터치·보조기술의 원문 동작과 초점·열림/선택 상태를 각각 검사 사례로 분해</x:v>
      </x:c>
      <x:c r="H122" s="14" t="str">
        <x:v>원문 재검토·시험사례 분해 필요</x:v>
      </x:c>
      <x:c r="I122" s="14" t="str">
        <x:v>페이지 색인이다. 독립 검사항목 개수나 적용 완료 수가 아니다.</x:v>
      </x:c>
    </x:row>
    <x:row r="123" ht="37.5" customHeight="1">
      <x:c r="A123" s="13" t="str">
        <x:v>KRDS-INT-P0378</x:v>
      </x:c>
      <x:c r="B123" s="13" t="str">
        <x:v>KRDS-SEC-030</x:v>
      </x:c>
      <x:c r="C123" s="13" t="str">
        <x:v>컴포넌트 / 레이아웃·표현 / 달력</x:v>
      </x:c>
      <x:c r="D123" s="13" t="n">
        <x:v>378</x:v>
      </x:c>
      <x:c r="E123" s="13" t="str">
        <x:v>날짜 링크 탐색 / 기능 실행 또는 이동</x:v>
      </x:c>
      <x:c r="F123" s="13" t="str">
        <x:v>UI-029</x:v>
      </x:c>
      <x:c r="G123" s="13" t="str">
        <x:v>마우스·키보드·터치·보조기술의 원문 동작과 초점·열림/선택 상태를 각각 검사 사례로 분해</x:v>
      </x:c>
      <x:c r="H123" s="13" t="str">
        <x:v>원문 재검토·시험사례 분해 필요</x:v>
      </x:c>
      <x:c r="I123" s="13" t="str">
        <x:v>페이지 색인이다. 독립 검사항목 개수나 적용 완료 수가 아니다.</x:v>
      </x:c>
    </x:row>
    <x:row r="124" ht="37.5" customHeight="1">
      <x:c r="A124" s="14" t="str">
        <x:v>KRDS-INT-P0386</x:v>
      </x:c>
      <x:c r="B124" s="14" t="str">
        <x:v>KRDS-SEC-031</x:v>
      </x:c>
      <x:c r="C124" s="14" t="str">
        <x:v>컴포넌트 / 레이아웃·표현 / 디스클로저</x:v>
      </x:c>
      <x:c r="D124" s="14" t="n">
        <x:v>386</x:v>
      </x:c>
      <x:c r="E124" s="14" t="str">
        <x:v>디스클로저 탐색 / 디스클로저 확장 및 축소 / 디스클로저 컨트롤이 초점을 가진 상태에서 Enter 또는 Space 키를 눌러</x:v>
      </x:c>
      <x:c r="F124" s="14" t="str">
        <x:v>UI-030</x:v>
      </x:c>
      <x:c r="G124" s="14" t="str">
        <x:v>마우스·키보드·터치·보조기술의 원문 동작과 초점·열림/선택 상태를 각각 검사 사례로 분해</x:v>
      </x:c>
      <x:c r="H124" s="14" t="str">
        <x:v>원문 재검토·시험사례 분해 필요</x:v>
      </x:c>
      <x:c r="I124" s="14" t="str">
        <x:v>페이지 색인이다. 독립 검사항목 개수나 적용 완료 수가 아니다.</x:v>
      </x:c>
    </x:row>
    <x:row r="125" ht="51" customHeight="1">
      <x:c r="A125" s="13" t="str">
        <x:v>KRDS-INT-P0398</x:v>
      </x:c>
      <x:c r="B125" s="13" t="str">
        <x:v>KRDS-SEC-032</x:v>
      </x:c>
      <x:c r="C125" s="13" t="str">
        <x:v>컴포넌트 / 레이아웃·표현 / 모달</x:v>
      </x:c>
      <x:c r="D125" s="13" t="n">
        <x:v>398</x:v>
      </x:c>
      <x:c r="E125" s="13" t="str">
        <x:v>모달 열기/닫기 / 내부 콘텐츠 탐색 / 모달 내부의 다음 상호작용 요소로 초점이 이동한다. 모달의 가장 마지막 상호작용 / 모달 내부의 이전 상호작용 요소로 초점이 이동한다. 모달의 가장 첫 번째</x:v>
      </x:c>
      <x:c r="F125" s="13" t="str">
        <x:v>UI-031, UI-104, UI-105</x:v>
      </x:c>
      <x:c r="G125" s="13" t="str">
        <x:v>마우스·키보드·터치·보조기술의 원문 동작과 초점·열림/선택 상태를 각각 검사 사례로 분해</x:v>
      </x:c>
      <x:c r="H125" s="13" t="str">
        <x:v>원문 재검토·시험사례 분해 필요</x:v>
      </x:c>
      <x:c r="I125" s="13" t="str">
        <x:v>페이지 색인이다. 독립 검사항목 개수나 적용 완료 수가 아니다.</x:v>
      </x:c>
    </x:row>
    <x:row r="126" ht="37.5" customHeight="1">
      <x:c r="A126" s="14" t="str">
        <x:v>KRDS-INT-P0415</x:v>
      </x:c>
      <x:c r="B126" s="14" t="str">
        <x:v>KRDS-SEC-034</x:v>
      </x:c>
      <x:c r="C126" s="14" t="str">
        <x:v>컴포넌트 / 레이아웃·표현 / 아코디언</x:v>
      </x:c>
      <x:c r="D126" s="14" t="n">
        <x:v>415</x:v>
      </x:c>
      <x:c r="E126" s="14" t="str">
        <x:v>헤더 목록 탐색 / 패널 확장 또는 축소 / 사용자가 헤더 영역 전체 또는 아이콘을 Click 하면 아코디언의 확장 상태가 / Click</x:v>
      </x:c>
      <x:c r="F126" s="14" t="str">
        <x:v>UI-033</x:v>
      </x:c>
      <x:c r="G126" s="14" t="str">
        <x:v>마우스·키보드·터치·보조기술의 원문 동작과 초점·열림/선택 상태를 각각 검사 사례로 분해</x:v>
      </x:c>
      <x:c r="H126" s="14" t="str">
        <x:v>원문 재검토·시험사례 분해 필요</x:v>
      </x:c>
      <x:c r="I126" s="14" t="str">
        <x:v>페이지 색인이다. 독립 검사항목 개수나 적용 완료 수가 아니다.</x:v>
      </x:c>
    </x:row>
    <x:row r="127" ht="37.5" customHeight="1">
      <x:c r="A127" s="13" t="str">
        <x:v>KRDS-INT-P0423</x:v>
      </x:c>
      <x:c r="B127" s="13" t="str">
        <x:v>KRDS-SEC-035</x:v>
      </x:c>
      <x:c r="C127" s="13" t="str">
        <x:v>컴포넌트 / 레이아웃·표현 / 이미지</x:v>
      </x:c>
      <x:c r="D127" s="13" t="n">
        <x:v>423</x:v>
      </x:c>
      <x:c r="E127" s="13" t="str"/>
      <x:c r="F127" s="13" t="str">
        <x:v>UI-034</x:v>
      </x:c>
      <x:c r="G127" s="13" t="str">
        <x:v>마우스·키보드·터치·보조기술의 원문 동작과 초점·열림/선택 상태를 각각 검사 사례로 분해</x:v>
      </x:c>
      <x:c r="H127" s="13" t="str">
        <x:v>원문 재검토·시험사례 분해 필요</x:v>
      </x:c>
      <x:c r="I127" s="13" t="str">
        <x:v>페이지 색인이다. 독립 검사항목 개수나 적용 완료 수가 아니다.</x:v>
      </x:c>
    </x:row>
    <x:row r="128" ht="37.5" customHeight="1">
      <x:c r="A128" s="14" t="str">
        <x:v>KRDS-INT-P0443</x:v>
      </x:c>
      <x:c r="B128" s="14" t="str">
        <x:v>KRDS-SEC-036</x:v>
      </x:c>
      <x:c r="C128" s="14" t="str">
        <x:v>컴포넌트 / 레이아웃·표현 / 캐러셀</x:v>
      </x:c>
      <x:c r="D128" s="14" t="n">
        <x:v>443</x:v>
      </x:c>
      <x:c r="E128" s="14" t="str">
        <x:v>슬라이드 탐색 / 페이지네이션 인디케이터의 경우 인디케이터 그룹에 초점이 있을 때 키보드 / 방향키 ←, →</x:v>
      </x:c>
      <x:c r="F128" s="14" t="str">
        <x:v>UI-035</x:v>
      </x:c>
      <x:c r="G128" s="14" t="str">
        <x:v>마우스·키보드·터치·보조기술의 원문 동작과 초점·열림/선택 상태를 각각 검사 사례로 분해</x:v>
      </x:c>
      <x:c r="H128" s="14" t="str">
        <x:v>원문 재검토·시험사례 분해 필요</x:v>
      </x:c>
      <x:c r="I128" s="14" t="str">
        <x:v>페이지 색인이다. 독립 검사항목 개수나 적용 완료 수가 아니다.</x:v>
      </x:c>
    </x:row>
    <x:row r="129" ht="64.5" customHeight="1">
      <x:c r="A129" s="13" t="str">
        <x:v>KRDS-INT-P0444</x:v>
      </x:c>
      <x:c r="B129" s="13" t="str">
        <x:v>KRDS-SEC-036</x:v>
      </x:c>
      <x:c r="C129" s="13" t="str">
        <x:v>컴포넌트 / 레이아웃·표현 / 캐러셀</x:v>
      </x:c>
      <x:c r="D129" s="13" t="n">
        <x:v>444</x:v>
      </x:c>
      <x:c r="E129" s="13" t="str">
        <x:v>자동 재생 중지 및 재생 / 자동 재생 캐러셀의 경우 Tab 키를 눌러 캐러셀의 요소에 키보드 초점이 들어가면 / 자동 재생 캐러셀의 재생 컨트롤에 초점이 있을 때 Enter 키를 눌러 기능을 / 자동 재생 캐러셀의 경우 정지 버튼을 Click 하면 슬라이드가 정지되고, 재생 / Click</x:v>
      </x:c>
      <x:c r="F129" s="13" t="str">
        <x:v>UI-035</x:v>
      </x:c>
      <x:c r="G129" s="13" t="str">
        <x:v>마우스·키보드·터치·보조기술의 원문 동작과 초점·열림/선택 상태를 각각 검사 사례로 분해</x:v>
      </x:c>
      <x:c r="H129" s="13" t="str">
        <x:v>원문 재검토·시험사례 분해 필요</x:v>
      </x:c>
      <x:c r="I129" s="13" t="str">
        <x:v>페이지 색인이다. 독립 검사항목 개수나 적용 완료 수가 아니다.</x:v>
      </x:c>
    </x:row>
    <x:row r="130" ht="37.5" customHeight="1">
      <x:c r="A130" s="14" t="str">
        <x:v>KRDS-INT-P0458</x:v>
      </x:c>
      <x:c r="B130" s="14" t="str">
        <x:v>KRDS-SEC-037</x:v>
      </x:c>
      <x:c r="C130" s="14" t="str">
        <x:v>컴포넌트 / 레이아웃·표현 / 탭</x:v>
      </x:c>
      <x:c r="D130" s="14" t="n">
        <x:v>458</x:v>
      </x:c>
      <x:c r="E130" s="14" t="str">
        <x:v>탭 탐색 / 탭 패널 전환</x:v>
      </x:c>
      <x:c r="F130" s="14" t="str">
        <x:v>UI-036</x:v>
      </x:c>
      <x:c r="G130" s="14" t="str">
        <x:v>마우스·키보드·터치·보조기술의 원문 동작과 초점·열림/선택 상태를 각각 검사 사례로 분해</x:v>
      </x:c>
      <x:c r="H130" s="14" t="str">
        <x:v>원문 재검토·시험사례 분해 필요</x:v>
      </x:c>
      <x:c r="I130" s="14" t="str">
        <x:v>페이지 색인이다. 독립 검사항목 개수나 적용 완료 수가 아니다.</x:v>
      </x:c>
    </x:row>
    <x:row r="131" ht="37.5" customHeight="1">
      <x:c r="A131" s="13" t="str">
        <x:v>KRDS-INT-P0509</x:v>
      </x:c>
      <x:c r="B131" s="13" t="str">
        <x:v>KRDS-SEC-041</x:v>
      </x:c>
      <x:c r="C131" s="13" t="str">
        <x:v>컴포넌트 / 액션 / 링크</x:v>
      </x:c>
      <x:c r="D131" s="13" t="n">
        <x:v>509</x:v>
      </x:c>
      <x:c r="E131" s="13" t="str">
        <x:v>탐색 / 링크 실행</x:v>
      </x:c>
      <x:c r="F131" s="13" t="str">
        <x:v>UI-040</x:v>
      </x:c>
      <x:c r="G131" s="13" t="str">
        <x:v>마우스·키보드·터치·보조기술의 원문 동작과 초점·열림/선택 상태를 각각 검사 사례로 분해</x:v>
      </x:c>
      <x:c r="H131" s="13" t="str">
        <x:v>원문 재검토·시험사례 분해 필요</x:v>
      </x:c>
      <x:c r="I131" s="13" t="str">
        <x:v>페이지 색인이다. 독립 검사항목 개수나 적용 완료 수가 아니다.</x:v>
      </x:c>
    </x:row>
    <x:row r="132" ht="37.5" customHeight="1">
      <x:c r="A132" s="14" t="str">
        <x:v>KRDS-INT-P0521</x:v>
      </x:c>
      <x:c r="B132" s="14" t="str">
        <x:v>KRDS-SEC-042</x:v>
      </x:c>
      <x:c r="C132" s="14" t="str">
        <x:v>컴포넌트 / 액션 / 버튼</x:v>
      </x:c>
      <x:c r="D132" s="14" t="n">
        <x:v>521</x:v>
      </x:c>
      <x:c r="E132" s="14" t="str">
        <x:v>탐색 / 실행</x:v>
      </x:c>
      <x:c r="F132" s="14" t="str">
        <x:v>UI-041</x:v>
      </x:c>
      <x:c r="G132" s="14" t="str">
        <x:v>마우스·키보드·터치·보조기술의 원문 동작과 초점·열림/선택 상태를 각각 검사 사례로 분해</x:v>
      </x:c>
      <x:c r="H132" s="14" t="str">
        <x:v>원문 재검토·시험사례 분해 필요</x:v>
      </x:c>
      <x:c r="I132" s="14" t="str">
        <x:v>페이지 색인이다. 독립 검사항목 개수나 적용 완료 수가 아니다.</x:v>
      </x:c>
    </x:row>
    <x:row r="133" ht="64.5" customHeight="1">
      <x:c r="A133" s="13" t="str">
        <x:v>KRDS-INT-P0537</x:v>
      </x:c>
      <x:c r="B133" s="13" t="str">
        <x:v>KRDS-SEC-043</x:v>
      </x:c>
      <x:c r="C133" s="13" t="str">
        <x:v>컴포넌트 / 선택 / 라디오 버튼</x:v>
      </x:c>
      <x:c r="D133" s="13" t="n">
        <x:v>537</x:v>
      </x:c>
      <x:c r="E133" s="13" t="str">
        <x:v>탐색 / 방향키 ↑, ↓를 눌렀을 때 다음/이전 라디오 버튼 양식으로 초점이 이동하고 값이 / 방향키 ↑, ↓ / 실행 / 라디오 버튼 양식에 초점이 있는 상태에서 Space 키를 누르면 값이 선택되어야 / 방향키 ↑, ↓를 눌렀을 때 다음/이전 라디오 버튼 양식으로 초점이 이동하고 값이</x:v>
      </x:c>
      <x:c r="F133" s="13" t="str">
        <x:v>UI-042</x:v>
      </x:c>
      <x:c r="G133" s="13" t="str">
        <x:v>마우스·키보드·터치·보조기술의 원문 동작과 초점·열림/선택 상태를 각각 검사 사례로 분해</x:v>
      </x:c>
      <x:c r="H133" s="13" t="str">
        <x:v>원문 재검토·시험사례 분해 필요</x:v>
      </x:c>
      <x:c r="I133" s="13" t="str">
        <x:v>페이지 색인이다. 독립 검사항목 개수나 적용 완료 수가 아니다.</x:v>
      </x:c>
    </x:row>
    <x:row r="134" ht="37.5" customHeight="1">
      <x:c r="A134" s="14" t="str">
        <x:v>KRDS-INT-P0550</x:v>
      </x:c>
      <x:c r="B134" s="14" t="str">
        <x:v>KRDS-SEC-044</x:v>
      </x:c>
      <x:c r="C134" s="14" t="str">
        <x:v>컴포넌트 / 선택 / 체크박스</x:v>
      </x:c>
      <x:c r="D134" s="14" t="n">
        <x:v>550</x:v>
      </x:c>
      <x:c r="E134" s="14" t="str">
        <x:v>옵션 탐색 / 옵션 선택 및 선택 해제 / 사용자는 체크박스 양식 또는 체크박스 레이블을 눌러 옵션을 선택하거나 선택</x:v>
      </x:c>
      <x:c r="F134" s="14" t="str">
        <x:v>UI-043, UI-107</x:v>
      </x:c>
      <x:c r="G134" s="14" t="str">
        <x:v>마우스·키보드·터치·보조기술의 원문 동작과 초점·열림/선택 상태를 각각 검사 사례로 분해</x:v>
      </x:c>
      <x:c r="H134" s="14" t="str">
        <x:v>원문 재검토·시험사례 분해 필요</x:v>
      </x:c>
      <x:c r="I134" s="14" t="str">
        <x:v>페이지 색인이다. 독립 검사항목 개수나 적용 완료 수가 아니다.</x:v>
      </x:c>
    </x:row>
    <x:row r="135" ht="37.5" customHeight="1">
      <x:c r="A135" s="13" t="str">
        <x:v>KRDS-INT-P0557</x:v>
      </x:c>
      <x:c r="B135" s="13" t="str">
        <x:v>KRDS-SEC-045</x:v>
      </x:c>
      <x:c r="C135" s="13" t="str">
        <x:v>컴포넌트 / 선택 / 셀렉트</x:v>
      </x:c>
      <x:c r="D135" s="13" t="n">
        <x:v>557</x:v>
      </x:c>
      <x:c r="E135" s="13" t="str">
        <x:v>목록 확장 및 축소 / 탐색</x:v>
      </x:c>
      <x:c r="F135" s="13" t="str">
        <x:v>UI-044, UI-108</x:v>
      </x:c>
      <x:c r="G135" s="13" t="str">
        <x:v>마우스·키보드·터치·보조기술의 원문 동작과 초점·열림/선택 상태를 각각 검사 사례로 분해</x:v>
      </x:c>
      <x:c r="H135" s="13" t="str">
        <x:v>원문 재검토·시험사례 분해 필요</x:v>
      </x:c>
      <x:c r="I135" s="13" t="str">
        <x:v>페이지 색인이다. 독립 검사항목 개수나 적용 완료 수가 아니다.</x:v>
      </x:c>
    </x:row>
    <x:row r="136" ht="37.5" customHeight="1">
      <x:c r="A136" s="14" t="str">
        <x:v>KRDS-INT-P0558</x:v>
      </x:c>
      <x:c r="B136" s="14" t="str">
        <x:v>KRDS-SEC-045</x:v>
      </x:c>
      <x:c r="C136" s="14" t="str">
        <x:v>컴포넌트 / 선택 / 셀렉트</x:v>
      </x:c>
      <x:c r="D136" s="14" t="n">
        <x:v>558</x:v>
      </x:c>
      <x:c r="E136" s="14" t="str">
        <x:v>옵션 선택 / 컨테이너에 초점이 있고 옵션 목록이 축소된 경우, 이전/다음 옵션으로 선택값이 / 방향키 ↑, ↓</x:v>
      </x:c>
      <x:c r="F136" s="14" t="str">
        <x:v>UI-044, UI-108</x:v>
      </x:c>
      <x:c r="G136" s="14" t="str">
        <x:v>마우스·키보드·터치·보조기술의 원문 동작과 초점·열림/선택 상태를 각각 검사 사례로 분해</x:v>
      </x:c>
      <x:c r="H136" s="14" t="str">
        <x:v>원문 재검토·시험사례 분해 필요</x:v>
      </x:c>
      <x:c r="I136" s="14" t="str">
        <x:v>페이지 색인이다. 독립 검사항목 개수나 적용 완료 수가 아니다.</x:v>
      </x:c>
    </x:row>
    <x:row r="137" ht="37.5" customHeight="1">
      <x:c r="A137" s="13" t="str">
        <x:v>KRDS-INT-P0568</x:v>
      </x:c>
      <x:c r="B137" s="13" t="str">
        <x:v>KRDS-SEC-046</x:v>
      </x:c>
      <x:c r="C137" s="13" t="str">
        <x:v>컴포넌트 / 선택 / 태그</x:v>
      </x:c>
      <x:c r="D137" s="13" t="n">
        <x:v>568</x:v>
      </x:c>
      <x:c r="E137" s="13" t="str">
        <x:v>태그 탐색과 실행 / Click / 태그 선택 / Click / 태그가 초점을 가진 상태에서 Space 또는 Enter 키에서 Keyup 이벤트가</x:v>
      </x:c>
      <x:c r="F137" s="13" t="str">
        <x:v>UI-045</x:v>
      </x:c>
      <x:c r="G137" s="13" t="str">
        <x:v>마우스·키보드·터치·보조기술의 원문 동작과 초점·열림/선택 상태를 각각 검사 사례로 분해</x:v>
      </x:c>
      <x:c r="H137" s="13" t="str">
        <x:v>원문 재검토·시험사례 분해 필요</x:v>
      </x:c>
      <x:c r="I137" s="13" t="str">
        <x:v>페이지 색인이다. 독립 검사항목 개수나 적용 완료 수가 아니다.</x:v>
      </x:c>
    </x:row>
    <x:row r="138" ht="64.5" customHeight="1">
      <x:c r="A138" s="14" t="str">
        <x:v>KRDS-INT-P0569</x:v>
      </x:c>
      <x:c r="B138" s="14" t="str">
        <x:v>KRDS-SEC-046</x:v>
      </x:c>
      <x:c r="C138" s="14" t="str">
        <x:v>컴포넌트 / 선택 / 태그</x:v>
      </x:c>
      <x:c r="D138" s="14" t="n">
        <x:v>569</x:v>
      </x:c>
      <x:c r="E138" s="14" t="str">
        <x:v>태그 삭제 / 태그가 초점을 가진 상태에서 Space 또는 Enter 키에서 Keyup 이벤트가 / 발생하면 해당 태그 조건이 목록에서 제거된다. 초점은 삭제된 태그의 이전 / 태그로 이동한다. 만약 초점을 이동할 태그가 목록에 남아 있지 않다면 태그</x:v>
      </x:c>
      <x:c r="F138" s="14" t="str">
        <x:v>UI-045</x:v>
      </x:c>
      <x:c r="G138" s="14" t="str">
        <x:v>마우스·키보드·터치·보조기술의 원문 동작과 초점·열림/선택 상태를 각각 검사 사례로 분해</x:v>
      </x:c>
      <x:c r="H138" s="14" t="str">
        <x:v>원문 재검토·시험사례 분해 필요</x:v>
      </x:c>
      <x:c r="I138" s="14" t="str">
        <x:v>페이지 색인이다. 독립 검사항목 개수나 적용 완료 수가 아니다.</x:v>
      </x:c>
    </x:row>
    <x:row r="139" ht="37.5" customHeight="1">
      <x:c r="A139" s="13" t="str">
        <x:v>KRDS-INT-P0580</x:v>
      </x:c>
      <x:c r="B139" s="13" t="str">
        <x:v>KRDS-SEC-047</x:v>
      </x:c>
      <x:c r="C139" s="13" t="str">
        <x:v>컴포넌트 / 선택 / 토글 스위치</x:v>
      </x:c>
      <x:c r="D139" s="13" t="n">
        <x:v>580</x:v>
      </x:c>
      <x:c r="E139" s="13" t="str">
        <x:v>옵션 탐색 / 옵션 선택 및 선택 해제</x:v>
      </x:c>
      <x:c r="F139" s="13" t="str">
        <x:v>UI-046, UI-109</x:v>
      </x:c>
      <x:c r="G139" s="13" t="str">
        <x:v>마우스·키보드·터치·보조기술의 원문 동작과 초점·열림/선택 상태를 각각 검사 사례로 분해</x:v>
      </x:c>
      <x:c r="H139" s="13" t="str">
        <x:v>원문 재검토·시험사례 분해 필요</x:v>
      </x:c>
      <x:c r="I139" s="13" t="str">
        <x:v>페이지 색인이다. 독립 검사항목 개수나 적용 완료 수가 아니다.</x:v>
      </x:c>
    </x:row>
    <x:row r="140" ht="37.5" customHeight="1">
      <x:c r="A140" s="14" t="str">
        <x:v>KRDS-INT-P0596</x:v>
      </x:c>
      <x:c r="B140" s="14" t="str">
        <x:v>KRDS-SEC-049</x:v>
      </x:c>
      <x:c r="C140" s="14" t="str">
        <x:v>컴포넌트 / 피드백 / 스피너</x:v>
      </x:c>
      <x:c r="D140" s="14" t="n">
        <x:v>596</x:v>
      </x:c>
      <x:c r="E140" s="14" t="str">
        <x:v>확정 스피너 / 불확정 스피너</x:v>
      </x:c>
      <x:c r="F140" s="14" t="str">
        <x:v>UI-048</x:v>
      </x:c>
      <x:c r="G140" s="14" t="str">
        <x:v>마우스·키보드·터치·보조기술의 원문 동작과 초점·열림/선택 상태를 각각 검사 사례로 분해</x:v>
      </x:c>
      <x:c r="H140" s="14" t="str">
        <x:v>원문 재검토·시험사례 분해 필요</x:v>
      </x:c>
      <x:c r="I140" s="14" t="str">
        <x:v>페이지 색인이다. 독립 검사항목 개수나 적용 완료 수가 아니다.</x:v>
      </x:c>
    </x:row>
    <x:row r="141" ht="37.5" customHeight="1">
      <x:c r="A141" s="13" t="str">
        <x:v>KRDS-INT-P0609</x:v>
      </x:c>
      <x:c r="B141" s="13" t="str">
        <x:v>KRDS-SEC-050</x:v>
      </x:c>
      <x:c r="C141" s="13" t="str">
        <x:v>컴포넌트 / 도움 / 도움 패널</x:v>
      </x:c>
      <x:c r="D141" s="13" t="n">
        <x:v>609</x:v>
      </x:c>
      <x:c r="E141" s="13" t="str">
        <x:v>도움 패널 실행 / Click / 도움 패널 내부 콘텐츠 탐색</x:v>
      </x:c>
      <x:c r="F141" s="13" t="str">
        <x:v>UI-049</x:v>
      </x:c>
      <x:c r="G141" s="13" t="str">
        <x:v>마우스·키보드·터치·보조기술의 원문 동작과 초점·열림/선택 상태를 각각 검사 사례로 분해</x:v>
      </x:c>
      <x:c r="H141" s="13" t="str">
        <x:v>원문 재검토·시험사례 분해 필요</x:v>
      </x:c>
      <x:c r="I141" s="13" t="str">
        <x:v>페이지 색인이다. 독립 검사항목 개수나 적용 완료 수가 아니다.</x:v>
      </x:c>
    </x:row>
    <x:row r="142" ht="37.5" customHeight="1">
      <x:c r="A142" s="14" t="str">
        <x:v>KRDS-INT-P0610</x:v>
      </x:c>
      <x:c r="B142" s="14" t="str">
        <x:v>KRDS-SEC-050</x:v>
      </x:c>
      <x:c r="C142" s="14" t="str">
        <x:v>컴포넌트 / 도움 / 도움 패널</x:v>
      </x:c>
      <x:c r="D142" s="14" t="n">
        <x:v>610</x:v>
      </x:c>
      <x:c r="E142" s="14" t="str">
        <x:v>도움 패널 비활성화 / Click</x:v>
      </x:c>
      <x:c r="F142" s="14" t="str">
        <x:v>UI-049</x:v>
      </x:c>
      <x:c r="G142" s="14" t="str">
        <x:v>마우스·키보드·터치·보조기술의 원문 동작과 초점·열림/선택 상태를 각각 검사 사례로 분해</x:v>
      </x:c>
      <x:c r="H142" s="14" t="str">
        <x:v>원문 재검토·시험사례 분해 필요</x:v>
      </x:c>
      <x:c r="I142" s="14" t="str">
        <x:v>페이지 색인이다. 독립 검사항목 개수나 적용 완료 수가 아니다.</x:v>
      </x:c>
    </x:row>
    <x:row r="143" ht="37.5" customHeight="1">
      <x:c r="A143" s="13" t="str">
        <x:v>KRDS-INT-P0618</x:v>
      </x:c>
      <x:c r="B143" s="13" t="str">
        <x:v>KRDS-SEC-051</x:v>
      </x:c>
      <x:c r="C143" s="13" t="str">
        <x:v>컴포넌트 / 도움 / 따라하기 패널</x:v>
      </x:c>
      <x:c r="D143" s="13" t="n">
        <x:v>618</x:v>
      </x:c>
      <x:c r="E143" s="13" t="str">
        <x:v>패널 실행 / Click / 패널 내부 콘텐츠 탐색 / 패널 내부의 확장 가능한 영역을 펼치거나 접는다. 초점은 확장 가능한 영역을</x:v>
      </x:c>
      <x:c r="F143" s="13" t="str">
        <x:v>UI-050</x:v>
      </x:c>
      <x:c r="G143" s="13" t="str">
        <x:v>마우스·키보드·터치·보조기술의 원문 동작과 초점·열림/선택 상태를 각각 검사 사례로 분해</x:v>
      </x:c>
      <x:c r="H143" s="13" t="str">
        <x:v>원문 재검토·시험사례 분해 필요</x:v>
      </x:c>
      <x:c r="I143" s="13" t="str">
        <x:v>페이지 색인이다. 독립 검사항목 개수나 적용 완료 수가 아니다.</x:v>
      </x:c>
    </x:row>
    <x:row r="144" ht="37.5" customHeight="1">
      <x:c r="A144" s="14" t="str">
        <x:v>KRDS-INT-P0619</x:v>
      </x:c>
      <x:c r="B144" s="14" t="str">
        <x:v>KRDS-SEC-051</x:v>
      </x:c>
      <x:c r="C144" s="14" t="str">
        <x:v>컴포넌트 / 도움 / 따라하기 패널</x:v>
      </x:c>
      <x:c r="D144" s="14" t="n">
        <x:v>619</x:v>
      </x:c>
      <x:c r="E144" s="14" t="str">
        <x:v>패널 비활성화 / 패널 닫기 버튼을 Click 하면 도움/따라하기 패널이 닫히고 패널 열기 버튼이</x:v>
      </x:c>
      <x:c r="F144" s="14" t="str">
        <x:v>UI-050</x:v>
      </x:c>
      <x:c r="G144" s="14" t="str">
        <x:v>마우스·키보드·터치·보조기술의 원문 동작과 초점·열림/선택 상태를 각각 검사 사례로 분해</x:v>
      </x:c>
      <x:c r="H144" s="14" t="str">
        <x:v>원문 재검토·시험사례 분해 필요</x:v>
      </x:c>
      <x:c r="I144" s="14" t="str">
        <x:v>페이지 색인이다. 독립 검사항목 개수나 적용 완료 수가 아니다.</x:v>
      </x:c>
    </x:row>
    <x:row r="145" ht="37.5" customHeight="1">
      <x:c r="A145" s="13" t="str">
        <x:v>KRDS-INT-P0634</x:v>
      </x:c>
      <x:c r="B145" s="13" t="str">
        <x:v>KRDS-SEC-052</x:v>
      </x:c>
      <x:c r="C145" s="13" t="str">
        <x:v>컴포넌트 / 도움 / 맥락적 도움말</x:v>
      </x:c>
      <x:c r="D145" s="13" t="n">
        <x:v>634</x:v>
      </x:c>
      <x:c r="E145" s="13" t="str">
        <x:v>맥락적 도움말 실행 / 아이콘 버튼이 초점을 가진 상태에서 Enter 또는 Space 키를 누르면 도움말 / 도움말 내부 콘텐츠 탐색</x:v>
      </x:c>
      <x:c r="F145" s="13" t="str">
        <x:v>UI-051</x:v>
      </x:c>
      <x:c r="G145" s="13" t="str">
        <x:v>마우스·키보드·터치·보조기술의 원문 동작과 초점·열림/선택 상태를 각각 검사 사례로 분해</x:v>
      </x:c>
      <x:c r="H145" s="13" t="str">
        <x:v>원문 재검토·시험사례 분해 필요</x:v>
      </x:c>
      <x:c r="I145" s="13" t="str">
        <x:v>페이지 색인이다. 독립 검사항목 개수나 적용 완료 수가 아니다.</x:v>
      </x:c>
    </x:row>
    <x:row r="146" ht="37.5" customHeight="1">
      <x:c r="A146" s="14" t="str">
        <x:v>KRDS-INT-P0635</x:v>
      </x:c>
      <x:c r="B146" s="14" t="str">
        <x:v>KRDS-SEC-052</x:v>
      </x:c>
      <x:c r="C146" s="14" t="str">
        <x:v>컴포넌트 / 도움 / 맥락적 도움말</x:v>
      </x:c>
      <x:c r="D146" s="14" t="n">
        <x:v>635</x:v>
      </x:c>
      <x:c r="E146" s="14" t="str">
        <x:v>맥락적 도움말 비활성화 / Esc / 아이콘 버튼이 초점을 가진 상태에서 Enter 또는 Space 키를 누르면 도움말</x:v>
      </x:c>
      <x:c r="F146" s="14" t="str">
        <x:v>UI-051</x:v>
      </x:c>
      <x:c r="G146" s="14" t="str">
        <x:v>마우스·키보드·터치·보조기술의 원문 동작과 초점·열림/선택 상태를 각각 검사 사례로 분해</x:v>
      </x:c>
      <x:c r="H146" s="14" t="str">
        <x:v>원문 재검토·시험사례 분해 필요</x:v>
      </x:c>
      <x:c r="I146" s="14" t="str">
        <x:v>페이지 색인이다. 독립 검사항목 개수나 적용 완료 수가 아니다.</x:v>
      </x:c>
    </x:row>
    <x:row r="147" ht="37.5" customHeight="1">
      <x:c r="A147" s="13" t="str">
        <x:v>KRDS-INT-P0648</x:v>
      </x:c>
      <x:c r="B147" s="13" t="str">
        <x:v>KRDS-SEC-053</x:v>
      </x:c>
      <x:c r="C147" s="13" t="str">
        <x:v>컴포넌트 / 도움 / 코치마크</x:v>
      </x:c>
      <x:c r="D147" s="13" t="n">
        <x:v>648</x:v>
      </x:c>
      <x:c r="E147" s="13" t="str">
        <x:v>팝오버 내부 콘텐츠 탐색 / 코치마크 비활성화 / Click</x:v>
      </x:c>
      <x:c r="F147" s="13" t="str">
        <x:v>UI-052</x:v>
      </x:c>
      <x:c r="G147" s="13" t="str">
        <x:v>마우스·키보드·터치·보조기술의 원문 동작과 초점·열림/선택 상태를 각각 검사 사례로 분해</x:v>
      </x:c>
      <x:c r="H147" s="13" t="str">
        <x:v>원문 재검토·시험사례 분해 필요</x:v>
      </x:c>
      <x:c r="I147" s="13" t="str">
        <x:v>페이지 색인이다. 독립 검사항목 개수나 적용 완료 수가 아니다.</x:v>
      </x:c>
    </x:row>
    <x:row r="148" ht="64.5" customHeight="1">
      <x:c r="A148" s="14" t="str">
        <x:v>KRDS-INT-P0662</x:v>
      </x:c>
      <x:c r="B148" s="14" t="str">
        <x:v>KRDS-SEC-054</x:v>
      </x:c>
      <x:c r="C148" s="14" t="str">
        <x:v>컴포넌트 / 도움 / 툴팁</x:v>
      </x:c>
      <x:c r="D148" s="14" t="n">
        <x:v>662</x:v>
      </x:c>
      <x:c r="E148" s="14" t="str">
        <x:v>팝오버 내부 콘텐츠 탐색 / 코치마크 비활성화 / 터치 인터페이스에서 활성화 버튼 또는 팝오버 영역 외의 화면을 누르면 팝오버가 / Click / Blur / 툴팁 팝오버가 표시된 상태에서 Esc 키를 누르면 팝오버가 닫히면서 키보드</x:v>
      </x:c>
      <x:c r="F148" s="14" t="str">
        <x:v>UI-053, UI-110</x:v>
      </x:c>
      <x:c r="G148" s="14" t="str">
        <x:v>마우스·키보드·터치·보조기술의 원문 동작과 초점·열림/선택 상태를 각각 검사 사례로 분해</x:v>
      </x:c>
      <x:c r="H148" s="14" t="str">
        <x:v>원문 재검토·시험사례 분해 필요</x:v>
      </x:c>
      <x:c r="I148" s="14" t="str">
        <x:v>페이지 색인이다. 독립 검사항목 개수나 적용 완료 수가 아니다.</x:v>
      </x:c>
    </x:row>
    <x:row r="149" ht="37.5" customHeight="1">
      <x:c r="A149" s="13" t="str">
        <x:v>KRDS-INT-P0676</x:v>
      </x:c>
      <x:c r="B149" s="13" t="str">
        <x:v>KRDS-SEC-055</x:v>
      </x:c>
      <x:c r="C149" s="13" t="str">
        <x:v>컴포넌트 / 입력 / 날짜 입력 필드</x:v>
      </x:c>
      <x:c r="D149" s="13" t="n">
        <x:v>676</x:v>
      </x:c>
      <x:c r="E149" s="13" t="str">
        <x:v>데이터 입력 / 레이블 또는 입력 필드를 Click 하면 입력 필드에 커서가 활성화되면서 텍스트를 / Click</x:v>
      </x:c>
      <x:c r="F149" s="13" t="str">
        <x:v>UI-054</x:v>
      </x:c>
      <x:c r="G149" s="13" t="str">
        <x:v>마우스·키보드·터치·보조기술의 원문 동작과 초점·열림/선택 상태를 각각 검사 사례로 분해</x:v>
      </x:c>
      <x:c r="H149" s="13" t="str">
        <x:v>원문 재검토·시험사례 분해 필요</x:v>
      </x:c>
      <x:c r="I149" s="13" t="str">
        <x:v>페이지 색인이다. 독립 검사항목 개수나 적용 완료 수가 아니다.</x:v>
      </x:c>
    </x:row>
    <x:row r="150" ht="64.5" customHeight="1">
      <x:c r="A150" s="14" t="str">
        <x:v>KRDS-INT-P0685</x:v>
      </x:c>
      <x:c r="B150" s="14" t="str">
        <x:v>KRDS-SEC-056</x:v>
      </x:c>
      <x:c r="C150" s="14" t="str">
        <x:v>컴포넌트 / 입력 / 텍스트 영역</x:v>
      </x:c>
      <x:c r="D150" s="14" t="n">
        <x:v>685</x:v>
      </x:c>
      <x:c r="E150" s="14" t="str">
        <x:v>레이블 또는 입력 영역을 Click 하면 입력 영역에 커서가 활성화되면서 텍스트를 / Click / 사용자가 많은 양의 텍스트를 작성하여 영역의 기본 높이를 초과하는 경우 영역에 / Scroll / 사용자가 많은 양의 텍스트를 작성하여 영역의 기본 높이를 초과하는 경우 영역에 / 방향키 ↑, ↓</x:v>
      </x:c>
      <x:c r="F150" s="14" t="str">
        <x:v>UI-055</x:v>
      </x:c>
      <x:c r="G150" s="14" t="str">
        <x:v>마우스·키보드·터치·보조기술의 원문 동작과 초점·열림/선택 상태를 각각 검사 사례로 분해</x:v>
      </x:c>
      <x:c r="H150" s="14" t="str">
        <x:v>원문 재검토·시험사례 분해 필요</x:v>
      </x:c>
      <x:c r="I150" s="14" t="str">
        <x:v>페이지 색인이다. 독립 검사항목 개수나 적용 완료 수가 아니다.</x:v>
      </x:c>
    </x:row>
    <x:row r="151" ht="37.5" customHeight="1">
      <x:c r="A151" s="13" t="str">
        <x:v>KRDS-INT-P0696</x:v>
      </x:c>
      <x:c r="B151" s="13" t="str">
        <x:v>KRDS-SEC-057</x:v>
      </x:c>
      <x:c r="C151" s="13" t="str">
        <x:v>컴포넌트 / 입력 / 텍스트 입력 필드</x:v>
      </x:c>
      <x:c r="D151" s="13" t="n">
        <x:v>696</x:v>
      </x:c>
      <x:c r="E151" s="13" t="str">
        <x:v>데이터 입력 / 레이블 또는 입력 필드를 Click 하면 입력 필드에 커서가 활성화되면서 텍스트를 / Click</x:v>
      </x:c>
      <x:c r="F151" s="13" t="str">
        <x:v>UI-056</x:v>
      </x:c>
      <x:c r="G151" s="13" t="str">
        <x:v>마우스·키보드·터치·보조기술의 원문 동작과 초점·열림/선택 상태를 각각 검사 사례로 분해</x:v>
      </x:c>
      <x:c r="H151" s="13" t="str">
        <x:v>원문 재검토·시험사례 분해 필요</x:v>
      </x:c>
      <x:c r="I151" s="13" t="str">
        <x:v>페이지 색인이다. 독립 검사항목 개수나 적용 완료 수가 아니다.</x:v>
      </x:c>
    </x:row>
    <x:row r="152" ht="51" customHeight="1">
      <x:c r="A152" s="14" t="str">
        <x:v>KRDS-INT-P0713</x:v>
      </x:c>
      <x:c r="B152" s="14" t="str">
        <x:v>KRDS-SEC-058</x:v>
      </x:c>
      <x:c r="C152" s="14" t="str">
        <x:v>컴포넌트 / 입력 / 파일 업로드</x:v>
      </x:c>
      <x:c r="D152" s="14" t="n">
        <x:v>713</x:v>
      </x:c>
      <x:c r="E152" s="14" t="str">
        <x:v>탐색 / 파일 선택기가 활성화되었을 때 키보드의 방향키 ↑, ↓을 눌러 파일을 탐색할 수 / 방향키 ↑, ↓ / 파일 업로드 / 파일 선택기가 활성화된 상태에서 파일을 선택하고 '열기' 버튼을 Click 하면 / Click</x:v>
      </x:c>
      <x:c r="F152" s="14" t="str">
        <x:v>UI-057, UI-111, UI-112, UI-113, UI-114</x:v>
      </x:c>
      <x:c r="G152" s="14" t="str">
        <x:v>마우스·키보드·터치·보조기술의 원문 동작과 초점·열림/선택 상태를 각각 검사 사례로 분해</x:v>
      </x:c>
      <x:c r="H152" s="14" t="str">
        <x:v>원문 재검토·시험사례 분해 필요</x:v>
      </x:c>
      <x:c r="I152" s="14" t="str">
        <x:v>페이지 색인이다. 독립 검사항목 개수나 적용 완료 수가 아니다.</x:v>
      </x:c>
    </x:row>
    <x:row r="153" ht="37.5" customHeight="1">
      <x:c r="A153" s="13" t="str">
        <x:v>KRDS-INT-P0714</x:v>
      </x:c>
      <x:c r="B153" s="13" t="str">
        <x:v>KRDS-SEC-058</x:v>
      </x:c>
      <x:c r="C153" s="13" t="str">
        <x:v>컴포넌트 / 입력 / 파일 업로드</x:v>
      </x:c>
      <x:c r="D153" s="13" t="n">
        <x:v>714</x:v>
      </x:c>
      <x:c r="E153" s="13" t="str">
        <x:v>파일 삭제 / 삭제 버튼이 초점을 가진 상태에서 Space 또는 Enter 키를 누르면 파일이</x:v>
      </x:c>
      <x:c r="F153" s="13" t="str">
        <x:v>UI-057, UI-111, UI-112, UI-113, UI-114</x:v>
      </x:c>
      <x:c r="G153" s="13" t="str">
        <x:v>마우스·키보드·터치·보조기술의 원문 동작과 초점·열림/선택 상태를 각각 검사 사례로 분해</x:v>
      </x:c>
      <x:c r="H153" s="13" t="str">
        <x:v>원문 재검토·시험사례 분해 필요</x:v>
      </x:c>
      <x:c r="I153" s="13" t="str">
        <x:v>페이지 색인이다. 독립 검사항목 개수나 적용 완료 수가 아니다.</x:v>
      </x:c>
    </x:row>
    <x:row r="154" ht="37.5" customHeight="1">
      <x:c r="A154" s="14" t="str">
        <x:v>KRDS-INT-P0726</x:v>
      </x:c>
      <x:c r="B154" s="14" t="str">
        <x:v>KRDS-SEC-059</x:v>
      </x:c>
      <x:c r="C154" s="14" t="str">
        <x:v>컴포넌트 / 설정 / 언어 변경</x:v>
      </x:c>
      <x:c r="D154" s="14" t="n">
        <x:v>726</x:v>
      </x:c>
      <x:c r="E154" s="14" t="str">
        <x:v>드롭다운 목록 확장 및 축소 / 컨테이너를 Click 했을 때, 옵션 목록이 확장되거나 축소된다.옵션 목록이 / 드롭다운 목록 탐색</x:v>
      </x:c>
      <x:c r="F154" s="14" t="str">
        <x:v>UI-058</x:v>
      </x:c>
      <x:c r="G154" s="14" t="str">
        <x:v>마우스·키보드·터치·보조기술의 원문 동작과 초점·열림/선택 상태를 각각 검사 사례로 분해</x:v>
      </x:c>
      <x:c r="H154" s="14" t="str">
        <x:v>원문 재검토·시험사례 분해 필요</x:v>
      </x:c>
      <x:c r="I154" s="14" t="str">
        <x:v>페이지 색인이다. 독립 검사항목 개수나 적용 완료 수가 아니다.</x:v>
      </x:c>
    </x:row>
    <x:row r="155" ht="37.5" customHeight="1">
      <x:c r="A155" s="13" t="str">
        <x:v>KRDS-INT-P0735</x:v>
      </x:c>
      <x:c r="B155" s="13" t="str">
        <x:v>KRDS-SEC-060</x:v>
      </x:c>
      <x:c r="C155" s="13" t="str">
        <x:v>컴포넌트 / 설정 / 화면 크기 조정</x:v>
      </x:c>
      <x:c r="D155" s="13" t="n">
        <x:v>735</x:v>
      </x:c>
      <x:c r="E155" s="13" t="str">
        <x:v>목록 확장 및 축소 / 탐색</x:v>
      </x:c>
      <x:c r="F155" s="13" t="str">
        <x:v>UI-059</x:v>
      </x:c>
      <x:c r="G155" s="13" t="str">
        <x:v>마우스·키보드·터치·보조기술의 원문 동작과 초점·열림/선택 상태를 각각 검사 사례로 분해</x:v>
      </x:c>
      <x:c r="H155" s="13" t="str">
        <x:v>원문 재검토·시험사례 분해 필요</x:v>
      </x:c>
      <x:c r="I155" s="13" t="str">
        <x:v>페이지 색인이다. 독립 검사항목 개수나 적용 완료 수가 아니다.</x:v>
      </x:c>
    </x:row>
    <x:row r="156" ht="37.5" customHeight="1">
      <x:c r="A156" s="14" t="str">
        <x:v>KRDS-INT-P0736</x:v>
      </x:c>
      <x:c r="B156" s="14" t="str">
        <x:v>KRDS-SEC-060</x:v>
      </x:c>
      <x:c r="C156" s="14" t="str">
        <x:v>컴포넌트 / 설정 / 화면 크기 조정</x:v>
      </x:c>
      <x:c r="D156" s="14" t="n">
        <x:v>736</x:v>
      </x:c>
      <x:c r="E156" s="14" t="str">
        <x:v>옵션 선택 / 컨테이너에 초점이 있고 옵션 목록이 축소된 경우, 이전/다음 옵션으로 / 방향키 ↑, ↓</x:v>
      </x:c>
      <x:c r="F156" s="14" t="str">
        <x:v>UI-059</x:v>
      </x:c>
      <x:c r="G156" s="14" t="str">
        <x:v>마우스·키보드·터치·보조기술의 원문 동작과 초점·열림/선택 상태를 각각 검사 사례로 분해</x:v>
      </x:c>
      <x:c r="H156" s="14" t="str">
        <x:v>원문 재검토·시험사례 분해 필요</x:v>
      </x:c>
      <x:c r="I156" s="14" t="str">
        <x:v>페이지 색인이다. 독립 검사항목 개수나 적용 완료 수가 아니다.</x:v>
      </x:c>
    </x:row>
    <x:row r="157" ht="64.5" customHeight="1">
      <x:c r="A157" s="13" t="str">
        <x:v>KRDS-INT-P0796</x:v>
      </x:c>
      <x:c r="B157" s="13" t="str">
        <x:v>KRDS-SEC-065</x:v>
      </x:c>
      <x:c r="C157" s="13" t="str">
        <x:v>기본 패턴 / 패턴 / 동의</x:v>
      </x:c>
      <x:c r="D157" s="13" t="n">
        <x:v>796</x:v>
      </x:c>
      <x:c r="E157" s="13" t="str">
        <x:v>목록 탐색 / 목록 내 다음 인터페이스 요소로 키보드 초점이 이동하고 초점을 받은 / 목록 내 이전 인터페이스 요소로 키보드 초점이 이동하고 초점을 받은 / 동의 옵션 선택 / 일괄 선택 / 일괄 선택 체크박스를 Click 하여 값이 선택되면 모든 동의 옵션의 '동의함'</x:v>
      </x:c>
      <x:c r="F157" s="13" t="str">
        <x:v>UI-064</x:v>
      </x:c>
      <x:c r="G157" s="13" t="str">
        <x:v>마우스·키보드·터치·보조기술의 원문 동작과 초점·열림/선택 상태를 각각 검사 사례로 분해</x:v>
      </x:c>
      <x:c r="H157" s="13" t="str">
        <x:v>원문 재검토·시험사례 분해 필요</x:v>
      </x:c>
      <x:c r="I157" s="13" t="str">
        <x:v>페이지 색인이다. 독립 검사항목 개수나 적용 완료 수가 아니다.</x:v>
      </x:c>
    </x:row>
    <x:row r="158" ht="37.5" customHeight="1">
      <x:c r="A158" s="14" t="str">
        <x:v>KRDS-INT-P0797</x:v>
      </x:c>
      <x:c r="B158" s="14" t="str">
        <x:v>KRDS-SEC-065</x:v>
      </x:c>
      <x:c r="C158" s="14" t="str">
        <x:v>기본 패턴 / 패턴 / 동의</x:v>
      </x:c>
      <x:c r="D158" s="14" t="n">
        <x:v>797</x:v>
      </x:c>
      <x:c r="E158" s="14" t="str">
        <x:v>개별 선택</x:v>
      </x:c>
      <x:c r="F158" s="14" t="str">
        <x:v>UI-064</x:v>
      </x:c>
      <x:c r="G158" s="14" t="str">
        <x:v>마우스·키보드·터치·보조기술의 원문 동작과 초점·열림/선택 상태를 각각 검사 사례로 분해</x:v>
      </x:c>
      <x:c r="H158" s="14" t="str">
        <x:v>원문 재검토·시험사례 분해 필요</x:v>
      </x:c>
      <x:c r="I158" s="14" t="str">
        <x:v>페이지 색인이다. 독립 검사항목 개수나 적용 완료 수가 아니다.</x:v>
      </x:c>
    </x:row>
    <x:row r="159" ht="78" customHeight="1">
      <x:c r="A159" s="13" t="str">
        <x:v>KRDS-INT-P0811</x:v>
      </x:c>
      <x:c r="B159" s="13" t="str">
        <x:v>KRDS-SEC-067</x:v>
      </x:c>
      <x:c r="C159" s="13" t="str">
        <x:v>기본 패턴 / 패턴 / 사용자 피드백</x:v>
      </x:c>
      <x:c r="D159" s="13" t="n">
        <x:v>811</x:v>
      </x:c>
      <x:c r="E159" s="13" t="str">
        <x:v>평가 선택 / 감정 표현이나 별점 버튼을 Click 하였을 때, / 맞춤 영역이 사용되는 경우 사용자 피드백 컨테이너 높이가 확장되면서 / 맞춤 영역이 없는 경우 평가가 제출되면서 헤딩과 설명은 사라지고 그 / 감정 표현이나 별점 버튼이 초점을 가진 상태에서 Enter 또는 Space 키에 / 대해 Keyup 이벤트가 발생하였을 때,</x:v>
      </x:c>
      <x:c r="F159" s="13" t="str">
        <x:v>UI-066</x:v>
      </x:c>
      <x:c r="G159" s="13" t="str">
        <x:v>마우스·키보드·터치·보조기술의 원문 동작과 초점·열림/선택 상태를 각각 검사 사례로 분해</x:v>
      </x:c>
      <x:c r="H159" s="13" t="str">
        <x:v>원문 재검토·시험사례 분해 필요</x:v>
      </x:c>
      <x:c r="I159" s="13" t="str">
        <x:v>페이지 색인이다. 독립 검사항목 개수나 적용 완료 수가 아니다.</x:v>
      </x:c>
    </x:row>
    <x:row r="160" ht="51" customHeight="1">
      <x:c r="A160" s="14" t="str">
        <x:v>KRDS-INT-P0812</x:v>
      </x:c>
      <x:c r="B160" s="14" t="str">
        <x:v>KRDS-SEC-067</x:v>
      </x:c>
      <x:c r="C160" s="14" t="str">
        <x:v>기본 패턴 / 패턴 / 사용자 피드백</x:v>
      </x:c>
      <x:c r="D160" s="14" t="n">
        <x:v>812</x:v>
      </x:c>
      <x:c r="E160" s="14" t="str">
        <x:v>최종 응답 제출 / 맞춤 영역이 존재하는 경우, 취소 또는 평가 완료 버튼을 Click 하면 평가 / Click / 맞춤 영역이 존재하는 경우, 취소 또는 평가 완료 버튼이 초점을 가진</x:v>
      </x:c>
      <x:c r="F160" s="14" t="str">
        <x:v>UI-066</x:v>
      </x:c>
      <x:c r="G160" s="14" t="str">
        <x:v>마우스·키보드·터치·보조기술의 원문 동작과 초점·열림/선택 상태를 각각 검사 사례로 분해</x:v>
      </x:c>
      <x:c r="H160" s="14" t="str">
        <x:v>원문 재검토·시험사례 분해 필요</x:v>
      </x:c>
      <x:c r="I160" s="14" t="str">
        <x:v>페이지 색인이다. 독립 검사항목 개수나 적용 완료 수가 아니다.</x:v>
      </x:c>
    </x:row>
    <x:row r="161" ht="37.5" customHeight="1">
      <x:c r="A161" s="13" t="str">
        <x:v>KRDS-INT-P0850</x:v>
      </x:c>
      <x:c r="B161" s="13" t="str">
        <x:v>KRDS-SEC-070</x:v>
      </x:c>
      <x:c r="C161" s="13" t="str">
        <x:v>기본 패턴 / 패턴 / 입력폼</x:v>
      </x:c>
      <x:c r="D161" s="13" t="n">
        <x:v>850</x:v>
      </x:c>
      <x:c r="E161" s="13" t="str"/>
      <x:c r="F161" s="13" t="str">
        <x:v>UI-069, UI-117, UI-118, UI-119</x:v>
      </x:c>
      <x:c r="G161" s="13" t="str">
        <x:v>마우스·키보드·터치·보조기술의 원문 동작과 초점·열림/선택 상태를 각각 검사 사례로 분해</x:v>
      </x:c>
      <x:c r="H161" s="13" t="str">
        <x:v>원문 재검토·시험사례 분해 필요</x:v>
      </x:c>
      <x:c r="I161" s="13" t="str">
        <x:v>페이지 색인이다. 독립 검사항목 개수나 적용 완료 수가 아니다.</x:v>
      </x:c>
    </x:row>
    <x:row r="162" ht="78" customHeight="1">
      <x:c r="A162" s="14" t="str">
        <x:v>KRDS-INT-P0851</x:v>
      </x:c>
      <x:c r="B162" s="14" t="str">
        <x:v>KRDS-SEC-070</x:v>
      </x:c>
      <x:c r="C162" s="14" t="str">
        <x:v>기본 패턴 / 패턴 / 입력폼</x:v>
      </x:c>
      <x:c r="D162" s="14" t="n">
        <x:v>851</x:v>
      </x:c>
      <x:c r="E162" s="14" t="str">
        <x:v>클라이언트 측 검증 / 다른 사용자의 데이터와 중복될 수 없는 아이디, 보안을 위해 작성 규칙이 / 정해진 비밀번호 등 사용자가 텍스트 데이터를 입력하는 동안 실시간으로 / Keyup / 데이터의 적합성을 확인하여 수정해야 할 필요가 있는 경우, 사용자가 / 날짜와 같이 전체 값이 입력되기 전까지 적합성을 판단하기 어려운 경우,</x:v>
      </x:c>
      <x:c r="F162" s="14" t="str">
        <x:v>UI-069, UI-117, UI-118, UI-119</x:v>
      </x:c>
      <x:c r="G162" s="14" t="str">
        <x:v>마우스·키보드·터치·보조기술의 원문 동작과 초점·열림/선택 상태를 각각 검사 사례로 분해</x:v>
      </x:c>
      <x:c r="H162" s="14" t="str">
        <x:v>원문 재검토·시험사례 분해 필요</x:v>
      </x:c>
      <x:c r="I162" s="14" t="str">
        <x:v>페이지 색인이다. 독립 검사항목 개수나 적용 완료 수가 아니다.</x:v>
      </x:c>
    </x:row>
    <x:row r="163" ht="51" customHeight="1">
      <x:c r="A163" s="13" t="str">
        <x:v>KRDS-INT-P0877</x:v>
      </x:c>
      <x:c r="B163" s="13" t="str">
        <x:v>KRDS-SEC-072</x:v>
      </x:c>
      <x:c r="C163" s="13" t="str">
        <x:v>기본 패턴 / 패턴 / 필터링·정렬</x:v>
      </x:c>
      <x:c r="D163" s="13" t="n">
        <x:v>877</x:v>
      </x:c>
      <x:c r="E163" s="13" t="str">
        <x:v>즉각 표시 / 일괄 표시 / 인라인 정렬 / 정렬 컨트롤 탐색 / 정렬 순서 변경 / 정렬 버튼이 초점을 가진 상태에서 실행했을 때 오름차순, 내림차순 정렬</x:v>
      </x:c>
      <x:c r="F163" s="13" t="str">
        <x:v>UI-071</x:v>
      </x:c>
      <x:c r="G163" s="13" t="str">
        <x:v>마우스·키보드·터치·보조기술의 원문 동작과 초점·열림/선택 상태를 각각 검사 사례로 분해</x:v>
      </x:c>
      <x:c r="H163" s="13" t="str">
        <x:v>원문 재검토·시험사례 분해 필요</x:v>
      </x:c>
      <x:c r="I163" s="13" t="str">
        <x:v>페이지 색인이다. 독립 검사항목 개수나 적용 완료 수가 아니다.</x:v>
      </x:c>
    </x:row>
    <x:row r="164" ht="78" customHeight="1">
      <x:c r="A164" s="14" t="str">
        <x:v>KRDS-INT-P0926</x:v>
      </x:c>
      <x:c r="B164" s="14" t="str">
        <x:v>KRDS-SEC-078</x:v>
      </x:c>
      <x:c r="C164" s="14" t="str">
        <x:v>서비스 패턴 / 검색 / 검색어 입력</x:v>
      </x:c>
      <x:c r="D164" s="14" t="n">
        <x:v>926</x:v>
      </x:c>
      <x:c r="E164" s="14" t="str">
        <x:v>검색어 입력 필드 / 검색어 입력 필드가 키보드 초점을 가진 상태이고 아무런 값이 입력되지 / Focusin / 검색어 입력 필드가 키보드 초점을 가진 상태이고 Keyup 이벤트가 / 검색어 입력 필드가 키보드 초점을 가진 상태에서 Enter 키를 누르면 검색이 / 검색어 입력 필드가 키보드 초점을 가진 상태이면서 검색어 제안 목록이</x:v>
      </x:c>
      <x:c r="F164" s="14" t="str">
        <x:v>UI-075</x:v>
      </x:c>
      <x:c r="G164" s="14" t="str">
        <x:v>마우스·키보드·터치·보조기술의 원문 동작과 초점·열림/선택 상태를 각각 검사 사례로 분해</x:v>
      </x:c>
      <x:c r="H164" s="14" t="str">
        <x:v>원문 재검토·시험사례 분해 필요</x:v>
      </x:c>
      <x:c r="I164" s="14" t="str">
        <x:v>페이지 색인이다. 독립 검사항목 개수나 적용 완료 수가 아니다.</x:v>
      </x:c>
    </x:row>
    <x:row r="165" ht="64.5" customHeight="1">
      <x:c r="A165" s="13" t="str">
        <x:v>KRDS-INT-P0927</x:v>
      </x:c>
      <x:c r="B165" s="13" t="str">
        <x:v>KRDS-SEC-078</x:v>
      </x:c>
      <x:c r="C165" s="13" t="str">
        <x:v>서비스 패턴 / 검색 / 검색어 입력</x:v>
      </x:c>
      <x:c r="D165" s="13" t="n">
        <x:v>927</x:v>
      </x:c>
      <x:c r="E165" s="13" t="str">
        <x:v>실시간 검색어 입력 도움 / 검색어 제안 목록을 순회한다. 목록 가장 첫 번째 항목에서 방향키 ↑를 / 검색어 제안 목록에서 특정 항목을 Click 하면 선택된 항목으로 검색 동작이 / Click / 실시간 검색어 입력 도움창이 활성화된 상태에서 Esc 키를 누르면 창이 / Esc</x:v>
      </x:c>
      <x:c r="F165" s="13" t="str">
        <x:v>UI-075</x:v>
      </x:c>
      <x:c r="G165" s="13" t="str">
        <x:v>마우스·키보드·터치·보조기술의 원문 동작과 초점·열림/선택 상태를 각각 검사 사례로 분해</x:v>
      </x:c>
      <x:c r="H165" s="13" t="str">
        <x:v>원문 재검토·시험사례 분해 필요</x:v>
      </x:c>
      <x:c r="I165" s="13" t="str">
        <x:v>페이지 색인이다. 독립 검사항목 개수나 적용 완료 수가 아니다.</x:v>
      </x:c>
    </x:row>
    <x:row r="166" ht="37.5" customHeight="1">
      <x:c r="A166" s="14" t="str">
        <x:v>KRDS-INT-P1025</x:v>
      </x:c>
      <x:c r="B166" s="14" t="str">
        <x:v>KRDS-SEC-088</x:v>
      </x:c>
      <x:c r="C166" s="14" t="str">
        <x:v>서비스 패턴 / 로그인 / 로그인 정보 입력</x:v>
      </x:c>
      <x:c r="D166" s="14" t="n">
        <x:v>1025</x:v>
      </x:c>
      <x:c r="E166" s="14" t="str"/>
      <x:c r="F166" s="14" t="str">
        <x:v>UI-084, UI-122</x:v>
      </x:c>
      <x:c r="G166" s="14" t="str">
        <x:v>마우스·키보드·터치·보조기술의 원문 동작과 초점·열림/선택 상태를 각각 검사 사례로 분해</x:v>
      </x:c>
      <x:c r="H166" s="14" t="str">
        <x:v>원문 재검토·시험사례 분해 필요</x:v>
      </x:c>
      <x:c r="I166" s="14" t="str">
        <x:v>페이지 색인이다. 독립 검사항목 개수나 적용 완료 수가 아니다.</x:v>
      </x:c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</x:row>
  </x:sheetData>
  <x:pageMargins left="0.7" right="0.7" top="0.75" bottom="0.75" header="0.3" footer="0.3"/>
  <x:tableParts count="2">
    <x:tablePart xmlns:r="http://schemas.openxmlformats.org/officeDocument/2006/relationships" r:id="R980a1e36a8bb4fb3"/>
    <x:tablePart xmlns:r="http://schemas.openxmlformats.org/officeDocument/2006/relationships" r:id="R225e52e4680f47b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.889999389648438" hidden="0" customWidth="1"/>
    <x:col min="2" max="2" width="28.889999389648438" hidden="0" customWidth="1"/>
    <x:col min="3" max="3" width="72.22000122070312" hidden="0" customWidth="1"/>
    <x:col min="4" max="4" width="72.22000122070312" hidden="0" customWidth="1"/>
    <x:col min="5" max="5" width="22.219999313354492" hidden="0" customWidth="1"/>
    <x:col min="6" max="6" width="33.33000183105469" hidden="0" customWidth="1"/>
    <x:col min="7" max="7" width="20" hidden="0" customWidth="1"/>
    <x:col min="8" max="8" width="15.56000041961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출처·개정·원문 확인사항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외부 원문, 회사 제안, 법적 적용 판단, 구현 증거를 구분합니다.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9" t="str">
        <x:v>출처 ID</x:v>
      </x:c>
      <x:c r="B6" s="10" t="str">
        <x:v>출처 / 문서</x:v>
      </x:c>
      <x:c r="C6" s="10" t="str">
        <x:v>판본 / 기준일</x:v>
      </x:c>
      <x:c r="D6" s="10" t="str">
        <x:v>근거 성격</x:v>
      </x:c>
      <x:c r="E6" s="10" t="str">
        <x:v>범위</x:v>
      </x:c>
      <x:c r="F6" s="10" t="str">
        <x:v>접근 상태</x:v>
      </x:c>
      <x:c r="G6" s="10" t="str">
        <x:v>URL / 첨부파일</x:v>
      </x:c>
      <x:c r="H6" s="11" t="str">
        <x:v>확인일</x:v>
      </x:c>
    </x:row>
    <x:row r="7" ht="78" customHeight="1">
      <x:c r="A7" s="13" t="str">
        <x:v>SRC-001</x:v>
      </x:c>
      <x:c r="B7" s="13" t="str">
        <x:v>디지털 정부서비스 UI/UX 가이드라인</x:v>
      </x:c>
      <x:c r="C7" s="13" t="str">
        <x:v>2025.08</x:v>
      </x:c>
      <x:c r="D7" s="13" t="str">
        <x:v>사용자 제공 원문</x:v>
      </x:c>
      <x:c r="E7" s="13" t="str">
        <x:v>번호항목·구조·상호작용 색인 및 회사 채택 통제</x:v>
      </x:c>
      <x:c r="F7" s="13" t="str">
        <x:v>확인</x:v>
      </x:c>
      <x:c r="G7" s="13" t="str">
        <x:v>「디지털 정부 UI,UX 가이드라인」 수정본('25.8.).pdf</x:v>
      </x:c>
      <x:c r="H7" s="21" t="d">
        <x:v>2026-10-20T00:00:00.000Z</x:v>
      </x:c>
    </x:row>
    <x:row r="8" ht="78" customHeight="1">
      <x:c r="A8" s="14" t="str">
        <x:v>SRC-002</x:v>
      </x:c>
      <x:c r="B8" s="14" t="str">
        <x:v>디지털 서비스 UIUX 가이드라인 변경 대비표</x:v>
      </x:c>
      <x:c r="C8" s="14" t="str">
        <x:v>2025.08</x:v>
      </x:c>
      <x:c r="D8" s="14" t="str">
        <x:v>사용자 제공 원문</x:v>
      </x:c>
      <x:c r="E8" s="14" t="str">
        <x:v>운영기관·푸터·로그인 3개 개정</x:v>
      </x:c>
      <x:c r="F8" s="14" t="str">
        <x:v>확인</x:v>
      </x:c>
      <x:c r="G8" s="14" t="str">
        <x:v>「디지털 서비스 UIUX 가이드라인」변경 대비표(´25.8).pdf</x:v>
      </x:c>
      <x:c r="H8" s="22" t="d">
        <x:v>2026-10-20T00:00:00.000Z</x:v>
      </x:c>
    </x:row>
    <x:row r="9" ht="78" customHeight="1">
      <x:c r="A9" s="13" t="str">
        <x:v>SRC-003</x:v>
      </x:c>
      <x:c r="B9" s="13" t="str">
        <x:v>회사 기준 초안</x:v>
      </x:c>
      <x:c r="C9" s="13" t="str">
        <x:v>0.1</x:v>
      </x:c>
      <x:c r="D9" s="13" t="str">
        <x:v>사내 제안</x:v>
      </x:c>
      <x:c r="E9" s="13" t="str">
        <x:v>적용성·임계치·샘플·운영·보고 정책</x:v>
      </x:c>
      <x:c r="F9" s="13" t="str">
        <x:v>회사 승인 전</x:v>
      </x:c>
      <x:c r="G9" s="13" t="str"/>
      <x:c r="H9" s="21" t="d">
        <x:v>2026-10-20T00:00:00.000Z</x:v>
      </x:c>
    </x:row>
    <x:row r="10" ht="78" customHeight="1">
      <x:c r="A10" s="14" t="str">
        <x:v>SRC-004</x:v>
      </x:c>
      <x:c r="B10" s="14" t="str">
        <x:v>한국형 웹 콘텐츠 접근성 지침 2.2</x:v>
      </x:c>
      <x:c r="C10" s="14" t="str">
        <x:v>KS X OT0003:2022 / 2022-12-28</x:v>
      </x:c>
      <x:c r="D10" s="14" t="str">
        <x:v>국가표준</x:v>
      </x:c>
      <x:c r="E10" s="14" t="str">
        <x:v>33개 검사 항목 목록</x:v>
      </x:c>
      <x:c r="F10" s="14" t="str">
        <x:v>확인</x:v>
      </x:c>
      <x:c r="G10" s="14" t="str">
        <x:v>https://www.rra.go.kr/ko/reference/kcsList_view.do?nb_seq=5247&amp;nb_type=6</x:v>
      </x:c>
      <x:c r="H10" s="22" t="d">
        <x:v>2026-10-20T00:00:00.000Z</x:v>
      </x:c>
    </x:row>
    <x:row r="11" ht="78" customHeight="1">
      <x:c r="A11" s="13" t="str">
        <x:v>SRC-005</x:v>
      </x:c>
      <x:c r="B11" s="13" t="str">
        <x:v>Web Content Accessibility Guidelines 2.2</x:v>
      </x:c>
      <x:c r="C11" s="13" t="str">
        <x:v>2024-12-12 Recommendation</x:v>
      </x:c>
      <x:c r="D11" s="13" t="str">
        <x:v>W3C 표준</x:v>
      </x:c>
      <x:c r="E11" s="13" t="str">
        <x:v>A 31개와 AA 24개, 총55개</x:v>
      </x:c>
      <x:c r="F11" s="13" t="str">
        <x:v>확인</x:v>
      </x:c>
      <x:c r="G11" s="13" t="str">
        <x:v>https://www.w3.org/TR/WCAG22/</x:v>
      </x:c>
      <x:c r="H11" s="21" t="d">
        <x:v>2026-10-20T00:00:00.000Z</x:v>
      </x:c>
    </x:row>
    <x:row r="12" ht="78" customHeight="1">
      <x:c r="A12" s="14" t="str">
        <x:v>SRC-006</x:v>
      </x:c>
      <x:c r="B12" s="14" t="str">
        <x:v>KWCAG 2.2 공식 원문 DOCX</x:v>
      </x:c>
      <x:c r="C12" s="14" t="str">
        <x:v>2022-12-28</x:v>
      </x:c>
      <x:c r="D12" s="14" t="str">
        <x:v>공식 첨부</x:v>
      </x:c>
      <x:c r="E12" s="14" t="str">
        <x:v>원문 다운로드 링크</x:v>
      </x:c>
      <x:c r="F12" s="14" t="str">
        <x:v>링크 확인 / 웹 도구는 binary 미해석</x:v>
      </x:c>
      <x:c r="G12" s="14" t="str">
        <x:v>https://www.rra.go.kr/FileDownSvl?file_parentseq=5247&amp;file_seq=1&amp;file_type=notice</x:v>
      </x:c>
      <x:c r="H12" s="22" t="d">
        <x:v>2026-10-20T00:00:00.000Z</x:v>
      </x:c>
    </x:row>
    <x:row r="13" ht="78" customHeight="1">
      <x:c r="A13" s="13" t="str">
        <x:v>SRC-007</x:v>
      </x:c>
      <x:c r="B13" s="13" t="str">
        <x:v>NIST SP 800-218 SSDF 1.1 (Final, 2022-02)</x:v>
      </x:c>
      <x:c r="C13" s="13" t="str"/>
      <x:c r="D13" s="13" t="str">
        <x:v>외부 권고를 사내 기준으로 구체화</x:v>
      </x:c>
      <x:c r="E13" s="13" t="str">
        <x:v>선택 항목 참조</x:v>
      </x:c>
      <x:c r="F13" s="13" t="str">
        <x:v>확인</x:v>
      </x:c>
      <x:c r="G13" s="13" t="str">
        <x:v>https://csrc.nist.gov/pubs/sp/800/218/final</x:v>
      </x:c>
      <x:c r="H13" s="21" t="d">
        <x:v>2026-10-20T00:00:00.000Z</x:v>
      </x:c>
    </x:row>
    <x:row r="14" ht="78" customHeight="1">
      <x:c r="A14" s="14" t="str">
        <x:v>SRC-008</x:v>
      </x:c>
      <x:c r="B14" s="14" t="str">
        <x:v>TypeScript TSConfig strict</x:v>
      </x:c>
      <x:c r="C14" s="14" t="str"/>
      <x:c r="D14" s="14" t="str">
        <x:v>언어 공식 기능을 사내 필수화</x:v>
      </x:c>
      <x:c r="E14" s="14" t="str">
        <x:v>선택 항목 참조</x:v>
      </x:c>
      <x:c r="F14" s="14" t="str">
        <x:v>확인</x:v>
      </x:c>
      <x:c r="G14" s="14" t="str">
        <x:v>https://www.typescriptlang.org/tsconfig/strict.html</x:v>
      </x:c>
      <x:c r="H14" s="22" t="d">
        <x:v>2026-10-20T00:00:00.000Z</x:v>
      </x:c>
    </x:row>
    <x:row r="15" ht="78" customHeight="1">
      <x:c r="A15" s="13" t="str">
        <x:v>SRC-009</x:v>
      </x:c>
      <x:c r="B15" s="13" t="str">
        <x:v>OWASP Input Validation Cheat Sheet</x:v>
      </x:c>
      <x:c r="C15" s="13" t="str"/>
      <x:c r="D15" s="13" t="str">
        <x:v>공식 구현 가이드 참조</x:v>
      </x:c>
      <x:c r="E15" s="13" t="str">
        <x:v>선택 항목 참조</x:v>
      </x:c>
      <x:c r="F15" s="13" t="str">
        <x:v>확인</x:v>
      </x:c>
      <x:c r="G15" s="13" t="str">
        <x:v>https://cheatsheetseries.owasp.org/cheatsheets/Input_Validation_Cheat_Sheet.html</x:v>
      </x:c>
      <x:c r="H15" s="21" t="d">
        <x:v>2026-10-20T00:00:00.000Z</x:v>
      </x:c>
    </x:row>
    <x:row r="16" ht="78" customHeight="1">
      <x:c r="A16" s="14" t="str">
        <x:v>SRC-010</x:v>
      </x:c>
      <x:c r="B16" s="14" t="str">
        <x:v>typescript-eslint no-floating-promises</x:v>
      </x:c>
      <x:c r="C16" s="14" t="str"/>
      <x:c r="D16" s="14" t="str">
        <x:v>공식 도구 규칙을 사내 필수화</x:v>
      </x:c>
      <x:c r="E16" s="14" t="str">
        <x:v>선택 항목 참조</x:v>
      </x:c>
      <x:c r="F16" s="14" t="str">
        <x:v>확인</x:v>
      </x:c>
      <x:c r="G16" s="14" t="str">
        <x:v>https://typescript-eslint.io/rules/no-floating-promises/</x:v>
      </x:c>
      <x:c r="H16" s="22" t="d">
        <x:v>2026-10-20T00:00:00.000Z</x:v>
      </x:c>
    </x:row>
    <x:row r="17" ht="78" customHeight="1">
      <x:c r="A17" s="13" t="str">
        <x:v>SRC-011</x:v>
      </x:c>
      <x:c r="B17" s="13" t="str">
        <x:v>Microsoft C# Coding Conventions</x:v>
      </x:c>
      <x:c r="C17" s="13" t="str"/>
      <x:c r="D17" s="13" t="str">
        <x:v>언어 공식 권고를 사내 조정</x:v>
      </x:c>
      <x:c r="E17" s="13" t="str">
        <x:v>선택 항목 참조</x:v>
      </x:c>
      <x:c r="F17" s="13" t="str">
        <x:v>확인</x:v>
      </x:c>
      <x:c r="G17" s="13" t="str">
        <x:v>https://learn.microsoft.com/ko-kr/dotnet/csharp/fundamentals/coding-style/coding-conventions</x:v>
      </x:c>
      <x:c r="H17" s="21" t="d">
        <x:v>2026-10-20T00:00:00.000Z</x:v>
      </x:c>
    </x:row>
    <x:row r="18" ht="78" customHeight="1">
      <x:c r="A18" s="14" t="str">
        <x:v>SRC-012</x:v>
      </x:c>
      <x:c r="B18" s="14" t="str">
        <x:v>OWASP ASVS 5.0.0 (2025-05)</x:v>
      </x:c>
      <x:c r="C18" s="14" t="str"/>
      <x:c r="D18" s="14" t="str">
        <x:v>외부 검증 표준 참조; 아래는 사내 적용 규칙</x:v>
      </x:c>
      <x:c r="E18" s="14" t="str">
        <x:v>선택 항목 참조</x:v>
      </x:c>
      <x:c r="F18" s="14" t="str">
        <x:v>확인</x:v>
      </x:c>
      <x:c r="G18" s="14" t="str">
        <x:v>https://owasp.org/projects/asvs</x:v>
      </x:c>
      <x:c r="H18" s="22" t="d">
        <x:v>2026-10-20T00:00:00.000Z</x:v>
      </x:c>
    </x:row>
    <x:row r="19" ht="78" customHeight="1">
      <x:c r="A19" s="13" t="str">
        <x:v>SRC-013</x:v>
      </x:c>
      <x:c r="B19" s="13" t="str">
        <x:v>행정안전부 소프트웨어 개발보안 가이드 (2021 수정배포)</x:v>
      </x:c>
      <x:c r="C19" s="13" t="str"/>
      <x:c r="D19" s="13" t="str">
        <x:v>공공 가이드 참조; 계약별 적용성 확인</x:v>
      </x:c>
      <x:c r="E19" s="13" t="str">
        <x:v>선택 항목 참조</x:v>
      </x:c>
      <x:c r="F19" s="13" t="str">
        <x:v>확인</x:v>
      </x:c>
      <x:c r="G19" s="13" t="str">
        <x:v>https://www.mois.go.kr/frt/bbs/type001/commonSelectBoardArticle.do?bbsId=BBSMSTR_000000000015&amp;nttId=88956</x:v>
      </x:c>
      <x:c r="H19" s="21" t="d">
        <x:v>2026-10-20T00:00:00.000Z</x:v>
      </x:c>
    </x:row>
    <x:row r="20" ht="78" customHeight="1">
      <x:c r="A20" s="14" t="str">
        <x:v>SRC-014</x:v>
      </x:c>
      <x:c r="B20" s="14" t="str">
        <x:v>OWASP DotNet Security Cheat Sheet</x:v>
      </x:c>
      <x:c r="C20" s="14" t="str"/>
      <x:c r="D20" s="14" t="str">
        <x:v>공식 구현 가이드 참조</x:v>
      </x:c>
      <x:c r="E20" s="14" t="str">
        <x:v>선택 항목 참조</x:v>
      </x:c>
      <x:c r="F20" s="14" t="str">
        <x:v>확인</x:v>
      </x:c>
      <x:c r="G20" s="14" t="str">
        <x:v>https://cheatsheetseries.owasp.org/cheatsheets/DotNet_Security_Cheat_Sheet.html</x:v>
      </x:c>
      <x:c r="H20" s="22" t="d">
        <x:v>2026-10-20T00:00:00.000Z</x:v>
      </x:c>
    </x:row>
    <x:row r="21" ht="78" customHeight="1">
      <x:c r="A21" s="13" t="str">
        <x:v>SRC-015</x:v>
      </x:c>
      <x:c r="B21" s="13" t="str">
        <x:v>OWASP Authorization Cheat Sheet</x:v>
      </x:c>
      <x:c r="C21" s="13" t="str"/>
      <x:c r="D21" s="13" t="str">
        <x:v>공식 구현 가이드 참조</x:v>
      </x:c>
      <x:c r="E21" s="13" t="str">
        <x:v>선택 항목 참조</x:v>
      </x:c>
      <x:c r="F21" s="13" t="str">
        <x:v>확인</x:v>
      </x:c>
      <x:c r="G21" s="13" t="str">
        <x:v>https://cheatsheetseries.owasp.org/cheatsheets/Authorization_Cheat_Sheet.html</x:v>
      </x:c>
      <x:c r="H21" s="21" t="d">
        <x:v>2026-10-20T00:00:00.000Z</x:v>
      </x:c>
    </x:row>
    <x:row r="22" ht="78" customHeight="1">
      <x:c r="A22" s="14" t="str">
        <x:v>SRC-016</x:v>
      </x:c>
      <x:c r="B22" s="14" t="str">
        <x:v>OWASP File Upload Cheat Sheet</x:v>
      </x:c>
      <x:c r="C22" s="14" t="str"/>
      <x:c r="D22" s="14" t="str">
        <x:v>공식 구현 가이드 참조</x:v>
      </x:c>
      <x:c r="E22" s="14" t="str">
        <x:v>선택 항목 참조</x:v>
      </x:c>
      <x:c r="F22" s="14" t="str">
        <x:v>확인</x:v>
      </x:c>
      <x:c r="G22" s="14" t="str">
        <x:v>https://cheatsheetseries.owasp.org/cheatsheets/File_Upload_Cheat_Sheet.html</x:v>
      </x:c>
      <x:c r="H22" s="22" t="d">
        <x:v>2026-10-20T00:00:00.000Z</x:v>
      </x:c>
    </x:row>
    <x:row r="23" ht="78" customHeight="1">
      <x:c r="A23" s="13" t="str">
        <x:v>SRC-017</x:v>
      </x:c>
      <x:c r="B23" s="13" t="str">
        <x:v>OWASP Logging Cheat Sheet</x:v>
      </x:c>
      <x:c r="C23" s="13" t="str"/>
      <x:c r="D23" s="13" t="str">
        <x:v>공식 구현 가이드 참조</x:v>
      </x:c>
      <x:c r="E23" s="13" t="str">
        <x:v>선택 항목 참조</x:v>
      </x:c>
      <x:c r="F23" s="13" t="str">
        <x:v>확인</x:v>
      </x:c>
      <x:c r="G23" s="13" t="str">
        <x:v>https://cheatsheetseries.owasp.org/cheatsheets/Logging_Cheat_Sheet.html</x:v>
      </x:c>
      <x:c r="H23" s="21" t="d">
        <x:v>2026-10-20T00:00:00.000Z</x:v>
      </x:c>
    </x:row>
    <x:row r="24" ht="78" customHeight="1">
      <x:c r="A24" s="14" t="str">
        <x:v>SRC-018</x:v>
      </x:c>
      <x:c r="B24" s="14" t="str">
        <x:v>OWASP CSV Injection</x:v>
      </x:c>
      <x:c r="C24" s="14" t="str"/>
      <x:c r="D24" s="14" t="str">
        <x:v>공식 취약점 설명 참조</x:v>
      </x:c>
      <x:c r="E24" s="14" t="str">
        <x:v>선택 항목 참조</x:v>
      </x:c>
      <x:c r="F24" s="14" t="str">
        <x:v>확인</x:v>
      </x:c>
      <x:c r="G24" s="14" t="str">
        <x:v>https://community.owasp.org/attacks/CSV_Injection</x:v>
      </x:c>
      <x:c r="H24" s="22" t="d">
        <x:v>2026-10-20T00:00:00.000Z</x:v>
      </x:c>
    </x:row>
    <x:row r="25" ht="78" customHeight="1">
      <x:c r="A25" s="13" t="str">
        <x:v>SRC-019</x:v>
      </x:c>
      <x:c r="B25" s="13" t="str">
        <x:v>포용적 UX 참고: 실제 사용자 참여</x:v>
      </x:c>
      <x:c r="C25" s="13" t="str"/>
      <x:c r="D25" s="13" t="str">
        <x:v>보완 지침 / 회사 목표</x:v>
      </x:c>
      <x:c r="E25" s="13" t="str">
        <x:v>해당 통제의 참고 근거</x:v>
      </x:c>
      <x:c r="F25" s="13" t="str">
        <x:v>확인</x:v>
      </x:c>
      <x:c r="G25" s="13" t="str">
        <x:v>https://www.w3.org/WAI/test-evaluate/involving-users/</x:v>
      </x:c>
      <x:c r="H25" s="21" t="d">
        <x:v>2026-10-20T00:00:00.000Z</x:v>
      </x:c>
    </x:row>
    <x:row r="26" ht="78" customHeight="1">
      <x:c r="A26" s="14" t="str">
        <x:v>SRC-020</x:v>
      </x:c>
      <x:c r="B26" s="14" t="str">
        <x:v>포용적 UX 참고: 개인 설정 존중</x:v>
      </x:c>
      <x:c r="C26" s="14" t="str"/>
      <x:c r="D26" s="14" t="str">
        <x:v>보완 지침 / 회사 목표</x:v>
      </x:c>
      <x:c r="E26" s="14" t="str">
        <x:v>해당 통제의 참고 근거</x:v>
      </x:c>
      <x:c r="F26" s="14" t="str">
        <x:v>확인</x:v>
      </x:c>
      <x:c r="G26" s="14" t="str">
        <x:v>https://www.w3.org/WAI/people-use-web/</x:v>
      </x:c>
      <x:c r="H26" s="22" t="d">
        <x:v>2026-10-20T00:00:00.000Z</x:v>
      </x:c>
    </x:row>
    <x:row r="27" ht="78" customHeight="1">
      <x:c r="A27" s="13" t="str">
        <x:v>SRC-021</x:v>
      </x:c>
      <x:c r="B27" s="13" t="str">
        <x:v>포용적 UX 참고: 쉬운 한국어</x:v>
      </x:c>
      <x:c r="C27" s="13" t="str"/>
      <x:c r="D27" s="13" t="str">
        <x:v>보완 지침 / 회사 목표</x:v>
      </x:c>
      <x:c r="E27" s="13" t="str">
        <x:v>해당 통제의 참고 근거</x:v>
      </x:c>
      <x:c r="F27" s="13" t="str">
        <x:v>확인</x:v>
      </x:c>
      <x:c r="G27" s="13" t="str">
        <x:v>https://www.w3.org/TR/coga-usable/</x:v>
      </x:c>
      <x:c r="H27" s="21" t="d">
        <x:v>2026-10-20T00:00:00.000Z</x:v>
      </x:c>
    </x:row>
    <x:row r="28" ht="78" customHeight="1">
      <x:c r="A28" s="14" t="str">
        <x:v>SRC-022</x:v>
      </x:c>
      <x:c r="B28" s="14" t="str">
        <x:v>포용적 UX 참고: 회사 터치 목표</x:v>
      </x:c>
      <x:c r="C28" s="14" t="str"/>
      <x:c r="D28" s="14" t="str">
        <x:v>보완 지침 / 회사 목표</x:v>
      </x:c>
      <x:c r="E28" s="14" t="str">
        <x:v>해당 통제의 참고 근거</x:v>
      </x:c>
      <x:c r="F28" s="14" t="str">
        <x:v>확인</x:v>
      </x:c>
      <x:c r="G28" s="14" t="str">
        <x:v>https://www.w3.org/WAI/WCAG22/Understanding/target-size-enhanced.html</x:v>
      </x:c>
      <x:c r="H28" s="22" t="d">
        <x:v>2026-10-20T00:00:00.000Z</x:v>
      </x:c>
    </x:row>
    <x:row r="29" ht="78" customHeight="1">
      <x:c r="A29" s="13" t="str">
        <x:v>SRC-023</x:v>
      </x:c>
      <x:c r="B29" s="13" t="str">
        <x:v>포용적 UX 참고: 상태 다중 표현</x:v>
      </x:c>
      <x:c r="C29" s="13" t="str"/>
      <x:c r="D29" s="13" t="str">
        <x:v>보완 지침 / 회사 목표</x:v>
      </x:c>
      <x:c r="E29" s="13" t="str">
        <x:v>해당 통제의 참고 근거</x:v>
      </x:c>
      <x:c r="F29" s="13" t="str">
        <x:v>확인</x:v>
      </x:c>
      <x:c r="G29" s="13" t="str">
        <x:v>https://www.w3.org/WAI/WCAG22/Understanding/status-messages.html</x:v>
      </x:c>
      <x:c r="H29" s="21" t="d">
        <x:v>2026-10-20T00:00:00.000Z</x:v>
      </x:c>
    </x:row>
    <x:row r="30" ht="78" customHeight="1">
      <x:c r="A30" s="14" t="str">
        <x:v>SRC-024</x:v>
      </x:c>
      <x:c r="B30" s="14" t="str">
        <x:v>포용적 UX 참고: 서비스 내 접근성</x:v>
      </x:c>
      <x:c r="C30" s="14" t="str"/>
      <x:c r="D30" s="14" t="str">
        <x:v>보완 지침 / 회사 목표</x:v>
      </x:c>
      <x:c r="E30" s="14" t="str">
        <x:v>해당 통제의 참고 근거</x:v>
      </x:c>
      <x:c r="F30" s="14" t="str">
        <x:v>확인</x:v>
      </x:c>
      <x:c r="G30" s="14" t="str">
        <x:v>https://www.w3.org/WAI/planning/</x:v>
      </x:c>
      <x:c r="H30" s="22" t="d">
        <x:v>2026-10-20T00:00:00.000Z</x:v>
      </x:c>
    </x:row>
    <x:row r="31" ht="78" customHeight="1">
      <x:c r="A31" s="13" t="str">
        <x:v>SRC-025</x:v>
      </x:c>
      <x:c r="B31" s="13" t="str">
        <x:v>포용적 UX 참고: 접근 가능한 첨부</x:v>
      </x:c>
      <x:c r="C31" s="13" t="str"/>
      <x:c r="D31" s="13" t="str">
        <x:v>보완 지침 / 회사 목표</x:v>
      </x:c>
      <x:c r="E31" s="13" t="str">
        <x:v>해당 통제의 참고 근거</x:v>
      </x:c>
      <x:c r="F31" s="13" t="str">
        <x:v>확인</x:v>
      </x:c>
      <x:c r="G31" s="13" t="str">
        <x:v>https://www.w3.org/WAI/WCAG22/Understanding/dragging-movements.html</x:v>
      </x:c>
      <x:c r="H31" s="21" t="d">
        <x:v>2026-10-20T00:00:00.000Z</x:v>
      </x:c>
    </x:row>
    <x:row r="32" ht="78" customHeight="1">
      <x:c r="A32" s="14" t="str">
        <x:v>SRC-026</x:v>
      </x:c>
      <x:c r="B32" s="14" t="str">
        <x:v>포용적 UX 참고: 표와 차트 대안</x:v>
      </x:c>
      <x:c r="C32" s="14" t="str"/>
      <x:c r="D32" s="14" t="str">
        <x:v>보완 지침 / 회사 목표</x:v>
      </x:c>
      <x:c r="E32" s="14" t="str">
        <x:v>해당 통제의 참고 근거</x:v>
      </x:c>
      <x:c r="F32" s="14" t="str">
        <x:v>확인</x:v>
      </x:c>
      <x:c r="G32" s="14" t="str">
        <x:v>https://www.w3.org/WAI/tutorials/images/complex/</x:v>
      </x:c>
      <x:c r="H32" s="22" t="d">
        <x:v>2026-10-20T00:00:00.000Z</x:v>
      </x:c>
    </x:row>
    <x:row r="33" ht="78" customHeight="1">
      <x:c r="A33" s="13" t="str">
        <x:v>SRC-027</x:v>
      </x:c>
      <x:c r="B33" s="13" t="str">
        <x:v>포용적 UX 참고: 설정 개인정보 최소화</x:v>
      </x:c>
      <x:c r="C33" s="13" t="str"/>
      <x:c r="D33" s="13" t="str">
        <x:v>보완 지침 / 회사 목표</x:v>
      </x:c>
      <x:c r="E33" s="13" t="str">
        <x:v>해당 통제의 참고 근거 / 회사 정책 제안</x:v>
      </x:c>
      <x:c r="F33" s="13" t="str">
        <x:v>확인</x:v>
      </x:c>
      <x:c r="G33" s="13" t="str"/>
      <x:c r="H33" s="21" t="d">
        <x:v>2026-10-20T00:00:00.000Z</x:v>
      </x:c>
    </x:row>
    <x:row r="34" ht="78" customHeight="1">
      <x:c r="A34" s="14" t="str">
        <x:v>SRC-028</x:v>
      </x:c>
      <x:c r="B34" s="14" t="str">
        <x:v>포용적 UX 참고: 범위와 결과 공개</x:v>
      </x:c>
      <x:c r="C34" s="14" t="str"/>
      <x:c r="D34" s="14" t="str">
        <x:v>보완 지침 / 회사 목표</x:v>
      </x:c>
      <x:c r="E34" s="14" t="str">
        <x:v>해당 통제의 참고 근거</x:v>
      </x:c>
      <x:c r="F34" s="14" t="str">
        <x:v>확인</x:v>
      </x:c>
      <x:c r="G34" s="14" t="str">
        <x:v>https://www.w3.org/WAI/planning/statements/</x:v>
      </x:c>
      <x:c r="H34" s="22" t="d">
        <x:v>2026-10-20T00:00:00.000Z</x:v>
      </x:c>
    </x:row>
    <x:row r="35" ht="78" customHeight="1">
      <x:c r="A35" s="13" t="str">
        <x:v>SRC-029</x:v>
      </x:c>
      <x:c r="B35" s="13" t="str">
        <x:v>슈어소프트 STATIC 공식 제품문서</x:v>
      </x:c>
      <x:c r="C35" s="13" t="str"/>
      <x:c r="D35" s="13" t="str">
        <x:v>공식 참고</x:v>
      </x:c>
      <x:c r="E35" s="13" t="str">
        <x:v>MISRA/CERT/AUTOSAR/CWE, 언어/제품별 범위, 정적분석이 동적검증을 대체하지 않음</x:v>
      </x:c>
      <x:c r="F35" s="13" t="str">
        <x:v>공식 공개자료 확인</x:v>
      </x:c>
      <x:c r="G35" s="13" t="str">
        <x:v>https://apps.suresofttech.com/static/</x:v>
      </x:c>
      <x:c r="H35" s="21" t="d">
        <x:v>2026-10-20T00:00:00.000Z</x:v>
      </x:c>
    </x:row>
    <x:row r="36" ht="78" customHeight="1">
      <x:c r="A36" s="14" t="str">
        <x:v>SRC-030</x:v>
      </x:c>
      <x:c r="B36" s="14" t="str">
        <x:v>OWASP ASVS 한국어판</x:v>
      </x:c>
      <x:c r="C36" s="14" t="str"/>
      <x:c r="D36" s="14" t="str">
        <x:v>공식 참고</x:v>
      </x:c>
      <x:c r="E36" s="14" t="str">
        <x:v>Version 5.0.0, May 2025; 직접 전체 원문 분석 미실시</x:v>
      </x:c>
      <x:c r="F36" s="14" t="str">
        <x:v>공식 공개자료 확인</x:v>
      </x:c>
      <x:c r="G36" s="14" t="str">
        <x:v>https://owasp.org/www-chapter-seoul/assets/files/OWASP_Application_Security_Verification_Standard_5.0.0_ko.pdf</x:v>
      </x:c>
      <x:c r="H36" s="22" t="d">
        <x:v>2026-10-20T00:00:00.000Z</x:v>
      </x:c>
    </x:row>
    <x:row r="37" ht="78" customHeight="1">
      <x:c r="A37" s="13" t="str">
        <x:v>SRC-031</x:v>
      </x:c>
      <x:c r="B37" s="13" t="str">
        <x:v>NIST SSDF publications</x:v>
      </x:c>
      <x:c r="C37" s="13" t="str"/>
      <x:c r="D37" s="13" t="str">
        <x:v>공식 참고</x:v>
      </x:c>
      <x:c r="E37" s="13" t="str">
        <x:v>1.1 Final 2022-02-03, 1.2 Draft 2025-12-17; 페이지 갱신 2026-10-06</x:v>
      </x:c>
      <x:c r="F37" s="13" t="str">
        <x:v>공식 공개자료 확인</x:v>
      </x:c>
      <x:c r="G37" s="13" t="str">
        <x:v>https://csrc.nist.gov/projects/ssdf/publications</x:v>
      </x:c>
      <x:c r="H37" s="21" t="d">
        <x:v>2026-10-20T00:00:00.000Z</x:v>
      </x:c>
    </x:row>
    <x:row r="38" ht="78" customHeight="1">
      <x:c r="A38" s="14" t="str">
        <x:v>SRC-032</x:v>
      </x:c>
      <x:c r="B38" s="14" t="str">
        <x:v>MISRA C</x:v>
      </x:c>
      <x:c r="C38" s="14" t="str"/>
      <x:c r="D38" s="14" t="str">
        <x:v>공식 참고</x:v>
      </x:c>
      <x:c r="E38" s="14" t="str">
        <x:v>MISRA C:2025 2025-03 발행; search 성공, open 실패</x:v>
      </x:c>
      <x:c r="F38" s="14" t="str">
        <x:v>검색 정보 확인 / 전문 미확보</x:v>
      </x:c>
      <x:c r="G38" s="14" t="str">
        <x:v>https://misra.org.uk/misra-c/</x:v>
      </x:c>
      <x:c r="H38" s="22" t="d">
        <x:v>2026-10-20T00:00:00.000Z</x:v>
      </x:c>
    </x:row>
    <x:row r="39" ht="78" customHeight="1">
      <x:c r="A39" s="13" t="str">
        <x:v>SRC-033</x:v>
      </x:c>
      <x:c r="B39" s="13" t="str">
        <x:v>MISRA C++</x:v>
      </x:c>
      <x:c r="C39" s="13" t="str"/>
      <x:c r="D39" s="13" t="str">
        <x:v>공식 참고</x:v>
      </x:c>
      <x:c r="E39" s="13" t="str">
        <x:v>MISRA C++:2023(TC1:2026), C++17 대상; search 성공, open timeout</x:v>
      </x:c>
      <x:c r="F39" s="13" t="str">
        <x:v>검색 정보 확인 / 전문 미확보</x:v>
      </x:c>
      <x:c r="G39" s="13" t="str">
        <x:v>https://misra.org.uk/product/misra-cpp2023/</x:v>
      </x:c>
      <x:c r="H39" s="21" t="d">
        <x:v>2026-10-20T00:00:00.000Z</x:v>
      </x:c>
    </x:row>
    <x:row r="40" ht="78" customHeight="1">
      <x:c r="A40" s="14" t="str">
        <x:v>SRC-034</x:v>
      </x:c>
      <x:c r="B40" s="14" t="str">
        <x:v>SEI CERT Coding Standards</x:v>
      </x:c>
      <x:c r="C40" s="14" t="str"/>
      <x:c r="D40" s="14" t="str">
        <x:v>공식 참고</x:v>
      </x:c>
      <x:c r="E40" s="14" t="str">
        <x:v>C,C++,Java,Perl,Android 언어별 코딩 표준</x:v>
      </x:c>
      <x:c r="F40" s="14" t="str">
        <x:v>공식 공개자료 확인</x:v>
      </x:c>
      <x:c r="G40" s="14" t="str">
        <x:v>https://www.sei.cmu.edu/library/sei-cert-coding-standards-wiki/</x:v>
      </x:c>
      <x:c r="H40" s="22" t="d">
        <x:v>2026-10-20T00:00:00.000Z</x:v>
      </x:c>
    </x:row>
    <x:row r="41" ht="78" customHeight="1">
      <x:c r="A41" s="13" t="str">
        <x:v>SRC-035</x:v>
      </x:c>
      <x:c r="B41" s="13" t="str">
        <x:v>Microsoft .NET support</x:v>
      </x:c>
      <x:c r="C41" s="13" t="str"/>
      <x:c r="D41" s="13" t="str">
        <x:v>공식 참고</x:v>
      </x:c>
      <x:c r="E41" s="13" t="str">
        <x:v>.NET10 LTS supported until November2028</x:v>
      </x:c>
      <x:c r="F41" s="13" t="str">
        <x:v>공식 공개자료 확인</x:v>
      </x:c>
      <x:c r="G41" s="13" t="str">
        <x:v>https://learn.microsoft.com/en-us/dotnet/core/releases-and-support</x:v>
      </x:c>
      <x:c r="H41" s="21" t="d">
        <x:v>2026-10-20T00:00:00.000Z</x:v>
      </x:c>
    </x:row>
    <x:row r="42" ht="78" customHeight="1">
      <x:c r="A42" s="14" t="str">
        <x:v>SRC-036</x:v>
      </x:c>
      <x:c r="B42" s="14" t="str">
        <x:v>EU MDR</x:v>
      </x:c>
      <x:c r="C42" s="14" t="str"/>
      <x:c r="D42" s="14" t="str">
        <x:v>공식 참고</x:v>
      </x:c>
      <x:c r="E42" s="14" t="str">
        <x:v>Medical Device Regulation (EU)2017/745 식별; 최신 consolidated 링크 2026-07-19. 본 작업 적용 여부 미정</x:v>
      </x:c>
      <x:c r="F42" s="14" t="str">
        <x:v>공식 공개자료 확인</x:v>
      </x:c>
      <x:c r="G42" s="14" t="str">
        <x:v>https://eur-lex.europa.eu/eli/reg/2017/745/oj/eng</x:v>
      </x:c>
      <x:c r="H42" s="22" t="d">
        <x:v>2026-10-20T00:00:00.000Z</x:v>
      </x:c>
    </x:row>
    <x:row r="43" ht="78" customHeight="1">
      <x:c r="A43" s="13" t="str">
        <x:v>SRC-037</x:v>
      </x:c>
      <x:c r="B43" s="13" t="str">
        <x:v>사용자 지정 슈어소프트 네이버 블로그</x:v>
      </x:c>
      <x:c r="C43" s="13" t="str"/>
      <x:c r="D43" s="13" t="str">
        <x:v>사용자 지정 참고</x:v>
      </x:c>
      <x:c r="E43" s="13" t="str">
        <x:v>본문을 확보하지 못하여 내용 근거로 사용하지 않음</x:v>
      </x:c>
      <x:c r="F43" s="13" t="str">
        <x:v>본문 미확보</x:v>
      </x:c>
      <x:c r="G43" s="13" t="str">
        <x:v>https://blog.naver.com/suresofttech/224119576754</x:v>
      </x:c>
      <x:c r="H43" s="21" t="d">
        <x:v>2026-10-20T00:00:00.000Z</x:v>
      </x:c>
    </x:row>
    <x:row r="44" ht="78" customHeight="1">
      <x:c r="A44" s="14" t="str">
        <x:v>SRC-038</x:v>
      </x:c>
      <x:c r="B44" s="14" t="str">
        <x:v>디지털포용법 제19조</x:v>
      </x:c>
      <x:c r="C44" s="14" t="str">
        <x:v>2026-01-22 시행</x:v>
      </x:c>
      <x:c r="D44" s="14" t="str">
        <x:v>법령</x:v>
      </x:c>
      <x:c r="E44" s="14" t="str">
        <x:v>기관·서비스별 적용 의무는 별도 판단</x:v>
      </x:c>
      <x:c r="F44" s="14" t="str">
        <x:v>확인</x:v>
      </x:c>
      <x:c r="G44" s="14" t="str">
        <x:v>https://www.law.go.kr/LSW/lsLinkCommonInfo.do?chrClsCd=010202&amp;lsJoLnkSeq=1031811027</x:v>
      </x:c>
      <x:c r="H44" s="22" t="d">
        <x:v>2026-10-20T00:00:00.000Z</x:v>
      </x:c>
    </x:row>
    <x:row r="45" ht="78" customHeight="1">
      <x:c r="A45" s="13" t="str">
        <x:v>SRC-039</x:v>
      </x:c>
      <x:c r="B45" s="13" t="str">
        <x:v>Microsoft .NET 지원 정책</x:v>
      </x:c>
      <x:c r="C45" s="13" t="str">
        <x:v>2026-10-13 갱신</x:v>
      </x:c>
      <x:c r="D45" s="13" t="str">
        <x:v>공식 지원 정책</x:v>
      </x:c>
      <x:c r="E45" s="13" t="str">
        <x:v>.NET 10 LTS 2028-11-14까지 지원</x:v>
      </x:c>
      <x:c r="F45" s="13" t="str">
        <x:v>확인</x:v>
      </x:c>
      <x:c r="G45" s="13" t="str">
        <x:v>https://dotnet.microsoft.com/en-us/platform/support/policy/dotnet-core</x:v>
      </x:c>
      <x:c r="H45" s="21" t="d">
        <x:v>2026-10-20T00:00:00.000Z</x:v>
      </x:c>
    </x:row>
    <x:row r="46" ht="78" customHeight="1">
      <x:c r="A46" s="14" t="str">
        <x:v>SRC-040</x:v>
      </x:c>
      <x:c r="B46" s="14" t="str">
        <x:v>WAI-ARIA 1.2</x:v>
      </x:c>
      <x:c r="C46" s="14" t="str">
        <x:v>2023-06-06 Recommendation</x:v>
      </x:c>
      <x:c r="D46" s="14" t="str">
        <x:v>W3C 표준</x:v>
      </x:c>
      <x:c r="E46" s="14" t="str">
        <x:v>커스텀 UI의 역할·이름·상태 구현 참고</x:v>
      </x:c>
      <x:c r="F46" s="14" t="str">
        <x:v>확인</x:v>
      </x:c>
      <x:c r="G46" s="14" t="str">
        <x:v>https://www.w3.org/TR/wai-aria-1.2/</x:v>
      </x:c>
      <x:c r="H46" s="22" t="d">
        <x:v>2026-10-20T00:00:00.000Z</x:v>
      </x:c>
    </x:row>
    <x:row r="47" ht="78" customHeight="1">
      <x:c r="A47" s="13" t="str">
        <x:v>SRC-041</x:v>
      </x:c>
      <x:c r="B47" s="13" t="str">
        <x:v>ARIA Authoring Practices Guide</x:v>
      </x:c>
      <x:c r="C47" s="13" t="str">
        <x:v>공식 온라인 참고</x:v>
      </x:c>
      <x:c r="D47" s="13" t="str">
        <x:v>구현 패턴</x:v>
      </x:c>
      <x:c r="E47" s="13" t="str">
        <x:v>APG 예제가 전체 적합성을 보장하지 않음</x:v>
      </x:c>
      <x:c r="F47" s="13" t="str">
        <x:v>확인</x:v>
      </x:c>
      <x:c r="G47" s="13" t="str">
        <x:v>https://www.w3.org/WAI/ARIA/apg/</x:v>
      </x:c>
      <x:c r="H47" s="21" t="d">
        <x:v>2026-10-20T00:00:00.000Z</x:v>
      </x:c>
    </x:row>
    <x:row r="48" ht="78" customHeight="1">
      <x:c r="A48" s="14" t="str">
        <x:v>SRC-042</x:v>
      </x:c>
      <x:c r="B48" s="14" t="str">
        <x:v>WAI 자동 접근성 도구 선택</x:v>
      </x:c>
      <x:c r="C48" s="14" t="str">
        <x:v>공식 온라인 참고</x:v>
      </x:c>
      <x:c r="D48" s="14" t="str">
        <x:v>평가 지침</x:v>
      </x:c>
      <x:c r="E48" s="14" t="str">
        <x:v>자동검사와 사람의 평가를 함께 수행</x:v>
      </x:c>
      <x:c r="F48" s="14" t="str">
        <x:v>확인</x:v>
      </x:c>
      <x:c r="G48" s="14" t="str">
        <x:v>https://www.w3.org/WAI/test-evaluate/tools/selecting/</x:v>
      </x:c>
      <x:c r="H48" s="22" t="d">
        <x:v>2026-10-20T00:00:00.000Z</x:v>
      </x:c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 ht="30" customHeight="1">
      <x:c r="A52" s="9" t="str">
        <x:v>개정 ID</x:v>
      </x:c>
      <x:c r="B52" s="10" t="str">
        <x:v>대상</x:v>
      </x:c>
      <x:c r="C52" s="10" t="str">
        <x:v>대비표 시작 쪽</x:v>
      </x:c>
      <x:c r="D52" s="10" t="str">
        <x:v>실제 본문 쪽</x:v>
      </x:c>
      <x:c r="E52" s="10" t="str">
        <x:v>수정 요약</x:v>
      </x:c>
      <x:c r="F52" s="10" t="str">
        <x:v>샘플 적용</x:v>
      </x:c>
      <x:c r="G52" s="10" t="str">
        <x:v>회사규칙</x:v>
      </x:c>
      <x:c r="H52" s="11" t="str">
        <x:v>상태</x:v>
      </x:c>
    </x:row>
    <x:row r="53" ht="24" customHeight="1">
      <x:c r="A53" s="13" t="str">
        <x:v>CHG-01</x:v>
      </x:c>
      <x:c r="B53" s="13" t="str">
        <x:v>운영기관 식별자</x:v>
      </x:c>
      <x:c r="C53" s="13" t="n">
        <x:v>227</x:v>
      </x:c>
      <x:c r="D53" s="13" t="str">
        <x:v>229~231</x:v>
      </x:c>
      <x:c r="E53" s="13" t="str">
        <x:v>운영기관 중심 식별, 다기관 계층 로고 구성 수정</x:v>
      </x:c>
      <x:c r="F53" s="13" t="str">
        <x:v>회사 샘플에는 공식 식별자 제외</x:v>
      </x:c>
      <x:c r="G53" s="13" t="str">
        <x:v>UI-126</x:v>
      </x:c>
      <x:c r="H53" s="13" t="str">
        <x:v>적용계획</x:v>
      </x:c>
    </x:row>
    <x:row r="54" ht="24" customHeight="1">
      <x:c r="A54" s="14" t="str">
        <x:v>CHG-02</x:v>
      </x:c>
      <x:c r="B54" s="14" t="str">
        <x:v>푸터</x:v>
      </x:c>
      <x:c r="C54" s="14" t="n">
        <x:v>246</x:v>
      </x:c>
      <x:c r="D54" s="14" t="n">
        <x:v>249</x:v>
      </x:c>
      <x:c r="E54" s="14" t="str">
        <x:v>개인정보 처리방침 명칭·시각 구분</x:v>
      </x:c>
      <x:c r="F54" s="14" t="str">
        <x:v>푸터 링크명과 구분 적용</x:v>
      </x:c>
      <x:c r="G54" s="14" t="str">
        <x:v>UI-127</x:v>
      </x:c>
      <x:c r="H54" s="14" t="str">
        <x:v>적용계획</x:v>
      </x:c>
    </x:row>
    <x:row r="55" ht="24" customHeight="1">
      <x:c r="A55" s="13" t="str">
        <x:v>CHG-03</x:v>
      </x:c>
      <x:c r="B55" s="13" t="str">
        <x:v>로그인 방식 확인·선택</x:v>
      </x:c>
      <x:c r="C55" s="13" t="n">
        <x:v>998</x:v>
      </x:c>
      <x:c r="D55" s="13" t="n">
        <x:v>1007</x:v>
      </x:c>
      <x:c r="E55" s="13" t="str">
        <x:v>사용자 분류 유지, 화면에 맞는 목록 배치</x:v>
      </x:c>
      <x:c r="F55" s="13" t="str">
        <x:v>다중 방식 추가 시 적용. 원문 권장</x:v>
      </x:c>
      <x:c r="G55" s="13" t="str">
        <x:v>UI-128</x:v>
      </x:c>
      <x:c r="H55" s="13" t="str">
        <x:v>조건부</x:v>
      </x:c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 ht="30" customHeight="1">
      <x:c r="A59" s="9" t="str">
        <x:v>확인 ID</x:v>
      </x:c>
      <x:c r="B59" s="10" t="str">
        <x:v>원문 위치</x:v>
      </x:c>
      <x:c r="C59" s="10" t="str">
        <x:v>원문 / 범위 이슈</x:v>
      </x:c>
      <x:c r="D59" s="10" t="str">
        <x:v>처리 방안</x:v>
      </x:c>
      <x:c r="E59" s="11" t="str">
        <x:v>상태</x:v>
      </x:c>
      <x:c r="F59" s="2"/>
      <x:c r="G59" s="2"/>
      <x:c r="H59" s="2"/>
    </x:row>
    <x:row r="60" ht="37.5" customHeight="1">
      <x:c r="A60" s="13" t="str">
        <x:v>SRC-KRDS-01</x:v>
      </x:c>
      <x:c r="B60" s="13" t="str">
        <x:v>227,229-231</x:v>
      </x:c>
      <x:c r="C60" s="13" t="str">
        <x:v>운영기관 식별자 개요p227에 상위기관이라는 구문이 남아 있으나 구조/상세 및 변경 대비표는 운영기관 기준으로 수정됨</x:v>
      </x:c>
      <x:c r="D60" s="13" t="str">
        <x:v>변경 대비표의 명시적인 개정 내용과 수정된 상세p229-231을 우선 반영. 회사 샘플은 정부 식별자 제외</x:v>
      </x:c>
      <x:c r="E60" s="13" t="str">
        <x:v>원문 재확인 필요</x:v>
      </x:c>
      <x:c r="F60" s="2"/>
      <x:c r="G60" s="2"/>
      <x:c r="H60" s="2"/>
    </x:row>
    <x:row r="61" ht="37.5" customHeight="1">
      <x:c r="A61" s="14" t="str">
        <x:v>SRC-KRDS-02</x:v>
      </x:c>
      <x:c r="B61" s="14" t="str">
        <x:v>652</x:v>
      </x:c>
      <x:c r="C61" s="14" t="str">
        <x:v>툴팁 사용성 목록07·08이 빈칸이며09에는 맥락적 도움말/도움패널 관련 문구가 있음</x:v>
      </x:c>
      <x:c r="D61" s="14" t="str">
        <x:v>빈 번호는 생성·추정하지 않음.09는 원문 이상 확인 플래그. CODEX가 최신 공홈의 해당 구성요소와 대조할 대상</x:v>
      </x:c>
      <x:c r="E61" s="14" t="str">
        <x:v>원문 재확인 필요</x:v>
      </x:c>
      <x:c r="F61" s="2"/>
      <x:c r="G61" s="2"/>
      <x:c r="H61" s="2"/>
    </x:row>
    <x:row r="62" ht="37.5" customHeight="1">
      <x:c r="A62" s="13" t="str">
        <x:v>SRC-KRDS-03</x:v>
      </x:c>
      <x:c r="B62" s="13" t="str">
        <x:v>239-242,252,454,506,508,543-548,555,729-736,954,1119 등</x:v>
      </x:c>
      <x:c r="C62" s="13" t="str">
        <x:v>일부 러닝헤더의 구분·컴포넌트명이 본문과 다르거나 누락됨</x:v>
      </x:c>
      <x:c r="D62" s="13" t="str">
        <x:v>목차 페이지 범위와 본문의 제목·항목 번호로 분류. 추출 스크립트에 확인한 헤더 예외를 명시</x:v>
      </x:c>
      <x:c r="E62" s="13" t="str">
        <x:v>원문 재확인 필요</x:v>
      </x:c>
      <x:c r="F62" s="2"/>
      <x:c r="G62" s="2"/>
      <x:c r="H62" s="2"/>
    </x:row>
    <x:row r="63" ht="37.5" customHeight="1">
      <x:c r="A63" s="14" t="str">
        <x:v>SRC-KRDS-04</x:v>
      </x:c>
      <x:c r="B63" s="14" t="str">
        <x:v>123,204</x:v>
      </x:c>
      <x:c r="C63" s="14" t="str">
        <x:v>선명한 화면 모드의 구체적 역할별 대비(15/7/4.5)와 일반 최소 대비(4.5, 권장7)가 함께 제시됨</x:v>
      </x:c>
      <x:c r="D63" s="14" t="str">
        <x:v>일반 WCAG AA 기준과 KRDS 스타일 강화 목표를 구별. 샘플은 역할별 강화 목표를 회사 채택안에 포함하고 각각 측정</x:v>
      </x:c>
      <x:c r="E63" s="14" t="str">
        <x:v>원문 재확인 필요</x:v>
      </x:c>
      <x:c r="F63" s="2"/>
      <x:c r="G63" s="2"/>
      <x:c r="H63" s="2"/>
    </x:row>
    <x:row r="64" ht="37.5" customHeight="1">
      <x:c r="A64" s="13" t="str">
        <x:v>SRC-KRDS-05</x:v>
      </x:c>
      <x:c r="B64" s="13" t="str">
        <x:v>704</x:v>
      </x:c>
      <x:c r="C64" s="13" t="str">
        <x:v>가능하면 파일 형식·크기 제한을 줄이라는 사용성 방향과 보안·용량 통제 요구가 동시에 존재</x:v>
      </x:c>
      <x:c r="D64" s="13" t="str">
        <x:v>형식 허용목록·크기/개수 제한을 업무·보안상 필요한 범위로 정하고 사전 안내. 원문 조건과 회사 보안설계의 결정 근거를 별도 기록</x:v>
      </x:c>
      <x:c r="E64" s="13" t="str">
        <x:v>원문 재확인 필요</x:v>
      </x:c>
      <x:c r="F64" s="2"/>
      <x:c r="G64" s="2"/>
      <x:c r="H64" s="2"/>
    </x:row>
    <x:row r="65" ht="37.5" customHeight="1">
      <x:c r="A65" s="14" t="str">
        <x:v>SRC-KRDS-06</x:v>
      </x:c>
      <x:c r="B65" s="14" t="str">
        <x:v>14,15-20</x:v>
      </x:c>
      <x:c r="C65" s="14" t="str">
        <x:v>문서의 접근성 목표는 WCAG2.1 AA, 서비스 패턴 사용성은 필수/권장/우수 구분. 모든 문장을 동일한 법적 강제기준으로 볼 수 없음</x:v>
      </x:c>
      <x:c r="D65" s="14" t="str">
        <x:v>국내 접근성 기준과 WCAG2.2 AA의 추가요건은 별도 기준ID로 관리. 회사 우선순위P0/P1/P2와 원문 수준을 분리</x:v>
      </x:c>
      <x:c r="E65" s="14" t="str">
        <x:v>원문 재확인 필요</x:v>
      </x:c>
      <x:c r="F65" s="2"/>
      <x:c r="G65" s="2"/>
      <x:c r="H65" s="2"/>
    </x:row>
    <x:row r="66" ht="24" customHeight="1">
      <x:c r="A66" s="13" t="str">
        <x:v>SRC-KRDS-07</x:v>
      </x:c>
      <x:c r="B66" s="13" t="str">
        <x:v>1007</x:v>
      </x:c>
      <x:c r="C66" s="13" t="str">
        <x:v>2025.08 로그인 방식 분류/배치 항목의 원문 적용수준은 권장으로 표시</x:v>
      </x:c>
      <x:c r="D66" s="13" t="str">
        <x:v>변경 반영 여부는 추적하되 법적 필수라고 표시하지 않음</x:v>
      </x:c>
      <x:c r="E66" s="13" t="str">
        <x:v>원문 재확인 필요</x:v>
      </x:c>
      <x:c r="F66" s="2"/>
      <x:c r="G66" s="2"/>
      <x:c r="H66" s="2"/>
    </x:row>
    <x:row r="67" ht="37.5" customHeight="1">
      <x:c r="A67" s="14" t="str">
        <x:v>SRC-KRDS-08</x:v>
      </x:c>
      <x:c r="B67" s="14" t="str">
        <x:v>225,231</x:v>
      </x:c>
      <x:c r="C67" s="14" t="str">
        <x:v>정부 공식서비스가 아닌 사이트는 공식 배너와 운영기관 식별자 사용 금지</x:v>
      </x:c>
      <x:c r="D67" s="14" t="str">
        <x:v>회사 자체브랜드 샘플의 두 컴포넌트는 해당없음. 공공 고객에게 납품할 때 기관 유형과 권한에 따라 다시 선정</x:v>
      </x:c>
      <x:c r="E67" s="14" t="str">
        <x:v>원문 재확인 필요</x:v>
      </x:c>
      <x:c r="F67" s="2"/>
      <x:c r="G67" s="2"/>
      <x:c r="H67" s="2"/>
    </x:row>
    <x:row r="68" ht="37.5" customHeight="1">
      <x:c r="A68" s="13" t="str">
        <x:v>SRC-KRDS-09</x:v>
      </x:c>
      <x:c r="B68" s="13" t="str">
        <x:v>578</x:v>
      </x:c>
      <x:c r="C68" s="13" t="str">
        <x:v>원문은 opacity:0도 보조기술·키보드 인지를 막는 것으로 예시하지만 실제 접근성 영향은 CSS/DOM 조합에 따라 달라짐</x:v>
      </x:c>
      <x:c r="D68" s="13" t="str">
        <x:v>문장을 기계적으로 린트 규칙으로 만들지 않음. native 요소·접근성 트리·실제 키보드/스크린리더 시험으로 판정</x:v>
      </x:c>
      <x:c r="E68" s="13" t="str">
        <x:v>원문 재확인 필요</x:v>
      </x:c>
      <x:c r="F68" s="2"/>
      <x:c r="G68" s="2"/>
      <x:c r="H68" s="2"/>
    </x:row>
    <x:row r="69" ht="37.5" customHeight="1">
      <x:c r="A69" s="14" t="str">
        <x:v>SRC-KRDS-10</x:v>
      </x:c>
      <x:c r="B69" s="14" t="str">
        <x:v>483 등</x:v>
      </x:c>
      <x:c r="C69" s="14" t="str">
        <x:v>WCAG 출처 표기는 원문 수준(A/AA)·버전과 국제 원문을 대조할 필요가 있음. 예: Pause, Stop, Hide를 AA로 표기한 부분</x:v>
      </x:c>
      <x:c r="D69" s="14" t="str">
        <x:v>접근성 성공기준의 번호·수준은 W3C 정식 원문을 권위있는 기준으로 사용. 원문 인용 표기를 그대로 옮겨 정확한 수준이라고 주장하지 않음</x:v>
      </x:c>
      <x:c r="E69" s="14" t="str">
        <x:v>원문 재확인 필요</x:v>
      </x:c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</x:sheetData>
  <x:pageMargins left="0.7" right="0.7" top="0.75" bottom="0.75" header="0.3" footer="0.3"/>
  <x:tableParts count="3">
    <x:tablePart xmlns:r="http://schemas.openxmlformats.org/officeDocument/2006/relationships" r:id="Rf7577ef740d44ca5"/>
    <x:tablePart xmlns:r="http://schemas.openxmlformats.org/officeDocument/2006/relationships" r:id="Rb569439b0a4a42c3"/>
    <x:tablePart xmlns:r="http://schemas.openxmlformats.org/officeDocument/2006/relationships" r:id="Rcaf24598b2c84956"/>
  </x:tableParts>
</x:worksheet>
</file>